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huawei\Desktop\Hanan\"/>
    </mc:Choice>
  </mc:AlternateContent>
  <xr:revisionPtr revIDLastSave="0" documentId="8_{A4FF9F04-1BFA-4B22-AA62-4DC89CAE51AA}" xr6:coauthVersionLast="47" xr6:coauthVersionMax="47" xr10:uidLastSave="{00000000-0000-0000-0000-000000000000}"/>
  <bookViews>
    <workbookView xWindow="-108" yWindow="-108" windowWidth="23256" windowHeight="12456" firstSheet="1" activeTab="5" xr2:uid="{00000000-000D-0000-FFFF-FFFF00000000}"/>
  </bookViews>
  <sheets>
    <sheet name="00_Read_Me" sheetId="1" r:id="rId1"/>
    <sheet name="01_Parameters" sheetId="2" r:id="rId2"/>
    <sheet name="02_GL_Data" sheetId="3" r:id="rId3"/>
    <sheet name="03_AP_Data" sheetId="4" r:id="rId4"/>
    <sheet name="04_Analytics_Tests" sheetId="5" r:id="rId5"/>
    <sheet name="05_Exception_Register" sheetId="6" r:id="rId6"/>
    <sheet name="06_Dashboard" sheetId="7" r:id="rId7"/>
    <sheet name="07_Audit_Memo" sheetId="8" r:id="rId8"/>
    <sheet name="99_Internal_QA" sheetId="9" state="hidden" r:id="rId9"/>
  </sheets>
  <definedNames>
    <definedName name="_xlnm._FilterDatabase" localSheetId="2" hidden="1">'02_GL_Data'!$A$4:$Z$1004</definedName>
    <definedName name="Business_Day_End">'01_Parameters'!$C$14</definedName>
    <definedName name="Business_Day_Start">'01_Parameters'!$C$13</definedName>
    <definedName name="Duplicate_Amount_Tolerance">'01_Parameters'!$C$15</definedName>
    <definedName name="High_Value_AP_Threshold">'01_Parameters'!$C$8</definedName>
    <definedName name="High_Value_GL_Threshold">'01_Parameters'!$C$7</definedName>
    <definedName name="Invoice_Posting_Review_Limit">'01_Parameters'!$C$19</definedName>
    <definedName name="Near_Duplicate_Window">'01_Parameters'!$C$16</definedName>
    <definedName name="Reporting_End_Date">'01_Parameters'!$C$6</definedName>
    <definedName name="Reporting_Start_Date">'01_Parameters'!$C$5</definedName>
    <definedName name="Round_Number_Threshold">'01_Parameters'!$C$17</definedName>
    <definedName name="Year_End_Window_End">'01_Parameters'!$C$10</definedName>
    <definedName name="Year_End_Window_Start">'01_Parameters'!$C$9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6" i="7" l="1"/>
  <c r="B35" i="7"/>
  <c r="B34" i="7"/>
  <c r="K33" i="7"/>
  <c r="B33" i="7"/>
  <c r="K32" i="7"/>
  <c r="B32" i="7"/>
  <c r="K31" i="7"/>
  <c r="B31" i="7"/>
  <c r="K30" i="7"/>
  <c r="B30" i="7"/>
  <c r="K29" i="7"/>
  <c r="B29" i="7"/>
  <c r="K28" i="7"/>
  <c r="B28" i="7"/>
  <c r="K27" i="7"/>
  <c r="B27" i="7"/>
  <c r="K26" i="7"/>
  <c r="H26" i="7"/>
  <c r="B26" i="7"/>
  <c r="K25" i="7"/>
  <c r="H25" i="7"/>
  <c r="B25" i="7"/>
  <c r="K24" i="7"/>
  <c r="H24" i="7"/>
  <c r="E24" i="7"/>
  <c r="B24" i="7"/>
  <c r="K23" i="7"/>
  <c r="H23" i="7"/>
  <c r="E23" i="7"/>
  <c r="B23" i="7"/>
  <c r="K22" i="7"/>
  <c r="H22" i="7"/>
  <c r="E22" i="7"/>
  <c r="B22" i="7"/>
  <c r="M8" i="7"/>
  <c r="J8" i="7"/>
  <c r="G8" i="7"/>
  <c r="D8" i="7"/>
  <c r="A8" i="7"/>
  <c r="M5" i="7"/>
  <c r="J5" i="7"/>
  <c r="G5" i="7"/>
  <c r="D5" i="7"/>
  <c r="A5" i="7"/>
  <c r="J19" i="5"/>
  <c r="I19" i="5"/>
  <c r="J18" i="5"/>
  <c r="J17" i="5"/>
  <c r="I17" i="5"/>
  <c r="J16" i="5"/>
  <c r="I16" i="5"/>
  <c r="J15" i="5"/>
  <c r="I15" i="5"/>
  <c r="J10" i="5"/>
  <c r="I10" i="5"/>
  <c r="J9" i="5"/>
  <c r="I9" i="5"/>
  <c r="J8" i="5"/>
  <c r="I8" i="5"/>
  <c r="Z304" i="4"/>
  <c r="Y304" i="4"/>
  <c r="X304" i="4"/>
  <c r="W304" i="4"/>
  <c r="V304" i="4"/>
  <c r="U304" i="4"/>
  <c r="Z303" i="4"/>
  <c r="Y303" i="4"/>
  <c r="X303" i="4"/>
  <c r="W303" i="4"/>
  <c r="V303" i="4"/>
  <c r="U303" i="4"/>
  <c r="Z302" i="4"/>
  <c r="Y302" i="4"/>
  <c r="X302" i="4"/>
  <c r="W302" i="4"/>
  <c r="V302" i="4"/>
  <c r="U302" i="4"/>
  <c r="Z301" i="4"/>
  <c r="Y301" i="4"/>
  <c r="X301" i="4"/>
  <c r="W301" i="4"/>
  <c r="V301" i="4"/>
  <c r="U301" i="4"/>
  <c r="Z300" i="4"/>
  <c r="Y300" i="4"/>
  <c r="X300" i="4"/>
  <c r="W300" i="4"/>
  <c r="V300" i="4"/>
  <c r="U300" i="4"/>
  <c r="Z299" i="4"/>
  <c r="Y299" i="4"/>
  <c r="X299" i="4"/>
  <c r="W299" i="4"/>
  <c r="V299" i="4"/>
  <c r="U299" i="4"/>
  <c r="Z298" i="4"/>
  <c r="Y298" i="4"/>
  <c r="X298" i="4"/>
  <c r="W298" i="4"/>
  <c r="V298" i="4"/>
  <c r="U298" i="4"/>
  <c r="Z297" i="4"/>
  <c r="Y297" i="4"/>
  <c r="X297" i="4"/>
  <c r="W297" i="4"/>
  <c r="V297" i="4"/>
  <c r="U297" i="4"/>
  <c r="Z296" i="4"/>
  <c r="Y296" i="4"/>
  <c r="X296" i="4"/>
  <c r="W296" i="4"/>
  <c r="V296" i="4"/>
  <c r="U296" i="4"/>
  <c r="Z295" i="4"/>
  <c r="Y295" i="4"/>
  <c r="X295" i="4"/>
  <c r="W295" i="4"/>
  <c r="V295" i="4"/>
  <c r="U295" i="4"/>
  <c r="Z294" i="4"/>
  <c r="Y294" i="4"/>
  <c r="X294" i="4"/>
  <c r="W294" i="4"/>
  <c r="V294" i="4"/>
  <c r="U294" i="4"/>
  <c r="Z293" i="4"/>
  <c r="Y293" i="4"/>
  <c r="X293" i="4"/>
  <c r="W293" i="4"/>
  <c r="V293" i="4"/>
  <c r="U293" i="4"/>
  <c r="Z292" i="4"/>
  <c r="Y292" i="4"/>
  <c r="X292" i="4"/>
  <c r="W292" i="4"/>
  <c r="V292" i="4"/>
  <c r="U292" i="4"/>
  <c r="Z291" i="4"/>
  <c r="Y291" i="4"/>
  <c r="X291" i="4"/>
  <c r="W291" i="4"/>
  <c r="V291" i="4"/>
  <c r="U291" i="4"/>
  <c r="Z290" i="4"/>
  <c r="Y290" i="4"/>
  <c r="X290" i="4"/>
  <c r="W290" i="4"/>
  <c r="V290" i="4"/>
  <c r="U290" i="4"/>
  <c r="Z289" i="4"/>
  <c r="Y289" i="4"/>
  <c r="X289" i="4"/>
  <c r="W289" i="4"/>
  <c r="V289" i="4"/>
  <c r="U289" i="4"/>
  <c r="Z288" i="4"/>
  <c r="Y288" i="4"/>
  <c r="X288" i="4"/>
  <c r="W288" i="4"/>
  <c r="V288" i="4"/>
  <c r="U288" i="4"/>
  <c r="Z287" i="4"/>
  <c r="Y287" i="4"/>
  <c r="X287" i="4"/>
  <c r="W287" i="4"/>
  <c r="V287" i="4"/>
  <c r="U287" i="4"/>
  <c r="Z286" i="4"/>
  <c r="Y286" i="4"/>
  <c r="X286" i="4"/>
  <c r="W286" i="4"/>
  <c r="V286" i="4"/>
  <c r="U286" i="4"/>
  <c r="Z285" i="4"/>
  <c r="Y285" i="4"/>
  <c r="X285" i="4"/>
  <c r="W285" i="4"/>
  <c r="V285" i="4"/>
  <c r="U285" i="4"/>
  <c r="Z284" i="4"/>
  <c r="Y284" i="4"/>
  <c r="X284" i="4"/>
  <c r="W284" i="4"/>
  <c r="V284" i="4"/>
  <c r="U284" i="4"/>
  <c r="Z283" i="4"/>
  <c r="Y283" i="4"/>
  <c r="X283" i="4"/>
  <c r="W283" i="4"/>
  <c r="V283" i="4"/>
  <c r="U283" i="4"/>
  <c r="Z282" i="4"/>
  <c r="Y282" i="4"/>
  <c r="X282" i="4"/>
  <c r="W282" i="4"/>
  <c r="V282" i="4"/>
  <c r="U282" i="4"/>
  <c r="Z281" i="4"/>
  <c r="Y281" i="4"/>
  <c r="X281" i="4"/>
  <c r="W281" i="4"/>
  <c r="V281" i="4"/>
  <c r="U281" i="4"/>
  <c r="Z280" i="4"/>
  <c r="Y280" i="4"/>
  <c r="X280" i="4"/>
  <c r="W280" i="4"/>
  <c r="V280" i="4"/>
  <c r="U280" i="4"/>
  <c r="Z279" i="4"/>
  <c r="Y279" i="4"/>
  <c r="X279" i="4"/>
  <c r="W279" i="4"/>
  <c r="V279" i="4"/>
  <c r="U279" i="4"/>
  <c r="Z278" i="4"/>
  <c r="Y278" i="4"/>
  <c r="X278" i="4"/>
  <c r="W278" i="4"/>
  <c r="V278" i="4"/>
  <c r="U278" i="4"/>
  <c r="Z277" i="4"/>
  <c r="Y277" i="4"/>
  <c r="X277" i="4"/>
  <c r="W277" i="4"/>
  <c r="V277" i="4"/>
  <c r="U277" i="4"/>
  <c r="Z276" i="4"/>
  <c r="Y276" i="4"/>
  <c r="X276" i="4"/>
  <c r="W276" i="4"/>
  <c r="V276" i="4"/>
  <c r="U276" i="4"/>
  <c r="Z275" i="4"/>
  <c r="Y275" i="4"/>
  <c r="X275" i="4"/>
  <c r="W275" i="4"/>
  <c r="V275" i="4"/>
  <c r="U275" i="4"/>
  <c r="Z274" i="4"/>
  <c r="Y274" i="4"/>
  <c r="X274" i="4"/>
  <c r="W274" i="4"/>
  <c r="V274" i="4"/>
  <c r="U274" i="4"/>
  <c r="Z273" i="4"/>
  <c r="Y273" i="4"/>
  <c r="X273" i="4"/>
  <c r="W273" i="4"/>
  <c r="V273" i="4"/>
  <c r="U273" i="4"/>
  <c r="Z272" i="4"/>
  <c r="Y272" i="4"/>
  <c r="X272" i="4"/>
  <c r="W272" i="4"/>
  <c r="V272" i="4"/>
  <c r="U272" i="4"/>
  <c r="Z271" i="4"/>
  <c r="Y271" i="4"/>
  <c r="X271" i="4"/>
  <c r="W271" i="4"/>
  <c r="V271" i="4"/>
  <c r="U271" i="4"/>
  <c r="Z270" i="4"/>
  <c r="Y270" i="4"/>
  <c r="X270" i="4"/>
  <c r="W270" i="4"/>
  <c r="V270" i="4"/>
  <c r="U270" i="4"/>
  <c r="Z269" i="4"/>
  <c r="Y269" i="4"/>
  <c r="X269" i="4"/>
  <c r="W269" i="4"/>
  <c r="V269" i="4"/>
  <c r="U269" i="4"/>
  <c r="Z268" i="4"/>
  <c r="Y268" i="4"/>
  <c r="X268" i="4"/>
  <c r="W268" i="4"/>
  <c r="V268" i="4"/>
  <c r="U268" i="4"/>
  <c r="Z267" i="4"/>
  <c r="Y267" i="4"/>
  <c r="X267" i="4"/>
  <c r="W267" i="4"/>
  <c r="V267" i="4"/>
  <c r="U267" i="4"/>
  <c r="Z266" i="4"/>
  <c r="Y266" i="4"/>
  <c r="X266" i="4"/>
  <c r="W266" i="4"/>
  <c r="V266" i="4"/>
  <c r="U266" i="4"/>
  <c r="Z265" i="4"/>
  <c r="Y265" i="4"/>
  <c r="X265" i="4"/>
  <c r="W265" i="4"/>
  <c r="V265" i="4"/>
  <c r="U265" i="4"/>
  <c r="Z264" i="4"/>
  <c r="Y264" i="4"/>
  <c r="X264" i="4"/>
  <c r="W264" i="4"/>
  <c r="V264" i="4"/>
  <c r="U264" i="4"/>
  <c r="Z263" i="4"/>
  <c r="Y263" i="4"/>
  <c r="X263" i="4"/>
  <c r="W263" i="4"/>
  <c r="V263" i="4"/>
  <c r="U263" i="4"/>
  <c r="Z262" i="4"/>
  <c r="Y262" i="4"/>
  <c r="X262" i="4"/>
  <c r="W262" i="4"/>
  <c r="V262" i="4"/>
  <c r="U262" i="4"/>
  <c r="Z261" i="4"/>
  <c r="Y261" i="4"/>
  <c r="X261" i="4"/>
  <c r="W261" i="4"/>
  <c r="V261" i="4"/>
  <c r="U261" i="4"/>
  <c r="Z260" i="4"/>
  <c r="Y260" i="4"/>
  <c r="X260" i="4"/>
  <c r="W260" i="4"/>
  <c r="V260" i="4"/>
  <c r="U260" i="4"/>
  <c r="Z259" i="4"/>
  <c r="Y259" i="4"/>
  <c r="X259" i="4"/>
  <c r="W259" i="4"/>
  <c r="V259" i="4"/>
  <c r="U259" i="4"/>
  <c r="Z258" i="4"/>
  <c r="Y258" i="4"/>
  <c r="X258" i="4"/>
  <c r="W258" i="4"/>
  <c r="V258" i="4"/>
  <c r="U258" i="4"/>
  <c r="Z257" i="4"/>
  <c r="Y257" i="4"/>
  <c r="X257" i="4"/>
  <c r="W257" i="4"/>
  <c r="V257" i="4"/>
  <c r="U257" i="4"/>
  <c r="Z256" i="4"/>
  <c r="Y256" i="4"/>
  <c r="X256" i="4"/>
  <c r="W256" i="4"/>
  <c r="V256" i="4"/>
  <c r="U256" i="4"/>
  <c r="Z255" i="4"/>
  <c r="Y255" i="4"/>
  <c r="X255" i="4"/>
  <c r="W255" i="4"/>
  <c r="V255" i="4"/>
  <c r="U255" i="4"/>
  <c r="Z254" i="4"/>
  <c r="Y254" i="4"/>
  <c r="X254" i="4"/>
  <c r="W254" i="4"/>
  <c r="V254" i="4"/>
  <c r="U254" i="4"/>
  <c r="Z253" i="4"/>
  <c r="Y253" i="4"/>
  <c r="X253" i="4"/>
  <c r="W253" i="4"/>
  <c r="V253" i="4"/>
  <c r="U253" i="4"/>
  <c r="Z252" i="4"/>
  <c r="Y252" i="4"/>
  <c r="X252" i="4"/>
  <c r="W252" i="4"/>
  <c r="V252" i="4"/>
  <c r="U252" i="4"/>
  <c r="Z251" i="4"/>
  <c r="Y251" i="4"/>
  <c r="X251" i="4"/>
  <c r="W251" i="4"/>
  <c r="V251" i="4"/>
  <c r="U251" i="4"/>
  <c r="Z250" i="4"/>
  <c r="Y250" i="4"/>
  <c r="X250" i="4"/>
  <c r="W250" i="4"/>
  <c r="V250" i="4"/>
  <c r="U250" i="4"/>
  <c r="Z249" i="4"/>
  <c r="Y249" i="4"/>
  <c r="X249" i="4"/>
  <c r="W249" i="4"/>
  <c r="V249" i="4"/>
  <c r="U249" i="4"/>
  <c r="Z248" i="4"/>
  <c r="Y248" i="4"/>
  <c r="X248" i="4"/>
  <c r="W248" i="4"/>
  <c r="V248" i="4"/>
  <c r="U248" i="4"/>
  <c r="Z247" i="4"/>
  <c r="Y247" i="4"/>
  <c r="X247" i="4"/>
  <c r="W247" i="4"/>
  <c r="V247" i="4"/>
  <c r="U247" i="4"/>
  <c r="Z246" i="4"/>
  <c r="Y246" i="4"/>
  <c r="X246" i="4"/>
  <c r="W246" i="4"/>
  <c r="V246" i="4"/>
  <c r="U246" i="4"/>
  <c r="Z245" i="4"/>
  <c r="Y245" i="4"/>
  <c r="X245" i="4"/>
  <c r="W245" i="4"/>
  <c r="V245" i="4"/>
  <c r="U245" i="4"/>
  <c r="Z244" i="4"/>
  <c r="Y244" i="4"/>
  <c r="X244" i="4"/>
  <c r="W244" i="4"/>
  <c r="V244" i="4"/>
  <c r="U244" i="4"/>
  <c r="Z243" i="4"/>
  <c r="Y243" i="4"/>
  <c r="X243" i="4"/>
  <c r="W243" i="4"/>
  <c r="V243" i="4"/>
  <c r="U243" i="4"/>
  <c r="Z242" i="4"/>
  <c r="Y242" i="4"/>
  <c r="X242" i="4"/>
  <c r="W242" i="4"/>
  <c r="V242" i="4"/>
  <c r="U242" i="4"/>
  <c r="Z241" i="4"/>
  <c r="Y241" i="4"/>
  <c r="X241" i="4"/>
  <c r="W241" i="4"/>
  <c r="V241" i="4"/>
  <c r="U241" i="4"/>
  <c r="Z240" i="4"/>
  <c r="Y240" i="4"/>
  <c r="X240" i="4"/>
  <c r="W240" i="4"/>
  <c r="V240" i="4"/>
  <c r="U240" i="4"/>
  <c r="Z239" i="4"/>
  <c r="Y239" i="4"/>
  <c r="X239" i="4"/>
  <c r="W239" i="4"/>
  <c r="V239" i="4"/>
  <c r="U239" i="4"/>
  <c r="Z238" i="4"/>
  <c r="Y238" i="4"/>
  <c r="X238" i="4"/>
  <c r="W238" i="4"/>
  <c r="V238" i="4"/>
  <c r="U238" i="4"/>
  <c r="Z237" i="4"/>
  <c r="Y237" i="4"/>
  <c r="X237" i="4"/>
  <c r="W237" i="4"/>
  <c r="V237" i="4"/>
  <c r="U237" i="4"/>
  <c r="Z236" i="4"/>
  <c r="Y236" i="4"/>
  <c r="X236" i="4"/>
  <c r="W236" i="4"/>
  <c r="V236" i="4"/>
  <c r="U236" i="4"/>
  <c r="Z235" i="4"/>
  <c r="Y235" i="4"/>
  <c r="X235" i="4"/>
  <c r="W235" i="4"/>
  <c r="V235" i="4"/>
  <c r="U235" i="4"/>
  <c r="Z234" i="4"/>
  <c r="Y234" i="4"/>
  <c r="X234" i="4"/>
  <c r="W234" i="4"/>
  <c r="V234" i="4"/>
  <c r="U234" i="4"/>
  <c r="Z233" i="4"/>
  <c r="Y233" i="4"/>
  <c r="X233" i="4"/>
  <c r="W233" i="4"/>
  <c r="V233" i="4"/>
  <c r="U233" i="4"/>
  <c r="Z232" i="4"/>
  <c r="Y232" i="4"/>
  <c r="X232" i="4"/>
  <c r="W232" i="4"/>
  <c r="V232" i="4"/>
  <c r="U232" i="4"/>
  <c r="Z231" i="4"/>
  <c r="Y231" i="4"/>
  <c r="X231" i="4"/>
  <c r="W231" i="4"/>
  <c r="V231" i="4"/>
  <c r="U231" i="4"/>
  <c r="Z230" i="4"/>
  <c r="Y230" i="4"/>
  <c r="X230" i="4"/>
  <c r="W230" i="4"/>
  <c r="V230" i="4"/>
  <c r="U230" i="4"/>
  <c r="Z229" i="4"/>
  <c r="Y229" i="4"/>
  <c r="X229" i="4"/>
  <c r="W229" i="4"/>
  <c r="V229" i="4"/>
  <c r="U229" i="4"/>
  <c r="Z228" i="4"/>
  <c r="Y228" i="4"/>
  <c r="X228" i="4"/>
  <c r="W228" i="4"/>
  <c r="V228" i="4"/>
  <c r="U228" i="4"/>
  <c r="Z227" i="4"/>
  <c r="Y227" i="4"/>
  <c r="X227" i="4"/>
  <c r="W227" i="4"/>
  <c r="V227" i="4"/>
  <c r="U227" i="4"/>
  <c r="Z226" i="4"/>
  <c r="Y226" i="4"/>
  <c r="X226" i="4"/>
  <c r="W226" i="4"/>
  <c r="V226" i="4"/>
  <c r="U226" i="4"/>
  <c r="Z225" i="4"/>
  <c r="Y225" i="4"/>
  <c r="X225" i="4"/>
  <c r="W225" i="4"/>
  <c r="V225" i="4"/>
  <c r="U225" i="4"/>
  <c r="Z224" i="4"/>
  <c r="Y224" i="4"/>
  <c r="X224" i="4"/>
  <c r="W224" i="4"/>
  <c r="V224" i="4"/>
  <c r="U224" i="4"/>
  <c r="Z223" i="4"/>
  <c r="Y223" i="4"/>
  <c r="X223" i="4"/>
  <c r="W223" i="4"/>
  <c r="V223" i="4"/>
  <c r="U223" i="4"/>
  <c r="Z222" i="4"/>
  <c r="Y222" i="4"/>
  <c r="X222" i="4"/>
  <c r="W222" i="4"/>
  <c r="V222" i="4"/>
  <c r="U222" i="4"/>
  <c r="Z221" i="4"/>
  <c r="Y221" i="4"/>
  <c r="X221" i="4"/>
  <c r="W221" i="4"/>
  <c r="V221" i="4"/>
  <c r="U221" i="4"/>
  <c r="Z220" i="4"/>
  <c r="Y220" i="4"/>
  <c r="X220" i="4"/>
  <c r="W220" i="4"/>
  <c r="V220" i="4"/>
  <c r="U220" i="4"/>
  <c r="Z219" i="4"/>
  <c r="Y219" i="4"/>
  <c r="X219" i="4"/>
  <c r="W219" i="4"/>
  <c r="V219" i="4"/>
  <c r="U219" i="4"/>
  <c r="Z218" i="4"/>
  <c r="Y218" i="4"/>
  <c r="X218" i="4"/>
  <c r="W218" i="4"/>
  <c r="V218" i="4"/>
  <c r="U218" i="4"/>
  <c r="Z217" i="4"/>
  <c r="Y217" i="4"/>
  <c r="X217" i="4"/>
  <c r="W217" i="4"/>
  <c r="V217" i="4"/>
  <c r="U217" i="4"/>
  <c r="Z216" i="4"/>
  <c r="Y216" i="4"/>
  <c r="X216" i="4"/>
  <c r="W216" i="4"/>
  <c r="V216" i="4"/>
  <c r="U216" i="4"/>
  <c r="Z215" i="4"/>
  <c r="Y215" i="4"/>
  <c r="X215" i="4"/>
  <c r="W215" i="4"/>
  <c r="V215" i="4"/>
  <c r="U215" i="4"/>
  <c r="Z214" i="4"/>
  <c r="Y214" i="4"/>
  <c r="X214" i="4"/>
  <c r="W214" i="4"/>
  <c r="V214" i="4"/>
  <c r="U214" i="4"/>
  <c r="Z213" i="4"/>
  <c r="Y213" i="4"/>
  <c r="X213" i="4"/>
  <c r="W213" i="4"/>
  <c r="V213" i="4"/>
  <c r="U213" i="4"/>
  <c r="Z212" i="4"/>
  <c r="Y212" i="4"/>
  <c r="X212" i="4"/>
  <c r="W212" i="4"/>
  <c r="V212" i="4"/>
  <c r="U212" i="4"/>
  <c r="Z211" i="4"/>
  <c r="Y211" i="4"/>
  <c r="X211" i="4"/>
  <c r="W211" i="4"/>
  <c r="V211" i="4"/>
  <c r="U211" i="4"/>
  <c r="Z210" i="4"/>
  <c r="Y210" i="4"/>
  <c r="X210" i="4"/>
  <c r="W210" i="4"/>
  <c r="V210" i="4"/>
  <c r="U210" i="4"/>
  <c r="Z209" i="4"/>
  <c r="Y209" i="4"/>
  <c r="X209" i="4"/>
  <c r="W209" i="4"/>
  <c r="V209" i="4"/>
  <c r="U209" i="4"/>
  <c r="Z208" i="4"/>
  <c r="Y208" i="4"/>
  <c r="X208" i="4"/>
  <c r="W208" i="4"/>
  <c r="V208" i="4"/>
  <c r="U208" i="4"/>
  <c r="Z207" i="4"/>
  <c r="Y207" i="4"/>
  <c r="X207" i="4"/>
  <c r="W207" i="4"/>
  <c r="V207" i="4"/>
  <c r="U207" i="4"/>
  <c r="Z206" i="4"/>
  <c r="Y206" i="4"/>
  <c r="X206" i="4"/>
  <c r="W206" i="4"/>
  <c r="V206" i="4"/>
  <c r="U206" i="4"/>
  <c r="Z205" i="4"/>
  <c r="Y205" i="4"/>
  <c r="X205" i="4"/>
  <c r="W205" i="4"/>
  <c r="V205" i="4"/>
  <c r="U205" i="4"/>
  <c r="Z204" i="4"/>
  <c r="Y204" i="4"/>
  <c r="X204" i="4"/>
  <c r="W204" i="4"/>
  <c r="V204" i="4"/>
  <c r="U204" i="4"/>
  <c r="Z203" i="4"/>
  <c r="Y203" i="4"/>
  <c r="X203" i="4"/>
  <c r="W203" i="4"/>
  <c r="V203" i="4"/>
  <c r="U203" i="4"/>
  <c r="Z202" i="4"/>
  <c r="Y202" i="4"/>
  <c r="X202" i="4"/>
  <c r="W202" i="4"/>
  <c r="V202" i="4"/>
  <c r="U202" i="4"/>
  <c r="Z201" i="4"/>
  <c r="Y201" i="4"/>
  <c r="X201" i="4"/>
  <c r="W201" i="4"/>
  <c r="V201" i="4"/>
  <c r="U201" i="4"/>
  <c r="Z200" i="4"/>
  <c r="Y200" i="4"/>
  <c r="X200" i="4"/>
  <c r="W200" i="4"/>
  <c r="V200" i="4"/>
  <c r="U200" i="4"/>
  <c r="Z199" i="4"/>
  <c r="Y199" i="4"/>
  <c r="X199" i="4"/>
  <c r="W199" i="4"/>
  <c r="V199" i="4"/>
  <c r="U199" i="4"/>
  <c r="Z198" i="4"/>
  <c r="Y198" i="4"/>
  <c r="X198" i="4"/>
  <c r="W198" i="4"/>
  <c r="V198" i="4"/>
  <c r="U198" i="4"/>
  <c r="Z197" i="4"/>
  <c r="Y197" i="4"/>
  <c r="X197" i="4"/>
  <c r="W197" i="4"/>
  <c r="V197" i="4"/>
  <c r="U197" i="4"/>
  <c r="Z196" i="4"/>
  <c r="Y196" i="4"/>
  <c r="X196" i="4"/>
  <c r="W196" i="4"/>
  <c r="V196" i="4"/>
  <c r="U196" i="4"/>
  <c r="Z195" i="4"/>
  <c r="Y195" i="4"/>
  <c r="X195" i="4"/>
  <c r="W195" i="4"/>
  <c r="V195" i="4"/>
  <c r="U195" i="4"/>
  <c r="Z194" i="4"/>
  <c r="Y194" i="4"/>
  <c r="X194" i="4"/>
  <c r="W194" i="4"/>
  <c r="V194" i="4"/>
  <c r="U194" i="4"/>
  <c r="Z193" i="4"/>
  <c r="Y193" i="4"/>
  <c r="X193" i="4"/>
  <c r="W193" i="4"/>
  <c r="V193" i="4"/>
  <c r="U193" i="4"/>
  <c r="Z192" i="4"/>
  <c r="Y192" i="4"/>
  <c r="X192" i="4"/>
  <c r="W192" i="4"/>
  <c r="V192" i="4"/>
  <c r="U192" i="4"/>
  <c r="Z191" i="4"/>
  <c r="Y191" i="4"/>
  <c r="X191" i="4"/>
  <c r="W191" i="4"/>
  <c r="V191" i="4"/>
  <c r="U191" i="4"/>
  <c r="Z190" i="4"/>
  <c r="Y190" i="4"/>
  <c r="X190" i="4"/>
  <c r="W190" i="4"/>
  <c r="V190" i="4"/>
  <c r="U190" i="4"/>
  <c r="Z189" i="4"/>
  <c r="Y189" i="4"/>
  <c r="X189" i="4"/>
  <c r="W189" i="4"/>
  <c r="V189" i="4"/>
  <c r="U189" i="4"/>
  <c r="Z188" i="4"/>
  <c r="Y188" i="4"/>
  <c r="X188" i="4"/>
  <c r="W188" i="4"/>
  <c r="V188" i="4"/>
  <c r="U188" i="4"/>
  <c r="Z187" i="4"/>
  <c r="Y187" i="4"/>
  <c r="X187" i="4"/>
  <c r="W187" i="4"/>
  <c r="V187" i="4"/>
  <c r="U187" i="4"/>
  <c r="Z186" i="4"/>
  <c r="Y186" i="4"/>
  <c r="X186" i="4"/>
  <c r="W186" i="4"/>
  <c r="V186" i="4"/>
  <c r="U186" i="4"/>
  <c r="Z185" i="4"/>
  <c r="Y185" i="4"/>
  <c r="X185" i="4"/>
  <c r="W185" i="4"/>
  <c r="V185" i="4"/>
  <c r="U185" i="4"/>
  <c r="Z184" i="4"/>
  <c r="Y184" i="4"/>
  <c r="X184" i="4"/>
  <c r="W184" i="4"/>
  <c r="V184" i="4"/>
  <c r="U184" i="4"/>
  <c r="Z183" i="4"/>
  <c r="Y183" i="4"/>
  <c r="X183" i="4"/>
  <c r="W183" i="4"/>
  <c r="V183" i="4"/>
  <c r="U183" i="4"/>
  <c r="Z182" i="4"/>
  <c r="Y182" i="4"/>
  <c r="X182" i="4"/>
  <c r="W182" i="4"/>
  <c r="V182" i="4"/>
  <c r="U182" i="4"/>
  <c r="Z181" i="4"/>
  <c r="Y181" i="4"/>
  <c r="X181" i="4"/>
  <c r="W181" i="4"/>
  <c r="V181" i="4"/>
  <c r="U181" i="4"/>
  <c r="Z180" i="4"/>
  <c r="Y180" i="4"/>
  <c r="X180" i="4"/>
  <c r="W180" i="4"/>
  <c r="V180" i="4"/>
  <c r="U180" i="4"/>
  <c r="Z179" i="4"/>
  <c r="Y179" i="4"/>
  <c r="X179" i="4"/>
  <c r="W179" i="4"/>
  <c r="V179" i="4"/>
  <c r="U179" i="4"/>
  <c r="Z178" i="4"/>
  <c r="Y178" i="4"/>
  <c r="X178" i="4"/>
  <c r="W178" i="4"/>
  <c r="V178" i="4"/>
  <c r="U178" i="4"/>
  <c r="Z177" i="4"/>
  <c r="Y177" i="4"/>
  <c r="X177" i="4"/>
  <c r="W177" i="4"/>
  <c r="V177" i="4"/>
  <c r="U177" i="4"/>
  <c r="Z176" i="4"/>
  <c r="Y176" i="4"/>
  <c r="X176" i="4"/>
  <c r="W176" i="4"/>
  <c r="V176" i="4"/>
  <c r="U176" i="4"/>
  <c r="Z175" i="4"/>
  <c r="Y175" i="4"/>
  <c r="X175" i="4"/>
  <c r="W175" i="4"/>
  <c r="V175" i="4"/>
  <c r="U175" i="4"/>
  <c r="Z174" i="4"/>
  <c r="Y174" i="4"/>
  <c r="X174" i="4"/>
  <c r="W174" i="4"/>
  <c r="V174" i="4"/>
  <c r="U174" i="4"/>
  <c r="Z173" i="4"/>
  <c r="Y173" i="4"/>
  <c r="X173" i="4"/>
  <c r="W173" i="4"/>
  <c r="V173" i="4"/>
  <c r="U173" i="4"/>
  <c r="Z172" i="4"/>
  <c r="Y172" i="4"/>
  <c r="X172" i="4"/>
  <c r="W172" i="4"/>
  <c r="V172" i="4"/>
  <c r="U172" i="4"/>
  <c r="Z171" i="4"/>
  <c r="Y171" i="4"/>
  <c r="X171" i="4"/>
  <c r="W171" i="4"/>
  <c r="V171" i="4"/>
  <c r="U171" i="4"/>
  <c r="Z170" i="4"/>
  <c r="Y170" i="4"/>
  <c r="X170" i="4"/>
  <c r="W170" i="4"/>
  <c r="V170" i="4"/>
  <c r="U170" i="4"/>
  <c r="Z169" i="4"/>
  <c r="Y169" i="4"/>
  <c r="X169" i="4"/>
  <c r="W169" i="4"/>
  <c r="V169" i="4"/>
  <c r="U169" i="4"/>
  <c r="Z168" i="4"/>
  <c r="Y168" i="4"/>
  <c r="X168" i="4"/>
  <c r="W168" i="4"/>
  <c r="V168" i="4"/>
  <c r="U168" i="4"/>
  <c r="Z167" i="4"/>
  <c r="Y167" i="4"/>
  <c r="X167" i="4"/>
  <c r="W167" i="4"/>
  <c r="V167" i="4"/>
  <c r="U167" i="4"/>
  <c r="Z166" i="4"/>
  <c r="Y166" i="4"/>
  <c r="X166" i="4"/>
  <c r="W166" i="4"/>
  <c r="V166" i="4"/>
  <c r="U166" i="4"/>
  <c r="Z165" i="4"/>
  <c r="Y165" i="4"/>
  <c r="X165" i="4"/>
  <c r="W165" i="4"/>
  <c r="V165" i="4"/>
  <c r="U165" i="4"/>
  <c r="Z164" i="4"/>
  <c r="Y164" i="4"/>
  <c r="X164" i="4"/>
  <c r="W164" i="4"/>
  <c r="V164" i="4"/>
  <c r="U164" i="4"/>
  <c r="Z163" i="4"/>
  <c r="Y163" i="4"/>
  <c r="X163" i="4"/>
  <c r="W163" i="4"/>
  <c r="V163" i="4"/>
  <c r="U163" i="4"/>
  <c r="Z162" i="4"/>
  <c r="Y162" i="4"/>
  <c r="X162" i="4"/>
  <c r="W162" i="4"/>
  <c r="V162" i="4"/>
  <c r="U162" i="4"/>
  <c r="Z161" i="4"/>
  <c r="Y161" i="4"/>
  <c r="X161" i="4"/>
  <c r="W161" i="4"/>
  <c r="V161" i="4"/>
  <c r="U161" i="4"/>
  <c r="Z160" i="4"/>
  <c r="Y160" i="4"/>
  <c r="X160" i="4"/>
  <c r="W160" i="4"/>
  <c r="V160" i="4"/>
  <c r="U160" i="4"/>
  <c r="Z159" i="4"/>
  <c r="Y159" i="4"/>
  <c r="X159" i="4"/>
  <c r="W159" i="4"/>
  <c r="V159" i="4"/>
  <c r="U159" i="4"/>
  <c r="Z158" i="4"/>
  <c r="Y158" i="4"/>
  <c r="X158" i="4"/>
  <c r="W158" i="4"/>
  <c r="V158" i="4"/>
  <c r="U158" i="4"/>
  <c r="Z157" i="4"/>
  <c r="Y157" i="4"/>
  <c r="X157" i="4"/>
  <c r="W157" i="4"/>
  <c r="V157" i="4"/>
  <c r="U157" i="4"/>
  <c r="Z156" i="4"/>
  <c r="Y156" i="4"/>
  <c r="X156" i="4"/>
  <c r="W156" i="4"/>
  <c r="V156" i="4"/>
  <c r="U156" i="4"/>
  <c r="Z155" i="4"/>
  <c r="Y155" i="4"/>
  <c r="X155" i="4"/>
  <c r="W155" i="4"/>
  <c r="V155" i="4"/>
  <c r="U155" i="4"/>
  <c r="Z154" i="4"/>
  <c r="Y154" i="4"/>
  <c r="X154" i="4"/>
  <c r="W154" i="4"/>
  <c r="V154" i="4"/>
  <c r="U154" i="4"/>
  <c r="Z153" i="4"/>
  <c r="Y153" i="4"/>
  <c r="X153" i="4"/>
  <c r="W153" i="4"/>
  <c r="V153" i="4"/>
  <c r="U153" i="4"/>
  <c r="Z152" i="4"/>
  <c r="Y152" i="4"/>
  <c r="X152" i="4"/>
  <c r="W152" i="4"/>
  <c r="V152" i="4"/>
  <c r="U152" i="4"/>
  <c r="Z151" i="4"/>
  <c r="Y151" i="4"/>
  <c r="X151" i="4"/>
  <c r="W151" i="4"/>
  <c r="V151" i="4"/>
  <c r="U151" i="4"/>
  <c r="Z150" i="4"/>
  <c r="Y150" i="4"/>
  <c r="X150" i="4"/>
  <c r="W150" i="4"/>
  <c r="V150" i="4"/>
  <c r="U150" i="4"/>
  <c r="Z149" i="4"/>
  <c r="Y149" i="4"/>
  <c r="X149" i="4"/>
  <c r="W149" i="4"/>
  <c r="V149" i="4"/>
  <c r="U149" i="4"/>
  <c r="Z148" i="4"/>
  <c r="Y148" i="4"/>
  <c r="X148" i="4"/>
  <c r="W148" i="4"/>
  <c r="V148" i="4"/>
  <c r="U148" i="4"/>
  <c r="Z147" i="4"/>
  <c r="Y147" i="4"/>
  <c r="X147" i="4"/>
  <c r="W147" i="4"/>
  <c r="V147" i="4"/>
  <c r="U147" i="4"/>
  <c r="Z146" i="4"/>
  <c r="Y146" i="4"/>
  <c r="X146" i="4"/>
  <c r="W146" i="4"/>
  <c r="V146" i="4"/>
  <c r="U146" i="4"/>
  <c r="Z145" i="4"/>
  <c r="Y145" i="4"/>
  <c r="X145" i="4"/>
  <c r="W145" i="4"/>
  <c r="V145" i="4"/>
  <c r="U145" i="4"/>
  <c r="Z144" i="4"/>
  <c r="Y144" i="4"/>
  <c r="X144" i="4"/>
  <c r="W144" i="4"/>
  <c r="V144" i="4"/>
  <c r="U144" i="4"/>
  <c r="Z143" i="4"/>
  <c r="Y143" i="4"/>
  <c r="X143" i="4"/>
  <c r="W143" i="4"/>
  <c r="V143" i="4"/>
  <c r="U143" i="4"/>
  <c r="Z142" i="4"/>
  <c r="Y142" i="4"/>
  <c r="X142" i="4"/>
  <c r="W142" i="4"/>
  <c r="V142" i="4"/>
  <c r="U142" i="4"/>
  <c r="Z141" i="4"/>
  <c r="Y141" i="4"/>
  <c r="X141" i="4"/>
  <c r="W141" i="4"/>
  <c r="V141" i="4"/>
  <c r="U141" i="4"/>
  <c r="Z140" i="4"/>
  <c r="Y140" i="4"/>
  <c r="X140" i="4"/>
  <c r="W140" i="4"/>
  <c r="V140" i="4"/>
  <c r="U140" i="4"/>
  <c r="Z139" i="4"/>
  <c r="Y139" i="4"/>
  <c r="X139" i="4"/>
  <c r="W139" i="4"/>
  <c r="V139" i="4"/>
  <c r="U139" i="4"/>
  <c r="Z138" i="4"/>
  <c r="Y138" i="4"/>
  <c r="X138" i="4"/>
  <c r="W138" i="4"/>
  <c r="V138" i="4"/>
  <c r="U138" i="4"/>
  <c r="Z137" i="4"/>
  <c r="Y137" i="4"/>
  <c r="X137" i="4"/>
  <c r="W137" i="4"/>
  <c r="V137" i="4"/>
  <c r="U137" i="4"/>
  <c r="Z136" i="4"/>
  <c r="Y136" i="4"/>
  <c r="X136" i="4"/>
  <c r="W136" i="4"/>
  <c r="V136" i="4"/>
  <c r="U136" i="4"/>
  <c r="Z135" i="4"/>
  <c r="Y135" i="4"/>
  <c r="X135" i="4"/>
  <c r="W135" i="4"/>
  <c r="V135" i="4"/>
  <c r="U135" i="4"/>
  <c r="Z134" i="4"/>
  <c r="Y134" i="4"/>
  <c r="X134" i="4"/>
  <c r="W134" i="4"/>
  <c r="V134" i="4"/>
  <c r="U134" i="4"/>
  <c r="Z133" i="4"/>
  <c r="Y133" i="4"/>
  <c r="X133" i="4"/>
  <c r="W133" i="4"/>
  <c r="V133" i="4"/>
  <c r="U133" i="4"/>
  <c r="Z132" i="4"/>
  <c r="Y132" i="4"/>
  <c r="X132" i="4"/>
  <c r="W132" i="4"/>
  <c r="V132" i="4"/>
  <c r="U132" i="4"/>
  <c r="Z131" i="4"/>
  <c r="Y131" i="4"/>
  <c r="X131" i="4"/>
  <c r="W131" i="4"/>
  <c r="V131" i="4"/>
  <c r="U131" i="4"/>
  <c r="Z130" i="4"/>
  <c r="Y130" i="4"/>
  <c r="X130" i="4"/>
  <c r="W130" i="4"/>
  <c r="V130" i="4"/>
  <c r="U130" i="4"/>
  <c r="Z129" i="4"/>
  <c r="Y129" i="4"/>
  <c r="X129" i="4"/>
  <c r="W129" i="4"/>
  <c r="V129" i="4"/>
  <c r="U129" i="4"/>
  <c r="Z128" i="4"/>
  <c r="Y128" i="4"/>
  <c r="X128" i="4"/>
  <c r="W128" i="4"/>
  <c r="V128" i="4"/>
  <c r="U128" i="4"/>
  <c r="Z127" i="4"/>
  <c r="Y127" i="4"/>
  <c r="X127" i="4"/>
  <c r="W127" i="4"/>
  <c r="V127" i="4"/>
  <c r="U127" i="4"/>
  <c r="Z126" i="4"/>
  <c r="Y126" i="4"/>
  <c r="X126" i="4"/>
  <c r="W126" i="4"/>
  <c r="V126" i="4"/>
  <c r="U126" i="4"/>
  <c r="Z125" i="4"/>
  <c r="Y125" i="4"/>
  <c r="X125" i="4"/>
  <c r="W125" i="4"/>
  <c r="V125" i="4"/>
  <c r="U125" i="4"/>
  <c r="Z124" i="4"/>
  <c r="Y124" i="4"/>
  <c r="X124" i="4"/>
  <c r="W124" i="4"/>
  <c r="V124" i="4"/>
  <c r="U124" i="4"/>
  <c r="Z123" i="4"/>
  <c r="Y123" i="4"/>
  <c r="X123" i="4"/>
  <c r="W123" i="4"/>
  <c r="V123" i="4"/>
  <c r="U123" i="4"/>
  <c r="Z122" i="4"/>
  <c r="Y122" i="4"/>
  <c r="X122" i="4"/>
  <c r="W122" i="4"/>
  <c r="V122" i="4"/>
  <c r="U122" i="4"/>
  <c r="Z121" i="4"/>
  <c r="Y121" i="4"/>
  <c r="X121" i="4"/>
  <c r="W121" i="4"/>
  <c r="V121" i="4"/>
  <c r="U121" i="4"/>
  <c r="Z120" i="4"/>
  <c r="Y120" i="4"/>
  <c r="X120" i="4"/>
  <c r="W120" i="4"/>
  <c r="V120" i="4"/>
  <c r="U120" i="4"/>
  <c r="Z119" i="4"/>
  <c r="Y119" i="4"/>
  <c r="X119" i="4"/>
  <c r="W119" i="4"/>
  <c r="V119" i="4"/>
  <c r="U119" i="4"/>
  <c r="Z118" i="4"/>
  <c r="Y118" i="4"/>
  <c r="X118" i="4"/>
  <c r="W118" i="4"/>
  <c r="V118" i="4"/>
  <c r="U118" i="4"/>
  <c r="Z117" i="4"/>
  <c r="Y117" i="4"/>
  <c r="X117" i="4"/>
  <c r="W117" i="4"/>
  <c r="V117" i="4"/>
  <c r="U117" i="4"/>
  <c r="Z116" i="4"/>
  <c r="Y116" i="4"/>
  <c r="X116" i="4"/>
  <c r="W116" i="4"/>
  <c r="V116" i="4"/>
  <c r="U116" i="4"/>
  <c r="Z115" i="4"/>
  <c r="Y115" i="4"/>
  <c r="X115" i="4"/>
  <c r="W115" i="4"/>
  <c r="V115" i="4"/>
  <c r="U115" i="4"/>
  <c r="Z114" i="4"/>
  <c r="Y114" i="4"/>
  <c r="X114" i="4"/>
  <c r="W114" i="4"/>
  <c r="V114" i="4"/>
  <c r="U114" i="4"/>
  <c r="Z113" i="4"/>
  <c r="Y113" i="4"/>
  <c r="X113" i="4"/>
  <c r="W113" i="4"/>
  <c r="V113" i="4"/>
  <c r="U113" i="4"/>
  <c r="Z112" i="4"/>
  <c r="Y112" i="4"/>
  <c r="X112" i="4"/>
  <c r="W112" i="4"/>
  <c r="V112" i="4"/>
  <c r="U112" i="4"/>
  <c r="Z111" i="4"/>
  <c r="Y111" i="4"/>
  <c r="X111" i="4"/>
  <c r="W111" i="4"/>
  <c r="V111" i="4"/>
  <c r="U111" i="4"/>
  <c r="Z110" i="4"/>
  <c r="Y110" i="4"/>
  <c r="X110" i="4"/>
  <c r="W110" i="4"/>
  <c r="V110" i="4"/>
  <c r="U110" i="4"/>
  <c r="Z109" i="4"/>
  <c r="Y109" i="4"/>
  <c r="X109" i="4"/>
  <c r="W109" i="4"/>
  <c r="V109" i="4"/>
  <c r="U109" i="4"/>
  <c r="Z108" i="4"/>
  <c r="Y108" i="4"/>
  <c r="X108" i="4"/>
  <c r="W108" i="4"/>
  <c r="V108" i="4"/>
  <c r="U108" i="4"/>
  <c r="Z107" i="4"/>
  <c r="Y107" i="4"/>
  <c r="X107" i="4"/>
  <c r="W107" i="4"/>
  <c r="V107" i="4"/>
  <c r="U107" i="4"/>
  <c r="Z106" i="4"/>
  <c r="Y106" i="4"/>
  <c r="X106" i="4"/>
  <c r="W106" i="4"/>
  <c r="V106" i="4"/>
  <c r="U106" i="4"/>
  <c r="Z105" i="4"/>
  <c r="Y105" i="4"/>
  <c r="X105" i="4"/>
  <c r="W105" i="4"/>
  <c r="V105" i="4"/>
  <c r="U105" i="4"/>
  <c r="Z104" i="4"/>
  <c r="Y104" i="4"/>
  <c r="X104" i="4"/>
  <c r="W104" i="4"/>
  <c r="V104" i="4"/>
  <c r="U104" i="4"/>
  <c r="Z103" i="4"/>
  <c r="Y103" i="4"/>
  <c r="X103" i="4"/>
  <c r="W103" i="4"/>
  <c r="V103" i="4"/>
  <c r="U103" i="4"/>
  <c r="Z102" i="4"/>
  <c r="Y102" i="4"/>
  <c r="X102" i="4"/>
  <c r="W102" i="4"/>
  <c r="V102" i="4"/>
  <c r="U102" i="4"/>
  <c r="Z101" i="4"/>
  <c r="Y101" i="4"/>
  <c r="X101" i="4"/>
  <c r="W101" i="4"/>
  <c r="V101" i="4"/>
  <c r="U101" i="4"/>
  <c r="Z100" i="4"/>
  <c r="Y100" i="4"/>
  <c r="X100" i="4"/>
  <c r="W100" i="4"/>
  <c r="V100" i="4"/>
  <c r="U100" i="4"/>
  <c r="Z99" i="4"/>
  <c r="Y99" i="4"/>
  <c r="X99" i="4"/>
  <c r="W99" i="4"/>
  <c r="V99" i="4"/>
  <c r="U99" i="4"/>
  <c r="Z98" i="4"/>
  <c r="Y98" i="4"/>
  <c r="X98" i="4"/>
  <c r="W98" i="4"/>
  <c r="V98" i="4"/>
  <c r="U98" i="4"/>
  <c r="Z97" i="4"/>
  <c r="Y97" i="4"/>
  <c r="X97" i="4"/>
  <c r="W97" i="4"/>
  <c r="V97" i="4"/>
  <c r="U97" i="4"/>
  <c r="Z96" i="4"/>
  <c r="Y96" i="4"/>
  <c r="X96" i="4"/>
  <c r="W96" i="4"/>
  <c r="V96" i="4"/>
  <c r="U96" i="4"/>
  <c r="Z95" i="4"/>
  <c r="Y95" i="4"/>
  <c r="X95" i="4"/>
  <c r="W95" i="4"/>
  <c r="V95" i="4"/>
  <c r="U95" i="4"/>
  <c r="Z94" i="4"/>
  <c r="Y94" i="4"/>
  <c r="X94" i="4"/>
  <c r="W94" i="4"/>
  <c r="V94" i="4"/>
  <c r="U94" i="4"/>
  <c r="Z93" i="4"/>
  <c r="Y93" i="4"/>
  <c r="X93" i="4"/>
  <c r="W93" i="4"/>
  <c r="V93" i="4"/>
  <c r="U93" i="4"/>
  <c r="Z92" i="4"/>
  <c r="Y92" i="4"/>
  <c r="X92" i="4"/>
  <c r="W92" i="4"/>
  <c r="V92" i="4"/>
  <c r="U92" i="4"/>
  <c r="Z91" i="4"/>
  <c r="Y91" i="4"/>
  <c r="X91" i="4"/>
  <c r="W91" i="4"/>
  <c r="V91" i="4"/>
  <c r="U91" i="4"/>
  <c r="Z90" i="4"/>
  <c r="Y90" i="4"/>
  <c r="X90" i="4"/>
  <c r="W90" i="4"/>
  <c r="V90" i="4"/>
  <c r="U90" i="4"/>
  <c r="Z89" i="4"/>
  <c r="Y89" i="4"/>
  <c r="X89" i="4"/>
  <c r="W89" i="4"/>
  <c r="V89" i="4"/>
  <c r="U89" i="4"/>
  <c r="Z88" i="4"/>
  <c r="Y88" i="4"/>
  <c r="X88" i="4"/>
  <c r="W88" i="4"/>
  <c r="V88" i="4"/>
  <c r="U88" i="4"/>
  <c r="Z87" i="4"/>
  <c r="Y87" i="4"/>
  <c r="X87" i="4"/>
  <c r="W87" i="4"/>
  <c r="V87" i="4"/>
  <c r="U87" i="4"/>
  <c r="Z86" i="4"/>
  <c r="Y86" i="4"/>
  <c r="X86" i="4"/>
  <c r="W86" i="4"/>
  <c r="V86" i="4"/>
  <c r="U86" i="4"/>
  <c r="Z85" i="4"/>
  <c r="Y85" i="4"/>
  <c r="X85" i="4"/>
  <c r="W85" i="4"/>
  <c r="V85" i="4"/>
  <c r="U85" i="4"/>
  <c r="Z84" i="4"/>
  <c r="Y84" i="4"/>
  <c r="X84" i="4"/>
  <c r="W84" i="4"/>
  <c r="V84" i="4"/>
  <c r="U84" i="4"/>
  <c r="Z83" i="4"/>
  <c r="Y83" i="4"/>
  <c r="X83" i="4"/>
  <c r="W83" i="4"/>
  <c r="V83" i="4"/>
  <c r="U83" i="4"/>
  <c r="Z82" i="4"/>
  <c r="Y82" i="4"/>
  <c r="X82" i="4"/>
  <c r="W82" i="4"/>
  <c r="V82" i="4"/>
  <c r="U82" i="4"/>
  <c r="Z81" i="4"/>
  <c r="Y81" i="4"/>
  <c r="X81" i="4"/>
  <c r="W81" i="4"/>
  <c r="V81" i="4"/>
  <c r="U81" i="4"/>
  <c r="Z80" i="4"/>
  <c r="Y80" i="4"/>
  <c r="X80" i="4"/>
  <c r="W80" i="4"/>
  <c r="V80" i="4"/>
  <c r="U80" i="4"/>
  <c r="Z79" i="4"/>
  <c r="Y79" i="4"/>
  <c r="X79" i="4"/>
  <c r="W79" i="4"/>
  <c r="V79" i="4"/>
  <c r="U79" i="4"/>
  <c r="Z78" i="4"/>
  <c r="Y78" i="4"/>
  <c r="X78" i="4"/>
  <c r="W78" i="4"/>
  <c r="V78" i="4"/>
  <c r="U78" i="4"/>
  <c r="Z77" i="4"/>
  <c r="Y77" i="4"/>
  <c r="X77" i="4"/>
  <c r="W77" i="4"/>
  <c r="V77" i="4"/>
  <c r="U77" i="4"/>
  <c r="Z76" i="4"/>
  <c r="Y76" i="4"/>
  <c r="X76" i="4"/>
  <c r="W76" i="4"/>
  <c r="V76" i="4"/>
  <c r="U76" i="4"/>
  <c r="Z75" i="4"/>
  <c r="Y75" i="4"/>
  <c r="X75" i="4"/>
  <c r="W75" i="4"/>
  <c r="V75" i="4"/>
  <c r="U75" i="4"/>
  <c r="Z74" i="4"/>
  <c r="Y74" i="4"/>
  <c r="X74" i="4"/>
  <c r="W74" i="4"/>
  <c r="V74" i="4"/>
  <c r="U74" i="4"/>
  <c r="Z73" i="4"/>
  <c r="Y73" i="4"/>
  <c r="X73" i="4"/>
  <c r="W73" i="4"/>
  <c r="V73" i="4"/>
  <c r="U73" i="4"/>
  <c r="Z72" i="4"/>
  <c r="Y72" i="4"/>
  <c r="X72" i="4"/>
  <c r="W72" i="4"/>
  <c r="V72" i="4"/>
  <c r="U72" i="4"/>
  <c r="Z71" i="4"/>
  <c r="Y71" i="4"/>
  <c r="X71" i="4"/>
  <c r="W71" i="4"/>
  <c r="V71" i="4"/>
  <c r="U71" i="4"/>
  <c r="Z70" i="4"/>
  <c r="Y70" i="4"/>
  <c r="X70" i="4"/>
  <c r="W70" i="4"/>
  <c r="V70" i="4"/>
  <c r="U70" i="4"/>
  <c r="Z69" i="4"/>
  <c r="Y69" i="4"/>
  <c r="X69" i="4"/>
  <c r="W69" i="4"/>
  <c r="V69" i="4"/>
  <c r="U69" i="4"/>
  <c r="Z68" i="4"/>
  <c r="Y68" i="4"/>
  <c r="X68" i="4"/>
  <c r="W68" i="4"/>
  <c r="V68" i="4"/>
  <c r="U68" i="4"/>
  <c r="Z67" i="4"/>
  <c r="Y67" i="4"/>
  <c r="X67" i="4"/>
  <c r="W67" i="4"/>
  <c r="V67" i="4"/>
  <c r="U67" i="4"/>
  <c r="Z66" i="4"/>
  <c r="Y66" i="4"/>
  <c r="X66" i="4"/>
  <c r="W66" i="4"/>
  <c r="V66" i="4"/>
  <c r="U66" i="4"/>
  <c r="Z65" i="4"/>
  <c r="Y65" i="4"/>
  <c r="X65" i="4"/>
  <c r="W65" i="4"/>
  <c r="V65" i="4"/>
  <c r="U65" i="4"/>
  <c r="Z64" i="4"/>
  <c r="Y64" i="4"/>
  <c r="X64" i="4"/>
  <c r="W64" i="4"/>
  <c r="V64" i="4"/>
  <c r="U64" i="4"/>
  <c r="Z63" i="4"/>
  <c r="Y63" i="4"/>
  <c r="X63" i="4"/>
  <c r="W63" i="4"/>
  <c r="V63" i="4"/>
  <c r="U63" i="4"/>
  <c r="Z62" i="4"/>
  <c r="Y62" i="4"/>
  <c r="X62" i="4"/>
  <c r="W62" i="4"/>
  <c r="V62" i="4"/>
  <c r="U62" i="4"/>
  <c r="Z61" i="4"/>
  <c r="Y61" i="4"/>
  <c r="X61" i="4"/>
  <c r="W61" i="4"/>
  <c r="V61" i="4"/>
  <c r="U61" i="4"/>
  <c r="Z60" i="4"/>
  <c r="Y60" i="4"/>
  <c r="X60" i="4"/>
  <c r="W60" i="4"/>
  <c r="V60" i="4"/>
  <c r="U60" i="4"/>
  <c r="Z59" i="4"/>
  <c r="Y59" i="4"/>
  <c r="X59" i="4"/>
  <c r="W59" i="4"/>
  <c r="V59" i="4"/>
  <c r="U59" i="4"/>
  <c r="Z58" i="4"/>
  <c r="Y58" i="4"/>
  <c r="X58" i="4"/>
  <c r="W58" i="4"/>
  <c r="V58" i="4"/>
  <c r="U58" i="4"/>
  <c r="Z57" i="4"/>
  <c r="Y57" i="4"/>
  <c r="X57" i="4"/>
  <c r="W57" i="4"/>
  <c r="V57" i="4"/>
  <c r="U57" i="4"/>
  <c r="Z56" i="4"/>
  <c r="Y56" i="4"/>
  <c r="X56" i="4"/>
  <c r="W56" i="4"/>
  <c r="V56" i="4"/>
  <c r="U56" i="4"/>
  <c r="Z55" i="4"/>
  <c r="Y55" i="4"/>
  <c r="X55" i="4"/>
  <c r="W55" i="4"/>
  <c r="V55" i="4"/>
  <c r="U55" i="4"/>
  <c r="Z54" i="4"/>
  <c r="Y54" i="4"/>
  <c r="X54" i="4"/>
  <c r="W54" i="4"/>
  <c r="V54" i="4"/>
  <c r="U54" i="4"/>
  <c r="Z53" i="4"/>
  <c r="Y53" i="4"/>
  <c r="X53" i="4"/>
  <c r="W53" i="4"/>
  <c r="V53" i="4"/>
  <c r="U53" i="4"/>
  <c r="Z52" i="4"/>
  <c r="Y52" i="4"/>
  <c r="X52" i="4"/>
  <c r="W52" i="4"/>
  <c r="V52" i="4"/>
  <c r="U52" i="4"/>
  <c r="Z51" i="4"/>
  <c r="Y51" i="4"/>
  <c r="X51" i="4"/>
  <c r="W51" i="4"/>
  <c r="V51" i="4"/>
  <c r="U51" i="4"/>
  <c r="Z50" i="4"/>
  <c r="Y50" i="4"/>
  <c r="X50" i="4"/>
  <c r="W50" i="4"/>
  <c r="V50" i="4"/>
  <c r="U50" i="4"/>
  <c r="Z49" i="4"/>
  <c r="Y49" i="4"/>
  <c r="X49" i="4"/>
  <c r="W49" i="4"/>
  <c r="V49" i="4"/>
  <c r="U49" i="4"/>
  <c r="Z48" i="4"/>
  <c r="Y48" i="4"/>
  <c r="X48" i="4"/>
  <c r="W48" i="4"/>
  <c r="V48" i="4"/>
  <c r="U48" i="4"/>
  <c r="Z47" i="4"/>
  <c r="Y47" i="4"/>
  <c r="X47" i="4"/>
  <c r="W47" i="4"/>
  <c r="V47" i="4"/>
  <c r="U47" i="4"/>
  <c r="Z46" i="4"/>
  <c r="Y46" i="4"/>
  <c r="X46" i="4"/>
  <c r="W46" i="4"/>
  <c r="V46" i="4"/>
  <c r="U46" i="4"/>
  <c r="Z45" i="4"/>
  <c r="Y45" i="4"/>
  <c r="X45" i="4"/>
  <c r="W45" i="4"/>
  <c r="V45" i="4"/>
  <c r="U45" i="4"/>
  <c r="Z44" i="4"/>
  <c r="Y44" i="4"/>
  <c r="X44" i="4"/>
  <c r="W44" i="4"/>
  <c r="V44" i="4"/>
  <c r="U44" i="4"/>
  <c r="Z43" i="4"/>
  <c r="Y43" i="4"/>
  <c r="X43" i="4"/>
  <c r="W43" i="4"/>
  <c r="V43" i="4"/>
  <c r="U43" i="4"/>
  <c r="Z42" i="4"/>
  <c r="Y42" i="4"/>
  <c r="X42" i="4"/>
  <c r="W42" i="4"/>
  <c r="V42" i="4"/>
  <c r="U42" i="4"/>
  <c r="Z41" i="4"/>
  <c r="Y41" i="4"/>
  <c r="X41" i="4"/>
  <c r="W41" i="4"/>
  <c r="V41" i="4"/>
  <c r="U41" i="4"/>
  <c r="Z40" i="4"/>
  <c r="Y40" i="4"/>
  <c r="X40" i="4"/>
  <c r="W40" i="4"/>
  <c r="V40" i="4"/>
  <c r="U40" i="4"/>
  <c r="Z39" i="4"/>
  <c r="Y39" i="4"/>
  <c r="X39" i="4"/>
  <c r="W39" i="4"/>
  <c r="V39" i="4"/>
  <c r="U39" i="4"/>
  <c r="Z38" i="4"/>
  <c r="Y38" i="4"/>
  <c r="X38" i="4"/>
  <c r="W38" i="4"/>
  <c r="V38" i="4"/>
  <c r="U38" i="4"/>
  <c r="Z37" i="4"/>
  <c r="Y37" i="4"/>
  <c r="X37" i="4"/>
  <c r="W37" i="4"/>
  <c r="V37" i="4"/>
  <c r="U37" i="4"/>
  <c r="Z36" i="4"/>
  <c r="Y36" i="4"/>
  <c r="X36" i="4"/>
  <c r="W36" i="4"/>
  <c r="V36" i="4"/>
  <c r="U36" i="4"/>
  <c r="Z35" i="4"/>
  <c r="Y35" i="4"/>
  <c r="X35" i="4"/>
  <c r="W35" i="4"/>
  <c r="V35" i="4"/>
  <c r="U35" i="4"/>
  <c r="Z34" i="4"/>
  <c r="Y34" i="4"/>
  <c r="X34" i="4"/>
  <c r="W34" i="4"/>
  <c r="V34" i="4"/>
  <c r="U34" i="4"/>
  <c r="Z33" i="4"/>
  <c r="Y33" i="4"/>
  <c r="X33" i="4"/>
  <c r="W33" i="4"/>
  <c r="V33" i="4"/>
  <c r="U33" i="4"/>
  <c r="Z32" i="4"/>
  <c r="Y32" i="4"/>
  <c r="X32" i="4"/>
  <c r="W32" i="4"/>
  <c r="V32" i="4"/>
  <c r="U32" i="4"/>
  <c r="Z31" i="4"/>
  <c r="Y31" i="4"/>
  <c r="X31" i="4"/>
  <c r="W31" i="4"/>
  <c r="V31" i="4"/>
  <c r="U31" i="4"/>
  <c r="Z30" i="4"/>
  <c r="Y30" i="4"/>
  <c r="X30" i="4"/>
  <c r="W30" i="4"/>
  <c r="V30" i="4"/>
  <c r="U30" i="4"/>
  <c r="Z29" i="4"/>
  <c r="Y29" i="4"/>
  <c r="X29" i="4"/>
  <c r="W29" i="4"/>
  <c r="V29" i="4"/>
  <c r="U29" i="4"/>
  <c r="Z28" i="4"/>
  <c r="Y28" i="4"/>
  <c r="X28" i="4"/>
  <c r="W28" i="4"/>
  <c r="V28" i="4"/>
  <c r="U28" i="4"/>
  <c r="Z27" i="4"/>
  <c r="Y27" i="4"/>
  <c r="X27" i="4"/>
  <c r="W27" i="4"/>
  <c r="V27" i="4"/>
  <c r="U27" i="4"/>
  <c r="Z26" i="4"/>
  <c r="Y26" i="4"/>
  <c r="X26" i="4"/>
  <c r="W26" i="4"/>
  <c r="V26" i="4"/>
  <c r="U26" i="4"/>
  <c r="Z25" i="4"/>
  <c r="Y25" i="4"/>
  <c r="X25" i="4"/>
  <c r="W25" i="4"/>
  <c r="V25" i="4"/>
  <c r="U25" i="4"/>
  <c r="Z24" i="4"/>
  <c r="Y24" i="4"/>
  <c r="X24" i="4"/>
  <c r="W24" i="4"/>
  <c r="V24" i="4"/>
  <c r="U24" i="4"/>
  <c r="Z23" i="4"/>
  <c r="Y23" i="4"/>
  <c r="X23" i="4"/>
  <c r="W23" i="4"/>
  <c r="V23" i="4"/>
  <c r="U23" i="4"/>
  <c r="Z22" i="4"/>
  <c r="Y22" i="4"/>
  <c r="X22" i="4"/>
  <c r="W22" i="4"/>
  <c r="V22" i="4"/>
  <c r="U22" i="4"/>
  <c r="Z21" i="4"/>
  <c r="Y21" i="4"/>
  <c r="X21" i="4"/>
  <c r="W21" i="4"/>
  <c r="V21" i="4"/>
  <c r="U21" i="4"/>
  <c r="Z20" i="4"/>
  <c r="Y20" i="4"/>
  <c r="X20" i="4"/>
  <c r="W20" i="4"/>
  <c r="V20" i="4"/>
  <c r="U20" i="4"/>
  <c r="Z19" i="4"/>
  <c r="Y19" i="4"/>
  <c r="X19" i="4"/>
  <c r="W19" i="4"/>
  <c r="V19" i="4"/>
  <c r="U19" i="4"/>
  <c r="Z18" i="4"/>
  <c r="Y18" i="4"/>
  <c r="X18" i="4"/>
  <c r="W18" i="4"/>
  <c r="V18" i="4"/>
  <c r="U18" i="4"/>
  <c r="Z17" i="4"/>
  <c r="Y17" i="4"/>
  <c r="X17" i="4"/>
  <c r="W17" i="4"/>
  <c r="V17" i="4"/>
  <c r="U17" i="4"/>
  <c r="Z16" i="4"/>
  <c r="Y16" i="4"/>
  <c r="X16" i="4"/>
  <c r="W16" i="4"/>
  <c r="V16" i="4"/>
  <c r="U16" i="4"/>
  <c r="Z15" i="4"/>
  <c r="Y15" i="4"/>
  <c r="X15" i="4"/>
  <c r="W15" i="4"/>
  <c r="V15" i="4"/>
  <c r="U15" i="4"/>
  <c r="Z14" i="4"/>
  <c r="Y14" i="4"/>
  <c r="X14" i="4"/>
  <c r="W14" i="4"/>
  <c r="V14" i="4"/>
  <c r="U14" i="4"/>
  <c r="Z13" i="4"/>
  <c r="Y13" i="4"/>
  <c r="X13" i="4"/>
  <c r="W13" i="4"/>
  <c r="V13" i="4"/>
  <c r="U13" i="4"/>
  <c r="Z12" i="4"/>
  <c r="Y12" i="4"/>
  <c r="X12" i="4"/>
  <c r="W12" i="4"/>
  <c r="V12" i="4"/>
  <c r="U12" i="4"/>
  <c r="Z11" i="4"/>
  <c r="Y11" i="4"/>
  <c r="X11" i="4"/>
  <c r="W11" i="4"/>
  <c r="V11" i="4"/>
  <c r="U11" i="4"/>
  <c r="Z10" i="4"/>
  <c r="Y10" i="4"/>
  <c r="X10" i="4"/>
  <c r="W10" i="4"/>
  <c r="V10" i="4"/>
  <c r="U10" i="4"/>
  <c r="Z9" i="4"/>
  <c r="Y9" i="4"/>
  <c r="X9" i="4"/>
  <c r="W9" i="4"/>
  <c r="V9" i="4"/>
  <c r="U9" i="4"/>
  <c r="Z8" i="4"/>
  <c r="Y8" i="4"/>
  <c r="X8" i="4"/>
  <c r="W8" i="4"/>
  <c r="V8" i="4"/>
  <c r="U8" i="4"/>
  <c r="Z7" i="4"/>
  <c r="Y7" i="4"/>
  <c r="X7" i="4"/>
  <c r="W7" i="4"/>
  <c r="V7" i="4"/>
  <c r="U7" i="4"/>
  <c r="Z6" i="4"/>
  <c r="Y6" i="4"/>
  <c r="X6" i="4"/>
  <c r="W6" i="4"/>
  <c r="V6" i="4"/>
  <c r="U6" i="4"/>
  <c r="Z5" i="4"/>
  <c r="Y5" i="4"/>
  <c r="X5" i="4"/>
  <c r="W5" i="4"/>
  <c r="V5" i="4"/>
  <c r="U5" i="4"/>
  <c r="X1004" i="3"/>
  <c r="W1004" i="3"/>
  <c r="V1004" i="3"/>
  <c r="L1004" i="3"/>
  <c r="X1003" i="3"/>
  <c r="W1003" i="3"/>
  <c r="V1003" i="3"/>
  <c r="L1003" i="3"/>
  <c r="X1002" i="3"/>
  <c r="W1002" i="3"/>
  <c r="V1002" i="3"/>
  <c r="L1002" i="3"/>
  <c r="X1001" i="3"/>
  <c r="W1001" i="3"/>
  <c r="V1001" i="3"/>
  <c r="L1001" i="3"/>
  <c r="X1000" i="3"/>
  <c r="W1000" i="3"/>
  <c r="V1000" i="3"/>
  <c r="L1000" i="3"/>
  <c r="X999" i="3"/>
  <c r="W999" i="3"/>
  <c r="V999" i="3"/>
  <c r="L999" i="3"/>
  <c r="X998" i="3"/>
  <c r="W998" i="3"/>
  <c r="V998" i="3"/>
  <c r="L998" i="3"/>
  <c r="X997" i="3"/>
  <c r="W997" i="3"/>
  <c r="V997" i="3"/>
  <c r="L997" i="3"/>
  <c r="X996" i="3"/>
  <c r="W996" i="3"/>
  <c r="V996" i="3"/>
  <c r="L996" i="3"/>
  <c r="X995" i="3"/>
  <c r="W995" i="3"/>
  <c r="V995" i="3"/>
  <c r="L995" i="3"/>
  <c r="X994" i="3"/>
  <c r="W994" i="3"/>
  <c r="V994" i="3"/>
  <c r="L994" i="3"/>
  <c r="X993" i="3"/>
  <c r="W993" i="3"/>
  <c r="V993" i="3"/>
  <c r="L993" i="3"/>
  <c r="X992" i="3"/>
  <c r="W992" i="3"/>
  <c r="V992" i="3"/>
  <c r="L992" i="3"/>
  <c r="X991" i="3"/>
  <c r="W991" i="3"/>
  <c r="V991" i="3"/>
  <c r="L991" i="3"/>
  <c r="X990" i="3"/>
  <c r="W990" i="3"/>
  <c r="V990" i="3"/>
  <c r="L990" i="3"/>
  <c r="X989" i="3"/>
  <c r="W989" i="3"/>
  <c r="V989" i="3"/>
  <c r="L989" i="3"/>
  <c r="X988" i="3"/>
  <c r="W988" i="3"/>
  <c r="V988" i="3"/>
  <c r="L988" i="3"/>
  <c r="X987" i="3"/>
  <c r="W987" i="3"/>
  <c r="V987" i="3"/>
  <c r="L987" i="3"/>
  <c r="X986" i="3"/>
  <c r="W986" i="3"/>
  <c r="V986" i="3"/>
  <c r="L986" i="3"/>
  <c r="X985" i="3"/>
  <c r="W985" i="3"/>
  <c r="V985" i="3"/>
  <c r="L985" i="3"/>
  <c r="X984" i="3"/>
  <c r="W984" i="3"/>
  <c r="V984" i="3"/>
  <c r="L984" i="3"/>
  <c r="X983" i="3"/>
  <c r="W983" i="3"/>
  <c r="V983" i="3"/>
  <c r="L983" i="3"/>
  <c r="X982" i="3"/>
  <c r="W982" i="3"/>
  <c r="V982" i="3"/>
  <c r="L982" i="3"/>
  <c r="X981" i="3"/>
  <c r="W981" i="3"/>
  <c r="V981" i="3"/>
  <c r="L981" i="3"/>
  <c r="X980" i="3"/>
  <c r="W980" i="3"/>
  <c r="V980" i="3"/>
  <c r="L980" i="3"/>
  <c r="X979" i="3"/>
  <c r="W979" i="3"/>
  <c r="V979" i="3"/>
  <c r="L979" i="3"/>
  <c r="X978" i="3"/>
  <c r="W978" i="3"/>
  <c r="V978" i="3"/>
  <c r="L978" i="3"/>
  <c r="X977" i="3"/>
  <c r="W977" i="3"/>
  <c r="V977" i="3"/>
  <c r="L977" i="3"/>
  <c r="X976" i="3"/>
  <c r="W976" i="3"/>
  <c r="V976" i="3"/>
  <c r="L976" i="3"/>
  <c r="X975" i="3"/>
  <c r="W975" i="3"/>
  <c r="V975" i="3"/>
  <c r="L975" i="3"/>
  <c r="X974" i="3"/>
  <c r="W974" i="3"/>
  <c r="V974" i="3"/>
  <c r="L974" i="3"/>
  <c r="X973" i="3"/>
  <c r="W973" i="3"/>
  <c r="V973" i="3"/>
  <c r="L973" i="3"/>
  <c r="X972" i="3"/>
  <c r="W972" i="3"/>
  <c r="V972" i="3"/>
  <c r="L972" i="3"/>
  <c r="X971" i="3"/>
  <c r="W971" i="3"/>
  <c r="V971" i="3"/>
  <c r="L971" i="3"/>
  <c r="X970" i="3"/>
  <c r="W970" i="3"/>
  <c r="V970" i="3"/>
  <c r="L970" i="3"/>
  <c r="X969" i="3"/>
  <c r="W969" i="3"/>
  <c r="V969" i="3"/>
  <c r="L969" i="3"/>
  <c r="X968" i="3"/>
  <c r="W968" i="3"/>
  <c r="V968" i="3"/>
  <c r="L968" i="3"/>
  <c r="X967" i="3"/>
  <c r="W967" i="3"/>
  <c r="V967" i="3"/>
  <c r="L967" i="3"/>
  <c r="X966" i="3"/>
  <c r="W966" i="3"/>
  <c r="V966" i="3"/>
  <c r="L966" i="3"/>
  <c r="X965" i="3"/>
  <c r="W965" i="3"/>
  <c r="V965" i="3"/>
  <c r="L965" i="3"/>
  <c r="X964" i="3"/>
  <c r="W964" i="3"/>
  <c r="V964" i="3"/>
  <c r="L964" i="3"/>
  <c r="X963" i="3"/>
  <c r="W963" i="3"/>
  <c r="V963" i="3"/>
  <c r="L963" i="3"/>
  <c r="X962" i="3"/>
  <c r="W962" i="3"/>
  <c r="V962" i="3"/>
  <c r="L962" i="3"/>
  <c r="X961" i="3"/>
  <c r="W961" i="3"/>
  <c r="V961" i="3"/>
  <c r="L961" i="3"/>
  <c r="X960" i="3"/>
  <c r="W960" i="3"/>
  <c r="V960" i="3"/>
  <c r="L960" i="3"/>
  <c r="X959" i="3"/>
  <c r="W959" i="3"/>
  <c r="V959" i="3"/>
  <c r="L959" i="3"/>
  <c r="X958" i="3"/>
  <c r="W958" i="3"/>
  <c r="V958" i="3"/>
  <c r="L958" i="3"/>
  <c r="X957" i="3"/>
  <c r="W957" i="3"/>
  <c r="V957" i="3"/>
  <c r="L957" i="3"/>
  <c r="X956" i="3"/>
  <c r="W956" i="3"/>
  <c r="V956" i="3"/>
  <c r="L956" i="3"/>
  <c r="X955" i="3"/>
  <c r="W955" i="3"/>
  <c r="V955" i="3"/>
  <c r="L955" i="3"/>
  <c r="X954" i="3"/>
  <c r="W954" i="3"/>
  <c r="V954" i="3"/>
  <c r="L954" i="3"/>
  <c r="X953" i="3"/>
  <c r="W953" i="3"/>
  <c r="V953" i="3"/>
  <c r="L953" i="3"/>
  <c r="X952" i="3"/>
  <c r="W952" i="3"/>
  <c r="V952" i="3"/>
  <c r="L952" i="3"/>
  <c r="X951" i="3"/>
  <c r="W951" i="3"/>
  <c r="V951" i="3"/>
  <c r="L951" i="3"/>
  <c r="X950" i="3"/>
  <c r="W950" i="3"/>
  <c r="V950" i="3"/>
  <c r="L950" i="3"/>
  <c r="X949" i="3"/>
  <c r="W949" i="3"/>
  <c r="V949" i="3"/>
  <c r="L949" i="3"/>
  <c r="X948" i="3"/>
  <c r="W948" i="3"/>
  <c r="V948" i="3"/>
  <c r="L948" i="3"/>
  <c r="X947" i="3"/>
  <c r="W947" i="3"/>
  <c r="V947" i="3"/>
  <c r="L947" i="3"/>
  <c r="X946" i="3"/>
  <c r="W946" i="3"/>
  <c r="V946" i="3"/>
  <c r="L946" i="3"/>
  <c r="X945" i="3"/>
  <c r="W945" i="3"/>
  <c r="V945" i="3"/>
  <c r="L945" i="3"/>
  <c r="X944" i="3"/>
  <c r="W944" i="3"/>
  <c r="V944" i="3"/>
  <c r="L944" i="3"/>
  <c r="X943" i="3"/>
  <c r="W943" i="3"/>
  <c r="V943" i="3"/>
  <c r="L943" i="3"/>
  <c r="X942" i="3"/>
  <c r="W942" i="3"/>
  <c r="V942" i="3"/>
  <c r="L942" i="3"/>
  <c r="X941" i="3"/>
  <c r="W941" i="3"/>
  <c r="V941" i="3"/>
  <c r="L941" i="3"/>
  <c r="X940" i="3"/>
  <c r="W940" i="3"/>
  <c r="V940" i="3"/>
  <c r="L940" i="3"/>
  <c r="X939" i="3"/>
  <c r="W939" i="3"/>
  <c r="V939" i="3"/>
  <c r="L939" i="3"/>
  <c r="X938" i="3"/>
  <c r="W938" i="3"/>
  <c r="V938" i="3"/>
  <c r="L938" i="3"/>
  <c r="X937" i="3"/>
  <c r="W937" i="3"/>
  <c r="V937" i="3"/>
  <c r="L937" i="3"/>
  <c r="X936" i="3"/>
  <c r="W936" i="3"/>
  <c r="V936" i="3"/>
  <c r="L936" i="3"/>
  <c r="X935" i="3"/>
  <c r="W935" i="3"/>
  <c r="V935" i="3"/>
  <c r="L935" i="3"/>
  <c r="X934" i="3"/>
  <c r="W934" i="3"/>
  <c r="V934" i="3"/>
  <c r="L934" i="3"/>
  <c r="X933" i="3"/>
  <c r="W933" i="3"/>
  <c r="V933" i="3"/>
  <c r="L933" i="3"/>
  <c r="X932" i="3"/>
  <c r="W932" i="3"/>
  <c r="V932" i="3"/>
  <c r="L932" i="3"/>
  <c r="X931" i="3"/>
  <c r="W931" i="3"/>
  <c r="V931" i="3"/>
  <c r="L931" i="3"/>
  <c r="X930" i="3"/>
  <c r="W930" i="3"/>
  <c r="V930" i="3"/>
  <c r="L930" i="3"/>
  <c r="X929" i="3"/>
  <c r="W929" i="3"/>
  <c r="V929" i="3"/>
  <c r="L929" i="3"/>
  <c r="X928" i="3"/>
  <c r="W928" i="3"/>
  <c r="V928" i="3"/>
  <c r="L928" i="3"/>
  <c r="X927" i="3"/>
  <c r="W927" i="3"/>
  <c r="V927" i="3"/>
  <c r="L927" i="3"/>
  <c r="X926" i="3"/>
  <c r="W926" i="3"/>
  <c r="V926" i="3"/>
  <c r="L926" i="3"/>
  <c r="X925" i="3"/>
  <c r="W925" i="3"/>
  <c r="V925" i="3"/>
  <c r="L925" i="3"/>
  <c r="X924" i="3"/>
  <c r="W924" i="3"/>
  <c r="V924" i="3"/>
  <c r="L924" i="3"/>
  <c r="X923" i="3"/>
  <c r="W923" i="3"/>
  <c r="V923" i="3"/>
  <c r="L923" i="3"/>
  <c r="X922" i="3"/>
  <c r="W922" i="3"/>
  <c r="V922" i="3"/>
  <c r="L922" i="3"/>
  <c r="X921" i="3"/>
  <c r="W921" i="3"/>
  <c r="V921" i="3"/>
  <c r="L921" i="3"/>
  <c r="X920" i="3"/>
  <c r="W920" i="3"/>
  <c r="V920" i="3"/>
  <c r="L920" i="3"/>
  <c r="X919" i="3"/>
  <c r="W919" i="3"/>
  <c r="V919" i="3"/>
  <c r="L919" i="3"/>
  <c r="X918" i="3"/>
  <c r="W918" i="3"/>
  <c r="V918" i="3"/>
  <c r="L918" i="3"/>
  <c r="X917" i="3"/>
  <c r="W917" i="3"/>
  <c r="V917" i="3"/>
  <c r="L917" i="3"/>
  <c r="X916" i="3"/>
  <c r="W916" i="3"/>
  <c r="V916" i="3"/>
  <c r="L916" i="3"/>
  <c r="X915" i="3"/>
  <c r="W915" i="3"/>
  <c r="V915" i="3"/>
  <c r="L915" i="3"/>
  <c r="X914" i="3"/>
  <c r="W914" i="3"/>
  <c r="V914" i="3"/>
  <c r="L914" i="3"/>
  <c r="X913" i="3"/>
  <c r="W913" i="3"/>
  <c r="V913" i="3"/>
  <c r="L913" i="3"/>
  <c r="X912" i="3"/>
  <c r="W912" i="3"/>
  <c r="V912" i="3"/>
  <c r="L912" i="3"/>
  <c r="X911" i="3"/>
  <c r="W911" i="3"/>
  <c r="V911" i="3"/>
  <c r="L911" i="3"/>
  <c r="X910" i="3"/>
  <c r="W910" i="3"/>
  <c r="V910" i="3"/>
  <c r="L910" i="3"/>
  <c r="X909" i="3"/>
  <c r="W909" i="3"/>
  <c r="V909" i="3"/>
  <c r="L909" i="3"/>
  <c r="X908" i="3"/>
  <c r="W908" i="3"/>
  <c r="V908" i="3"/>
  <c r="L908" i="3"/>
  <c r="X907" i="3"/>
  <c r="W907" i="3"/>
  <c r="V907" i="3"/>
  <c r="L907" i="3"/>
  <c r="X906" i="3"/>
  <c r="W906" i="3"/>
  <c r="V906" i="3"/>
  <c r="L906" i="3"/>
  <c r="X905" i="3"/>
  <c r="W905" i="3"/>
  <c r="V905" i="3"/>
  <c r="L905" i="3"/>
  <c r="X904" i="3"/>
  <c r="W904" i="3"/>
  <c r="V904" i="3"/>
  <c r="L904" i="3"/>
  <c r="X903" i="3"/>
  <c r="W903" i="3"/>
  <c r="V903" i="3"/>
  <c r="L903" i="3"/>
  <c r="X902" i="3"/>
  <c r="W902" i="3"/>
  <c r="V902" i="3"/>
  <c r="L902" i="3"/>
  <c r="X901" i="3"/>
  <c r="W901" i="3"/>
  <c r="V901" i="3"/>
  <c r="L901" i="3"/>
  <c r="X900" i="3"/>
  <c r="W900" i="3"/>
  <c r="V900" i="3"/>
  <c r="L900" i="3"/>
  <c r="X899" i="3"/>
  <c r="W899" i="3"/>
  <c r="V899" i="3"/>
  <c r="L899" i="3"/>
  <c r="X898" i="3"/>
  <c r="W898" i="3"/>
  <c r="V898" i="3"/>
  <c r="L898" i="3"/>
  <c r="X897" i="3"/>
  <c r="W897" i="3"/>
  <c r="V897" i="3"/>
  <c r="L897" i="3"/>
  <c r="X896" i="3"/>
  <c r="W896" i="3"/>
  <c r="V896" i="3"/>
  <c r="L896" i="3"/>
  <c r="X895" i="3"/>
  <c r="W895" i="3"/>
  <c r="V895" i="3"/>
  <c r="L895" i="3"/>
  <c r="X894" i="3"/>
  <c r="W894" i="3"/>
  <c r="V894" i="3"/>
  <c r="L894" i="3"/>
  <c r="X893" i="3"/>
  <c r="W893" i="3"/>
  <c r="V893" i="3"/>
  <c r="L893" i="3"/>
  <c r="X892" i="3"/>
  <c r="W892" i="3"/>
  <c r="V892" i="3"/>
  <c r="L892" i="3"/>
  <c r="X891" i="3"/>
  <c r="W891" i="3"/>
  <c r="V891" i="3"/>
  <c r="L891" i="3"/>
  <c r="X890" i="3"/>
  <c r="W890" i="3"/>
  <c r="V890" i="3"/>
  <c r="L890" i="3"/>
  <c r="X889" i="3"/>
  <c r="W889" i="3"/>
  <c r="V889" i="3"/>
  <c r="L889" i="3"/>
  <c r="X888" i="3"/>
  <c r="W888" i="3"/>
  <c r="V888" i="3"/>
  <c r="L888" i="3"/>
  <c r="X887" i="3"/>
  <c r="W887" i="3"/>
  <c r="V887" i="3"/>
  <c r="L887" i="3"/>
  <c r="X886" i="3"/>
  <c r="W886" i="3"/>
  <c r="V886" i="3"/>
  <c r="L886" i="3"/>
  <c r="X885" i="3"/>
  <c r="W885" i="3"/>
  <c r="V885" i="3"/>
  <c r="L885" i="3"/>
  <c r="X884" i="3"/>
  <c r="W884" i="3"/>
  <c r="V884" i="3"/>
  <c r="L884" i="3"/>
  <c r="X883" i="3"/>
  <c r="W883" i="3"/>
  <c r="V883" i="3"/>
  <c r="L883" i="3"/>
  <c r="X882" i="3"/>
  <c r="W882" i="3"/>
  <c r="V882" i="3"/>
  <c r="L882" i="3"/>
  <c r="X881" i="3"/>
  <c r="W881" i="3"/>
  <c r="V881" i="3"/>
  <c r="L881" i="3"/>
  <c r="X880" i="3"/>
  <c r="W880" i="3"/>
  <c r="V880" i="3"/>
  <c r="L880" i="3"/>
  <c r="X879" i="3"/>
  <c r="W879" i="3"/>
  <c r="V879" i="3"/>
  <c r="L879" i="3"/>
  <c r="X878" i="3"/>
  <c r="W878" i="3"/>
  <c r="V878" i="3"/>
  <c r="L878" i="3"/>
  <c r="X877" i="3"/>
  <c r="W877" i="3"/>
  <c r="V877" i="3"/>
  <c r="L877" i="3"/>
  <c r="X876" i="3"/>
  <c r="W876" i="3"/>
  <c r="V876" i="3"/>
  <c r="L876" i="3"/>
  <c r="X875" i="3"/>
  <c r="W875" i="3"/>
  <c r="V875" i="3"/>
  <c r="L875" i="3"/>
  <c r="X874" i="3"/>
  <c r="W874" i="3"/>
  <c r="V874" i="3"/>
  <c r="L874" i="3"/>
  <c r="X873" i="3"/>
  <c r="W873" i="3"/>
  <c r="V873" i="3"/>
  <c r="L873" i="3"/>
  <c r="X872" i="3"/>
  <c r="W872" i="3"/>
  <c r="V872" i="3"/>
  <c r="L872" i="3"/>
  <c r="X871" i="3"/>
  <c r="W871" i="3"/>
  <c r="V871" i="3"/>
  <c r="L871" i="3"/>
  <c r="X870" i="3"/>
  <c r="W870" i="3"/>
  <c r="V870" i="3"/>
  <c r="L870" i="3"/>
  <c r="X869" i="3"/>
  <c r="W869" i="3"/>
  <c r="V869" i="3"/>
  <c r="L869" i="3"/>
  <c r="X868" i="3"/>
  <c r="W868" i="3"/>
  <c r="V868" i="3"/>
  <c r="L868" i="3"/>
  <c r="X867" i="3"/>
  <c r="W867" i="3"/>
  <c r="V867" i="3"/>
  <c r="L867" i="3"/>
  <c r="X866" i="3"/>
  <c r="W866" i="3"/>
  <c r="V866" i="3"/>
  <c r="L866" i="3"/>
  <c r="X865" i="3"/>
  <c r="W865" i="3"/>
  <c r="V865" i="3"/>
  <c r="L865" i="3"/>
  <c r="X864" i="3"/>
  <c r="W864" i="3"/>
  <c r="V864" i="3"/>
  <c r="L864" i="3"/>
  <c r="X863" i="3"/>
  <c r="W863" i="3"/>
  <c r="V863" i="3"/>
  <c r="L863" i="3"/>
  <c r="X862" i="3"/>
  <c r="W862" i="3"/>
  <c r="V862" i="3"/>
  <c r="L862" i="3"/>
  <c r="X861" i="3"/>
  <c r="W861" i="3"/>
  <c r="V861" i="3"/>
  <c r="L861" i="3"/>
  <c r="X860" i="3"/>
  <c r="W860" i="3"/>
  <c r="V860" i="3"/>
  <c r="L860" i="3"/>
  <c r="X859" i="3"/>
  <c r="W859" i="3"/>
  <c r="V859" i="3"/>
  <c r="L859" i="3"/>
  <c r="X858" i="3"/>
  <c r="W858" i="3"/>
  <c r="V858" i="3"/>
  <c r="L858" i="3"/>
  <c r="X857" i="3"/>
  <c r="W857" i="3"/>
  <c r="V857" i="3"/>
  <c r="L857" i="3"/>
  <c r="X856" i="3"/>
  <c r="W856" i="3"/>
  <c r="V856" i="3"/>
  <c r="L856" i="3"/>
  <c r="X855" i="3"/>
  <c r="W855" i="3"/>
  <c r="V855" i="3"/>
  <c r="L855" i="3"/>
  <c r="X854" i="3"/>
  <c r="W854" i="3"/>
  <c r="V854" i="3"/>
  <c r="L854" i="3"/>
  <c r="X853" i="3"/>
  <c r="W853" i="3"/>
  <c r="V853" i="3"/>
  <c r="L853" i="3"/>
  <c r="X852" i="3"/>
  <c r="W852" i="3"/>
  <c r="V852" i="3"/>
  <c r="L852" i="3"/>
  <c r="X851" i="3"/>
  <c r="W851" i="3"/>
  <c r="V851" i="3"/>
  <c r="L851" i="3"/>
  <c r="X850" i="3"/>
  <c r="W850" i="3"/>
  <c r="V850" i="3"/>
  <c r="L850" i="3"/>
  <c r="X849" i="3"/>
  <c r="W849" i="3"/>
  <c r="V849" i="3"/>
  <c r="L849" i="3"/>
  <c r="X848" i="3"/>
  <c r="W848" i="3"/>
  <c r="V848" i="3"/>
  <c r="L848" i="3"/>
  <c r="X847" i="3"/>
  <c r="W847" i="3"/>
  <c r="V847" i="3"/>
  <c r="L847" i="3"/>
  <c r="X846" i="3"/>
  <c r="W846" i="3"/>
  <c r="V846" i="3"/>
  <c r="L846" i="3"/>
  <c r="X845" i="3"/>
  <c r="W845" i="3"/>
  <c r="V845" i="3"/>
  <c r="L845" i="3"/>
  <c r="X844" i="3"/>
  <c r="W844" i="3"/>
  <c r="V844" i="3"/>
  <c r="L844" i="3"/>
  <c r="X843" i="3"/>
  <c r="W843" i="3"/>
  <c r="V843" i="3"/>
  <c r="L843" i="3"/>
  <c r="X842" i="3"/>
  <c r="W842" i="3"/>
  <c r="V842" i="3"/>
  <c r="L842" i="3"/>
  <c r="X841" i="3"/>
  <c r="W841" i="3"/>
  <c r="V841" i="3"/>
  <c r="L841" i="3"/>
  <c r="X840" i="3"/>
  <c r="W840" i="3"/>
  <c r="V840" i="3"/>
  <c r="L840" i="3"/>
  <c r="X839" i="3"/>
  <c r="W839" i="3"/>
  <c r="V839" i="3"/>
  <c r="L839" i="3"/>
  <c r="X838" i="3"/>
  <c r="W838" i="3"/>
  <c r="V838" i="3"/>
  <c r="L838" i="3"/>
  <c r="X837" i="3"/>
  <c r="W837" i="3"/>
  <c r="V837" i="3"/>
  <c r="L837" i="3"/>
  <c r="X836" i="3"/>
  <c r="W836" i="3"/>
  <c r="V836" i="3"/>
  <c r="L836" i="3"/>
  <c r="X835" i="3"/>
  <c r="W835" i="3"/>
  <c r="V835" i="3"/>
  <c r="L835" i="3"/>
  <c r="X834" i="3"/>
  <c r="W834" i="3"/>
  <c r="V834" i="3"/>
  <c r="L834" i="3"/>
  <c r="X833" i="3"/>
  <c r="W833" i="3"/>
  <c r="V833" i="3"/>
  <c r="L833" i="3"/>
  <c r="X832" i="3"/>
  <c r="W832" i="3"/>
  <c r="V832" i="3"/>
  <c r="L832" i="3"/>
  <c r="X831" i="3"/>
  <c r="W831" i="3"/>
  <c r="V831" i="3"/>
  <c r="L831" i="3"/>
  <c r="X830" i="3"/>
  <c r="W830" i="3"/>
  <c r="V830" i="3"/>
  <c r="L830" i="3"/>
  <c r="X829" i="3"/>
  <c r="W829" i="3"/>
  <c r="V829" i="3"/>
  <c r="L829" i="3"/>
  <c r="X828" i="3"/>
  <c r="W828" i="3"/>
  <c r="V828" i="3"/>
  <c r="L828" i="3"/>
  <c r="X827" i="3"/>
  <c r="W827" i="3"/>
  <c r="V827" i="3"/>
  <c r="L827" i="3"/>
  <c r="X826" i="3"/>
  <c r="W826" i="3"/>
  <c r="V826" i="3"/>
  <c r="L826" i="3"/>
  <c r="X825" i="3"/>
  <c r="W825" i="3"/>
  <c r="V825" i="3"/>
  <c r="L825" i="3"/>
  <c r="X824" i="3"/>
  <c r="W824" i="3"/>
  <c r="V824" i="3"/>
  <c r="L824" i="3"/>
  <c r="X823" i="3"/>
  <c r="W823" i="3"/>
  <c r="V823" i="3"/>
  <c r="L823" i="3"/>
  <c r="X822" i="3"/>
  <c r="W822" i="3"/>
  <c r="V822" i="3"/>
  <c r="L822" i="3"/>
  <c r="X821" i="3"/>
  <c r="W821" i="3"/>
  <c r="V821" i="3"/>
  <c r="L821" i="3"/>
  <c r="X820" i="3"/>
  <c r="W820" i="3"/>
  <c r="V820" i="3"/>
  <c r="L820" i="3"/>
  <c r="X819" i="3"/>
  <c r="W819" i="3"/>
  <c r="V819" i="3"/>
  <c r="L819" i="3"/>
  <c r="X818" i="3"/>
  <c r="W818" i="3"/>
  <c r="V818" i="3"/>
  <c r="L818" i="3"/>
  <c r="X817" i="3"/>
  <c r="W817" i="3"/>
  <c r="V817" i="3"/>
  <c r="L817" i="3"/>
  <c r="X816" i="3"/>
  <c r="W816" i="3"/>
  <c r="V816" i="3"/>
  <c r="L816" i="3"/>
  <c r="X815" i="3"/>
  <c r="W815" i="3"/>
  <c r="V815" i="3"/>
  <c r="L815" i="3"/>
  <c r="X814" i="3"/>
  <c r="W814" i="3"/>
  <c r="V814" i="3"/>
  <c r="L814" i="3"/>
  <c r="X813" i="3"/>
  <c r="W813" i="3"/>
  <c r="V813" i="3"/>
  <c r="L813" i="3"/>
  <c r="X812" i="3"/>
  <c r="W812" i="3"/>
  <c r="V812" i="3"/>
  <c r="L812" i="3"/>
  <c r="X811" i="3"/>
  <c r="W811" i="3"/>
  <c r="V811" i="3"/>
  <c r="L811" i="3"/>
  <c r="X810" i="3"/>
  <c r="W810" i="3"/>
  <c r="V810" i="3"/>
  <c r="L810" i="3"/>
  <c r="X809" i="3"/>
  <c r="W809" i="3"/>
  <c r="V809" i="3"/>
  <c r="L809" i="3"/>
  <c r="X808" i="3"/>
  <c r="W808" i="3"/>
  <c r="V808" i="3"/>
  <c r="L808" i="3"/>
  <c r="X807" i="3"/>
  <c r="W807" i="3"/>
  <c r="V807" i="3"/>
  <c r="L807" i="3"/>
  <c r="X806" i="3"/>
  <c r="W806" i="3"/>
  <c r="V806" i="3"/>
  <c r="L806" i="3"/>
  <c r="Z805" i="3"/>
  <c r="Y805" i="3"/>
  <c r="X805" i="3"/>
  <c r="W805" i="3"/>
  <c r="V805" i="3"/>
  <c r="L805" i="3"/>
  <c r="X804" i="3"/>
  <c r="W804" i="3"/>
  <c r="V804" i="3"/>
  <c r="L804" i="3"/>
  <c r="X803" i="3"/>
  <c r="W803" i="3"/>
  <c r="V803" i="3"/>
  <c r="L803" i="3"/>
  <c r="X802" i="3"/>
  <c r="W802" i="3"/>
  <c r="V802" i="3"/>
  <c r="L802" i="3"/>
  <c r="X801" i="3"/>
  <c r="W801" i="3"/>
  <c r="V801" i="3"/>
  <c r="L801" i="3"/>
  <c r="X800" i="3"/>
  <c r="W800" i="3"/>
  <c r="V800" i="3"/>
  <c r="L800" i="3"/>
  <c r="X799" i="3"/>
  <c r="W799" i="3"/>
  <c r="V799" i="3"/>
  <c r="L799" i="3"/>
  <c r="X798" i="3"/>
  <c r="W798" i="3"/>
  <c r="V798" i="3"/>
  <c r="L798" i="3"/>
  <c r="X797" i="3"/>
  <c r="W797" i="3"/>
  <c r="V797" i="3"/>
  <c r="L797" i="3"/>
  <c r="X796" i="3"/>
  <c r="W796" i="3"/>
  <c r="V796" i="3"/>
  <c r="L796" i="3"/>
  <c r="X795" i="3"/>
  <c r="W795" i="3"/>
  <c r="V795" i="3"/>
  <c r="L795" i="3"/>
  <c r="X794" i="3"/>
  <c r="W794" i="3"/>
  <c r="V794" i="3"/>
  <c r="L794" i="3"/>
  <c r="X793" i="3"/>
  <c r="W793" i="3"/>
  <c r="V793" i="3"/>
  <c r="L793" i="3"/>
  <c r="X792" i="3"/>
  <c r="W792" i="3"/>
  <c r="V792" i="3"/>
  <c r="L792" i="3"/>
  <c r="X791" i="3"/>
  <c r="W791" i="3"/>
  <c r="V791" i="3"/>
  <c r="L791" i="3"/>
  <c r="X790" i="3"/>
  <c r="W790" i="3"/>
  <c r="V790" i="3"/>
  <c r="L790" i="3"/>
  <c r="X789" i="3"/>
  <c r="W789" i="3"/>
  <c r="V789" i="3"/>
  <c r="L789" i="3"/>
  <c r="X788" i="3"/>
  <c r="W788" i="3"/>
  <c r="V788" i="3"/>
  <c r="L788" i="3"/>
  <c r="X787" i="3"/>
  <c r="W787" i="3"/>
  <c r="V787" i="3"/>
  <c r="L787" i="3"/>
  <c r="X786" i="3"/>
  <c r="W786" i="3"/>
  <c r="V786" i="3"/>
  <c r="L786" i="3"/>
  <c r="X785" i="3"/>
  <c r="W785" i="3"/>
  <c r="V785" i="3"/>
  <c r="L785" i="3"/>
  <c r="X784" i="3"/>
  <c r="W784" i="3"/>
  <c r="V784" i="3"/>
  <c r="L784" i="3"/>
  <c r="X783" i="3"/>
  <c r="W783" i="3"/>
  <c r="V783" i="3"/>
  <c r="L783" i="3"/>
  <c r="X782" i="3"/>
  <c r="W782" i="3"/>
  <c r="V782" i="3"/>
  <c r="L782" i="3"/>
  <c r="X781" i="3"/>
  <c r="W781" i="3"/>
  <c r="V781" i="3"/>
  <c r="L781" i="3"/>
  <c r="X780" i="3"/>
  <c r="W780" i="3"/>
  <c r="V780" i="3"/>
  <c r="L780" i="3"/>
  <c r="X779" i="3"/>
  <c r="W779" i="3"/>
  <c r="V779" i="3"/>
  <c r="L779" i="3"/>
  <c r="X778" i="3"/>
  <c r="W778" i="3"/>
  <c r="V778" i="3"/>
  <c r="L778" i="3"/>
  <c r="X777" i="3"/>
  <c r="W777" i="3"/>
  <c r="V777" i="3"/>
  <c r="L777" i="3"/>
  <c r="X776" i="3"/>
  <c r="W776" i="3"/>
  <c r="V776" i="3"/>
  <c r="L776" i="3"/>
  <c r="X775" i="3"/>
  <c r="W775" i="3"/>
  <c r="V775" i="3"/>
  <c r="L775" i="3"/>
  <c r="X774" i="3"/>
  <c r="W774" i="3"/>
  <c r="V774" i="3"/>
  <c r="L774" i="3"/>
  <c r="X773" i="3"/>
  <c r="W773" i="3"/>
  <c r="V773" i="3"/>
  <c r="L773" i="3"/>
  <c r="X772" i="3"/>
  <c r="W772" i="3"/>
  <c r="V772" i="3"/>
  <c r="L772" i="3"/>
  <c r="X771" i="3"/>
  <c r="W771" i="3"/>
  <c r="V771" i="3"/>
  <c r="L771" i="3"/>
  <c r="X770" i="3"/>
  <c r="W770" i="3"/>
  <c r="V770" i="3"/>
  <c r="L770" i="3"/>
  <c r="X769" i="3"/>
  <c r="W769" i="3"/>
  <c r="V769" i="3"/>
  <c r="L769" i="3"/>
  <c r="X768" i="3"/>
  <c r="W768" i="3"/>
  <c r="V768" i="3"/>
  <c r="L768" i="3"/>
  <c r="X767" i="3"/>
  <c r="W767" i="3"/>
  <c r="V767" i="3"/>
  <c r="L767" i="3"/>
  <c r="X766" i="3"/>
  <c r="W766" i="3"/>
  <c r="V766" i="3"/>
  <c r="L766" i="3"/>
  <c r="X765" i="3"/>
  <c r="W765" i="3"/>
  <c r="V765" i="3"/>
  <c r="L765" i="3"/>
  <c r="X764" i="3"/>
  <c r="W764" i="3"/>
  <c r="V764" i="3"/>
  <c r="L764" i="3"/>
  <c r="X763" i="3"/>
  <c r="W763" i="3"/>
  <c r="V763" i="3"/>
  <c r="L763" i="3"/>
  <c r="X762" i="3"/>
  <c r="W762" i="3"/>
  <c r="V762" i="3"/>
  <c r="L762" i="3"/>
  <c r="X761" i="3"/>
  <c r="W761" i="3"/>
  <c r="V761" i="3"/>
  <c r="L761" i="3"/>
  <c r="X760" i="3"/>
  <c r="W760" i="3"/>
  <c r="V760" i="3"/>
  <c r="L760" i="3"/>
  <c r="X759" i="3"/>
  <c r="W759" i="3"/>
  <c r="V759" i="3"/>
  <c r="L759" i="3"/>
  <c r="X758" i="3"/>
  <c r="W758" i="3"/>
  <c r="V758" i="3"/>
  <c r="L758" i="3"/>
  <c r="X757" i="3"/>
  <c r="W757" i="3"/>
  <c r="V757" i="3"/>
  <c r="L757" i="3"/>
  <c r="X756" i="3"/>
  <c r="W756" i="3"/>
  <c r="V756" i="3"/>
  <c r="L756" i="3"/>
  <c r="X755" i="3"/>
  <c r="W755" i="3"/>
  <c r="V755" i="3"/>
  <c r="L755" i="3"/>
  <c r="X754" i="3"/>
  <c r="W754" i="3"/>
  <c r="V754" i="3"/>
  <c r="L754" i="3"/>
  <c r="X753" i="3"/>
  <c r="W753" i="3"/>
  <c r="V753" i="3"/>
  <c r="L753" i="3"/>
  <c r="X752" i="3"/>
  <c r="W752" i="3"/>
  <c r="V752" i="3"/>
  <c r="L752" i="3"/>
  <c r="X751" i="3"/>
  <c r="W751" i="3"/>
  <c r="V751" i="3"/>
  <c r="L751" i="3"/>
  <c r="X750" i="3"/>
  <c r="W750" i="3"/>
  <c r="V750" i="3"/>
  <c r="L750" i="3"/>
  <c r="X749" i="3"/>
  <c r="W749" i="3"/>
  <c r="V749" i="3"/>
  <c r="L749" i="3"/>
  <c r="X748" i="3"/>
  <c r="W748" i="3"/>
  <c r="V748" i="3"/>
  <c r="L748" i="3"/>
  <c r="X747" i="3"/>
  <c r="W747" i="3"/>
  <c r="V747" i="3"/>
  <c r="L747" i="3"/>
  <c r="X746" i="3"/>
  <c r="W746" i="3"/>
  <c r="V746" i="3"/>
  <c r="L746" i="3"/>
  <c r="X745" i="3"/>
  <c r="W745" i="3"/>
  <c r="V745" i="3"/>
  <c r="L745" i="3"/>
  <c r="X744" i="3"/>
  <c r="W744" i="3"/>
  <c r="V744" i="3"/>
  <c r="L744" i="3"/>
  <c r="X743" i="3"/>
  <c r="W743" i="3"/>
  <c r="V743" i="3"/>
  <c r="L743" i="3"/>
  <c r="X742" i="3"/>
  <c r="W742" i="3"/>
  <c r="V742" i="3"/>
  <c r="L742" i="3"/>
  <c r="X741" i="3"/>
  <c r="W741" i="3"/>
  <c r="V741" i="3"/>
  <c r="L741" i="3"/>
  <c r="X740" i="3"/>
  <c r="W740" i="3"/>
  <c r="V740" i="3"/>
  <c r="L740" i="3"/>
  <c r="X739" i="3"/>
  <c r="W739" i="3"/>
  <c r="V739" i="3"/>
  <c r="L739" i="3"/>
  <c r="X738" i="3"/>
  <c r="W738" i="3"/>
  <c r="V738" i="3"/>
  <c r="L738" i="3"/>
  <c r="X737" i="3"/>
  <c r="W737" i="3"/>
  <c r="V737" i="3"/>
  <c r="L737" i="3"/>
  <c r="X736" i="3"/>
  <c r="W736" i="3"/>
  <c r="V736" i="3"/>
  <c r="L736" i="3"/>
  <c r="X735" i="3"/>
  <c r="W735" i="3"/>
  <c r="V735" i="3"/>
  <c r="L735" i="3"/>
  <c r="X734" i="3"/>
  <c r="W734" i="3"/>
  <c r="V734" i="3"/>
  <c r="L734" i="3"/>
  <c r="X733" i="3"/>
  <c r="W733" i="3"/>
  <c r="V733" i="3"/>
  <c r="L733" i="3"/>
  <c r="X732" i="3"/>
  <c r="W732" i="3"/>
  <c r="V732" i="3"/>
  <c r="L732" i="3"/>
  <c r="X731" i="3"/>
  <c r="W731" i="3"/>
  <c r="V731" i="3"/>
  <c r="L731" i="3"/>
  <c r="X730" i="3"/>
  <c r="W730" i="3"/>
  <c r="V730" i="3"/>
  <c r="L730" i="3"/>
  <c r="X729" i="3"/>
  <c r="W729" i="3"/>
  <c r="V729" i="3"/>
  <c r="L729" i="3"/>
  <c r="X728" i="3"/>
  <c r="W728" i="3"/>
  <c r="V728" i="3"/>
  <c r="L728" i="3"/>
  <c r="X727" i="3"/>
  <c r="W727" i="3"/>
  <c r="V727" i="3"/>
  <c r="L727" i="3"/>
  <c r="X726" i="3"/>
  <c r="W726" i="3"/>
  <c r="V726" i="3"/>
  <c r="L726" i="3"/>
  <c r="X725" i="3"/>
  <c r="W725" i="3"/>
  <c r="V725" i="3"/>
  <c r="L725" i="3"/>
  <c r="X724" i="3"/>
  <c r="W724" i="3"/>
  <c r="V724" i="3"/>
  <c r="L724" i="3"/>
  <c r="X723" i="3"/>
  <c r="W723" i="3"/>
  <c r="V723" i="3"/>
  <c r="L723" i="3"/>
  <c r="X722" i="3"/>
  <c r="W722" i="3"/>
  <c r="V722" i="3"/>
  <c r="L722" i="3"/>
  <c r="X721" i="3"/>
  <c r="W721" i="3"/>
  <c r="V721" i="3"/>
  <c r="L721" i="3"/>
  <c r="X720" i="3"/>
  <c r="W720" i="3"/>
  <c r="V720" i="3"/>
  <c r="L720" i="3"/>
  <c r="X719" i="3"/>
  <c r="W719" i="3"/>
  <c r="V719" i="3"/>
  <c r="L719" i="3"/>
  <c r="X718" i="3"/>
  <c r="W718" i="3"/>
  <c r="V718" i="3"/>
  <c r="L718" i="3"/>
  <c r="X717" i="3"/>
  <c r="W717" i="3"/>
  <c r="V717" i="3"/>
  <c r="L717" i="3"/>
  <c r="X716" i="3"/>
  <c r="W716" i="3"/>
  <c r="V716" i="3"/>
  <c r="L716" i="3"/>
  <c r="X715" i="3"/>
  <c r="W715" i="3"/>
  <c r="V715" i="3"/>
  <c r="L715" i="3"/>
  <c r="X714" i="3"/>
  <c r="W714" i="3"/>
  <c r="V714" i="3"/>
  <c r="L714" i="3"/>
  <c r="X713" i="3"/>
  <c r="W713" i="3"/>
  <c r="V713" i="3"/>
  <c r="L713" i="3"/>
  <c r="X712" i="3"/>
  <c r="W712" i="3"/>
  <c r="V712" i="3"/>
  <c r="L712" i="3"/>
  <c r="X711" i="3"/>
  <c r="W711" i="3"/>
  <c r="V711" i="3"/>
  <c r="L711" i="3"/>
  <c r="X710" i="3"/>
  <c r="W710" i="3"/>
  <c r="V710" i="3"/>
  <c r="L710" i="3"/>
  <c r="X709" i="3"/>
  <c r="W709" i="3"/>
  <c r="V709" i="3"/>
  <c r="L709" i="3"/>
  <c r="X708" i="3"/>
  <c r="W708" i="3"/>
  <c r="V708" i="3"/>
  <c r="L708" i="3"/>
  <c r="X707" i="3"/>
  <c r="W707" i="3"/>
  <c r="V707" i="3"/>
  <c r="L707" i="3"/>
  <c r="X706" i="3"/>
  <c r="W706" i="3"/>
  <c r="V706" i="3"/>
  <c r="L706" i="3"/>
  <c r="X705" i="3"/>
  <c r="W705" i="3"/>
  <c r="V705" i="3"/>
  <c r="L705" i="3"/>
  <c r="X704" i="3"/>
  <c r="W704" i="3"/>
  <c r="V704" i="3"/>
  <c r="L704" i="3"/>
  <c r="X703" i="3"/>
  <c r="W703" i="3"/>
  <c r="V703" i="3"/>
  <c r="L703" i="3"/>
  <c r="X702" i="3"/>
  <c r="W702" i="3"/>
  <c r="V702" i="3"/>
  <c r="L702" i="3"/>
  <c r="X701" i="3"/>
  <c r="W701" i="3"/>
  <c r="V701" i="3"/>
  <c r="L701" i="3"/>
  <c r="X700" i="3"/>
  <c r="W700" i="3"/>
  <c r="V700" i="3"/>
  <c r="L700" i="3"/>
  <c r="X699" i="3"/>
  <c r="W699" i="3"/>
  <c r="V699" i="3"/>
  <c r="L699" i="3"/>
  <c r="X698" i="3"/>
  <c r="W698" i="3"/>
  <c r="V698" i="3"/>
  <c r="L698" i="3"/>
  <c r="X697" i="3"/>
  <c r="W697" i="3"/>
  <c r="V697" i="3"/>
  <c r="L697" i="3"/>
  <c r="X696" i="3"/>
  <c r="W696" i="3"/>
  <c r="V696" i="3"/>
  <c r="L696" i="3"/>
  <c r="X695" i="3"/>
  <c r="W695" i="3"/>
  <c r="V695" i="3"/>
  <c r="L695" i="3"/>
  <c r="X694" i="3"/>
  <c r="W694" i="3"/>
  <c r="V694" i="3"/>
  <c r="L694" i="3"/>
  <c r="X693" i="3"/>
  <c r="W693" i="3"/>
  <c r="V693" i="3"/>
  <c r="L693" i="3"/>
  <c r="X692" i="3"/>
  <c r="W692" i="3"/>
  <c r="V692" i="3"/>
  <c r="L692" i="3"/>
  <c r="X691" i="3"/>
  <c r="W691" i="3"/>
  <c r="V691" i="3"/>
  <c r="L691" i="3"/>
  <c r="X690" i="3"/>
  <c r="W690" i="3"/>
  <c r="V690" i="3"/>
  <c r="L690" i="3"/>
  <c r="X689" i="3"/>
  <c r="W689" i="3"/>
  <c r="V689" i="3"/>
  <c r="L689" i="3"/>
  <c r="X688" i="3"/>
  <c r="W688" i="3"/>
  <c r="V688" i="3"/>
  <c r="L688" i="3"/>
  <c r="X687" i="3"/>
  <c r="W687" i="3"/>
  <c r="V687" i="3"/>
  <c r="L687" i="3"/>
  <c r="X686" i="3"/>
  <c r="W686" i="3"/>
  <c r="V686" i="3"/>
  <c r="L686" i="3"/>
  <c r="X685" i="3"/>
  <c r="W685" i="3"/>
  <c r="V685" i="3"/>
  <c r="L685" i="3"/>
  <c r="X684" i="3"/>
  <c r="W684" i="3"/>
  <c r="V684" i="3"/>
  <c r="L684" i="3"/>
  <c r="X683" i="3"/>
  <c r="W683" i="3"/>
  <c r="V683" i="3"/>
  <c r="L683" i="3"/>
  <c r="X682" i="3"/>
  <c r="W682" i="3"/>
  <c r="V682" i="3"/>
  <c r="L682" i="3"/>
  <c r="X681" i="3"/>
  <c r="W681" i="3"/>
  <c r="V681" i="3"/>
  <c r="L681" i="3"/>
  <c r="X680" i="3"/>
  <c r="W680" i="3"/>
  <c r="V680" i="3"/>
  <c r="L680" i="3"/>
  <c r="X679" i="3"/>
  <c r="W679" i="3"/>
  <c r="V679" i="3"/>
  <c r="L679" i="3"/>
  <c r="X678" i="3"/>
  <c r="W678" i="3"/>
  <c r="V678" i="3"/>
  <c r="L678" i="3"/>
  <c r="X677" i="3"/>
  <c r="W677" i="3"/>
  <c r="V677" i="3"/>
  <c r="L677" i="3"/>
  <c r="X676" i="3"/>
  <c r="W676" i="3"/>
  <c r="V676" i="3"/>
  <c r="L676" i="3"/>
  <c r="X675" i="3"/>
  <c r="W675" i="3"/>
  <c r="V675" i="3"/>
  <c r="L675" i="3"/>
  <c r="X674" i="3"/>
  <c r="W674" i="3"/>
  <c r="V674" i="3"/>
  <c r="L674" i="3"/>
  <c r="X673" i="3"/>
  <c r="W673" i="3"/>
  <c r="V673" i="3"/>
  <c r="L673" i="3"/>
  <c r="X672" i="3"/>
  <c r="W672" i="3"/>
  <c r="V672" i="3"/>
  <c r="L672" i="3"/>
  <c r="X671" i="3"/>
  <c r="W671" i="3"/>
  <c r="V671" i="3"/>
  <c r="L671" i="3"/>
  <c r="X670" i="3"/>
  <c r="W670" i="3"/>
  <c r="V670" i="3"/>
  <c r="L670" i="3"/>
  <c r="X669" i="3"/>
  <c r="W669" i="3"/>
  <c r="V669" i="3"/>
  <c r="L669" i="3"/>
  <c r="X668" i="3"/>
  <c r="W668" i="3"/>
  <c r="V668" i="3"/>
  <c r="L668" i="3"/>
  <c r="X667" i="3"/>
  <c r="W667" i="3"/>
  <c r="V667" i="3"/>
  <c r="L667" i="3"/>
  <c r="X666" i="3"/>
  <c r="W666" i="3"/>
  <c r="V666" i="3"/>
  <c r="L666" i="3"/>
  <c r="X665" i="3"/>
  <c r="W665" i="3"/>
  <c r="V665" i="3"/>
  <c r="L665" i="3"/>
  <c r="X664" i="3"/>
  <c r="W664" i="3"/>
  <c r="V664" i="3"/>
  <c r="L664" i="3"/>
  <c r="X663" i="3"/>
  <c r="W663" i="3"/>
  <c r="V663" i="3"/>
  <c r="L663" i="3"/>
  <c r="X662" i="3"/>
  <c r="W662" i="3"/>
  <c r="V662" i="3"/>
  <c r="L662" i="3"/>
  <c r="X661" i="3"/>
  <c r="W661" i="3"/>
  <c r="V661" i="3"/>
  <c r="L661" i="3"/>
  <c r="X660" i="3"/>
  <c r="W660" i="3"/>
  <c r="V660" i="3"/>
  <c r="L660" i="3"/>
  <c r="X659" i="3"/>
  <c r="W659" i="3"/>
  <c r="V659" i="3"/>
  <c r="L659" i="3"/>
  <c r="X658" i="3"/>
  <c r="W658" i="3"/>
  <c r="V658" i="3"/>
  <c r="L658" i="3"/>
  <c r="X657" i="3"/>
  <c r="W657" i="3"/>
  <c r="V657" i="3"/>
  <c r="L657" i="3"/>
  <c r="X656" i="3"/>
  <c r="W656" i="3"/>
  <c r="V656" i="3"/>
  <c r="L656" i="3"/>
  <c r="X655" i="3"/>
  <c r="W655" i="3"/>
  <c r="V655" i="3"/>
  <c r="L655" i="3"/>
  <c r="X654" i="3"/>
  <c r="W654" i="3"/>
  <c r="V654" i="3"/>
  <c r="L654" i="3"/>
  <c r="X653" i="3"/>
  <c r="W653" i="3"/>
  <c r="V653" i="3"/>
  <c r="L653" i="3"/>
  <c r="X652" i="3"/>
  <c r="W652" i="3"/>
  <c r="V652" i="3"/>
  <c r="L652" i="3"/>
  <c r="X651" i="3"/>
  <c r="W651" i="3"/>
  <c r="V651" i="3"/>
  <c r="L651" i="3"/>
  <c r="X650" i="3"/>
  <c r="W650" i="3"/>
  <c r="V650" i="3"/>
  <c r="L650" i="3"/>
  <c r="X649" i="3"/>
  <c r="W649" i="3"/>
  <c r="V649" i="3"/>
  <c r="L649" i="3"/>
  <c r="X648" i="3"/>
  <c r="W648" i="3"/>
  <c r="V648" i="3"/>
  <c r="L648" i="3"/>
  <c r="X647" i="3"/>
  <c r="W647" i="3"/>
  <c r="V647" i="3"/>
  <c r="L647" i="3"/>
  <c r="X646" i="3"/>
  <c r="W646" i="3"/>
  <c r="V646" i="3"/>
  <c r="L646" i="3"/>
  <c r="X645" i="3"/>
  <c r="W645" i="3"/>
  <c r="V645" i="3"/>
  <c r="L645" i="3"/>
  <c r="X644" i="3"/>
  <c r="W644" i="3"/>
  <c r="V644" i="3"/>
  <c r="L644" i="3"/>
  <c r="X643" i="3"/>
  <c r="W643" i="3"/>
  <c r="V643" i="3"/>
  <c r="L643" i="3"/>
  <c r="X642" i="3"/>
  <c r="W642" i="3"/>
  <c r="V642" i="3"/>
  <c r="L642" i="3"/>
  <c r="X641" i="3"/>
  <c r="W641" i="3"/>
  <c r="V641" i="3"/>
  <c r="L641" i="3"/>
  <c r="X640" i="3"/>
  <c r="W640" i="3"/>
  <c r="V640" i="3"/>
  <c r="L640" i="3"/>
  <c r="X639" i="3"/>
  <c r="W639" i="3"/>
  <c r="V639" i="3"/>
  <c r="L639" i="3"/>
  <c r="X638" i="3"/>
  <c r="W638" i="3"/>
  <c r="V638" i="3"/>
  <c r="L638" i="3"/>
  <c r="X637" i="3"/>
  <c r="W637" i="3"/>
  <c r="V637" i="3"/>
  <c r="L637" i="3"/>
  <c r="X636" i="3"/>
  <c r="W636" i="3"/>
  <c r="V636" i="3"/>
  <c r="L636" i="3"/>
  <c r="X635" i="3"/>
  <c r="W635" i="3"/>
  <c r="V635" i="3"/>
  <c r="L635" i="3"/>
  <c r="Z634" i="3"/>
  <c r="Y634" i="3"/>
  <c r="X634" i="3"/>
  <c r="W634" i="3"/>
  <c r="V634" i="3"/>
  <c r="L634" i="3"/>
  <c r="X633" i="3"/>
  <c r="W633" i="3"/>
  <c r="V633" i="3"/>
  <c r="L633" i="3"/>
  <c r="X632" i="3"/>
  <c r="W632" i="3"/>
  <c r="V632" i="3"/>
  <c r="L632" i="3"/>
  <c r="X631" i="3"/>
  <c r="W631" i="3"/>
  <c r="V631" i="3"/>
  <c r="L631" i="3"/>
  <c r="X630" i="3"/>
  <c r="W630" i="3"/>
  <c r="V630" i="3"/>
  <c r="L630" i="3"/>
  <c r="X629" i="3"/>
  <c r="W629" i="3"/>
  <c r="V629" i="3"/>
  <c r="L629" i="3"/>
  <c r="X628" i="3"/>
  <c r="W628" i="3"/>
  <c r="V628" i="3"/>
  <c r="L628" i="3"/>
  <c r="X627" i="3"/>
  <c r="W627" i="3"/>
  <c r="V627" i="3"/>
  <c r="L627" i="3"/>
  <c r="X626" i="3"/>
  <c r="W626" i="3"/>
  <c r="V626" i="3"/>
  <c r="L626" i="3"/>
  <c r="X625" i="3"/>
  <c r="W625" i="3"/>
  <c r="V625" i="3"/>
  <c r="L625" i="3"/>
  <c r="X624" i="3"/>
  <c r="W624" i="3"/>
  <c r="V624" i="3"/>
  <c r="L624" i="3"/>
  <c r="X623" i="3"/>
  <c r="W623" i="3"/>
  <c r="V623" i="3"/>
  <c r="L623" i="3"/>
  <c r="X622" i="3"/>
  <c r="W622" i="3"/>
  <c r="V622" i="3"/>
  <c r="L622" i="3"/>
  <c r="X621" i="3"/>
  <c r="W621" i="3"/>
  <c r="V621" i="3"/>
  <c r="L621" i="3"/>
  <c r="X620" i="3"/>
  <c r="W620" i="3"/>
  <c r="V620" i="3"/>
  <c r="L620" i="3"/>
  <c r="X619" i="3"/>
  <c r="W619" i="3"/>
  <c r="V619" i="3"/>
  <c r="L619" i="3"/>
  <c r="X618" i="3"/>
  <c r="W618" i="3"/>
  <c r="V618" i="3"/>
  <c r="L618" i="3"/>
  <c r="X617" i="3"/>
  <c r="W617" i="3"/>
  <c r="V617" i="3"/>
  <c r="L617" i="3"/>
  <c r="X616" i="3"/>
  <c r="W616" i="3"/>
  <c r="V616" i="3"/>
  <c r="L616" i="3"/>
  <c r="X615" i="3"/>
  <c r="W615" i="3"/>
  <c r="V615" i="3"/>
  <c r="L615" i="3"/>
  <c r="X614" i="3"/>
  <c r="W614" i="3"/>
  <c r="V614" i="3"/>
  <c r="L614" i="3"/>
  <c r="X613" i="3"/>
  <c r="W613" i="3"/>
  <c r="V613" i="3"/>
  <c r="L613" i="3"/>
  <c r="X612" i="3"/>
  <c r="W612" i="3"/>
  <c r="V612" i="3"/>
  <c r="L612" i="3"/>
  <c r="X611" i="3"/>
  <c r="W611" i="3"/>
  <c r="V611" i="3"/>
  <c r="L611" i="3"/>
  <c r="X610" i="3"/>
  <c r="W610" i="3"/>
  <c r="V610" i="3"/>
  <c r="L610" i="3"/>
  <c r="X609" i="3"/>
  <c r="W609" i="3"/>
  <c r="V609" i="3"/>
  <c r="L609" i="3"/>
  <c r="X608" i="3"/>
  <c r="W608" i="3"/>
  <c r="V608" i="3"/>
  <c r="L608" i="3"/>
  <c r="X607" i="3"/>
  <c r="W607" i="3"/>
  <c r="V607" i="3"/>
  <c r="L607" i="3"/>
  <c r="X606" i="3"/>
  <c r="W606" i="3"/>
  <c r="V606" i="3"/>
  <c r="L606" i="3"/>
  <c r="X605" i="3"/>
  <c r="W605" i="3"/>
  <c r="V605" i="3"/>
  <c r="L605" i="3"/>
  <c r="X604" i="3"/>
  <c r="W604" i="3"/>
  <c r="V604" i="3"/>
  <c r="L604" i="3"/>
  <c r="X603" i="3"/>
  <c r="W603" i="3"/>
  <c r="V603" i="3"/>
  <c r="L603" i="3"/>
  <c r="X602" i="3"/>
  <c r="W602" i="3"/>
  <c r="V602" i="3"/>
  <c r="L602" i="3"/>
  <c r="X601" i="3"/>
  <c r="W601" i="3"/>
  <c r="V601" i="3"/>
  <c r="L601" i="3"/>
  <c r="X600" i="3"/>
  <c r="W600" i="3"/>
  <c r="V600" i="3"/>
  <c r="L600" i="3"/>
  <c r="X599" i="3"/>
  <c r="W599" i="3"/>
  <c r="V599" i="3"/>
  <c r="L599" i="3"/>
  <c r="X598" i="3"/>
  <c r="W598" i="3"/>
  <c r="V598" i="3"/>
  <c r="L598" i="3"/>
  <c r="X597" i="3"/>
  <c r="W597" i="3"/>
  <c r="V597" i="3"/>
  <c r="L597" i="3"/>
  <c r="X596" i="3"/>
  <c r="W596" i="3"/>
  <c r="V596" i="3"/>
  <c r="L596" i="3"/>
  <c r="X595" i="3"/>
  <c r="W595" i="3"/>
  <c r="V595" i="3"/>
  <c r="L595" i="3"/>
  <c r="X594" i="3"/>
  <c r="W594" i="3"/>
  <c r="V594" i="3"/>
  <c r="L594" i="3"/>
  <c r="X593" i="3"/>
  <c r="W593" i="3"/>
  <c r="V593" i="3"/>
  <c r="L593" i="3"/>
  <c r="X592" i="3"/>
  <c r="W592" i="3"/>
  <c r="V592" i="3"/>
  <c r="L592" i="3"/>
  <c r="X591" i="3"/>
  <c r="W591" i="3"/>
  <c r="V591" i="3"/>
  <c r="L591" i="3"/>
  <c r="X590" i="3"/>
  <c r="W590" i="3"/>
  <c r="V590" i="3"/>
  <c r="L590" i="3"/>
  <c r="X589" i="3"/>
  <c r="W589" i="3"/>
  <c r="V589" i="3"/>
  <c r="L589" i="3"/>
  <c r="X588" i="3"/>
  <c r="W588" i="3"/>
  <c r="V588" i="3"/>
  <c r="L588" i="3"/>
  <c r="X587" i="3"/>
  <c r="W587" i="3"/>
  <c r="V587" i="3"/>
  <c r="L587" i="3"/>
  <c r="X586" i="3"/>
  <c r="W586" i="3"/>
  <c r="V586" i="3"/>
  <c r="L586" i="3"/>
  <c r="X585" i="3"/>
  <c r="W585" i="3"/>
  <c r="V585" i="3"/>
  <c r="L585" i="3"/>
  <c r="X584" i="3"/>
  <c r="W584" i="3"/>
  <c r="V584" i="3"/>
  <c r="L584" i="3"/>
  <c r="X583" i="3"/>
  <c r="W583" i="3"/>
  <c r="V583" i="3"/>
  <c r="L583" i="3"/>
  <c r="X582" i="3"/>
  <c r="W582" i="3"/>
  <c r="V582" i="3"/>
  <c r="L582" i="3"/>
  <c r="X581" i="3"/>
  <c r="W581" i="3"/>
  <c r="V581" i="3"/>
  <c r="L581" i="3"/>
  <c r="X580" i="3"/>
  <c r="W580" i="3"/>
  <c r="V580" i="3"/>
  <c r="L580" i="3"/>
  <c r="X579" i="3"/>
  <c r="W579" i="3"/>
  <c r="V579" i="3"/>
  <c r="L579" i="3"/>
  <c r="X578" i="3"/>
  <c r="W578" i="3"/>
  <c r="V578" i="3"/>
  <c r="L578" i="3"/>
  <c r="X577" i="3"/>
  <c r="W577" i="3"/>
  <c r="V577" i="3"/>
  <c r="L577" i="3"/>
  <c r="X576" i="3"/>
  <c r="W576" i="3"/>
  <c r="V576" i="3"/>
  <c r="L576" i="3"/>
  <c r="X575" i="3"/>
  <c r="W575" i="3"/>
  <c r="V575" i="3"/>
  <c r="L575" i="3"/>
  <c r="X574" i="3"/>
  <c r="W574" i="3"/>
  <c r="V574" i="3"/>
  <c r="L574" i="3"/>
  <c r="X573" i="3"/>
  <c r="W573" i="3"/>
  <c r="V573" i="3"/>
  <c r="L573" i="3"/>
  <c r="X572" i="3"/>
  <c r="W572" i="3"/>
  <c r="V572" i="3"/>
  <c r="L572" i="3"/>
  <c r="X571" i="3"/>
  <c r="W571" i="3"/>
  <c r="V571" i="3"/>
  <c r="L571" i="3"/>
  <c r="X570" i="3"/>
  <c r="W570" i="3"/>
  <c r="V570" i="3"/>
  <c r="L570" i="3"/>
  <c r="X569" i="3"/>
  <c r="W569" i="3"/>
  <c r="V569" i="3"/>
  <c r="L569" i="3"/>
  <c r="X568" i="3"/>
  <c r="W568" i="3"/>
  <c r="V568" i="3"/>
  <c r="L568" i="3"/>
  <c r="X567" i="3"/>
  <c r="W567" i="3"/>
  <c r="V567" i="3"/>
  <c r="L567" i="3"/>
  <c r="X566" i="3"/>
  <c r="W566" i="3"/>
  <c r="V566" i="3"/>
  <c r="L566" i="3"/>
  <c r="X565" i="3"/>
  <c r="W565" i="3"/>
  <c r="V565" i="3"/>
  <c r="L565" i="3"/>
  <c r="X564" i="3"/>
  <c r="W564" i="3"/>
  <c r="V564" i="3"/>
  <c r="L564" i="3"/>
  <c r="X563" i="3"/>
  <c r="W563" i="3"/>
  <c r="V563" i="3"/>
  <c r="L563" i="3"/>
  <c r="X562" i="3"/>
  <c r="W562" i="3"/>
  <c r="V562" i="3"/>
  <c r="L562" i="3"/>
  <c r="X561" i="3"/>
  <c r="W561" i="3"/>
  <c r="V561" i="3"/>
  <c r="L561" i="3"/>
  <c r="X560" i="3"/>
  <c r="W560" i="3"/>
  <c r="V560" i="3"/>
  <c r="L560" i="3"/>
  <c r="X559" i="3"/>
  <c r="W559" i="3"/>
  <c r="V559" i="3"/>
  <c r="L559" i="3"/>
  <c r="X558" i="3"/>
  <c r="W558" i="3"/>
  <c r="V558" i="3"/>
  <c r="L558" i="3"/>
  <c r="X557" i="3"/>
  <c r="W557" i="3"/>
  <c r="V557" i="3"/>
  <c r="L557" i="3"/>
  <c r="X556" i="3"/>
  <c r="W556" i="3"/>
  <c r="V556" i="3"/>
  <c r="L556" i="3"/>
  <c r="X555" i="3"/>
  <c r="W555" i="3"/>
  <c r="V555" i="3"/>
  <c r="L555" i="3"/>
  <c r="X554" i="3"/>
  <c r="W554" i="3"/>
  <c r="V554" i="3"/>
  <c r="L554" i="3"/>
  <c r="X553" i="3"/>
  <c r="W553" i="3"/>
  <c r="V553" i="3"/>
  <c r="L553" i="3"/>
  <c r="X552" i="3"/>
  <c r="W552" i="3"/>
  <c r="V552" i="3"/>
  <c r="L552" i="3"/>
  <c r="X551" i="3"/>
  <c r="W551" i="3"/>
  <c r="V551" i="3"/>
  <c r="L551" i="3"/>
  <c r="X550" i="3"/>
  <c r="W550" i="3"/>
  <c r="V550" i="3"/>
  <c r="L550" i="3"/>
  <c r="X549" i="3"/>
  <c r="W549" i="3"/>
  <c r="V549" i="3"/>
  <c r="L549" i="3"/>
  <c r="X548" i="3"/>
  <c r="W548" i="3"/>
  <c r="V548" i="3"/>
  <c r="L548" i="3"/>
  <c r="X547" i="3"/>
  <c r="W547" i="3"/>
  <c r="V547" i="3"/>
  <c r="L547" i="3"/>
  <c r="X546" i="3"/>
  <c r="W546" i="3"/>
  <c r="V546" i="3"/>
  <c r="L546" i="3"/>
  <c r="X545" i="3"/>
  <c r="W545" i="3"/>
  <c r="V545" i="3"/>
  <c r="L545" i="3"/>
  <c r="X544" i="3"/>
  <c r="W544" i="3"/>
  <c r="V544" i="3"/>
  <c r="L544" i="3"/>
  <c r="X543" i="3"/>
  <c r="W543" i="3"/>
  <c r="V543" i="3"/>
  <c r="L543" i="3"/>
  <c r="X542" i="3"/>
  <c r="W542" i="3"/>
  <c r="V542" i="3"/>
  <c r="L542" i="3"/>
  <c r="X541" i="3"/>
  <c r="W541" i="3"/>
  <c r="V541" i="3"/>
  <c r="L541" i="3"/>
  <c r="X540" i="3"/>
  <c r="W540" i="3"/>
  <c r="V540" i="3"/>
  <c r="L540" i="3"/>
  <c r="X539" i="3"/>
  <c r="W539" i="3"/>
  <c r="V539" i="3"/>
  <c r="L539" i="3"/>
  <c r="X538" i="3"/>
  <c r="W538" i="3"/>
  <c r="V538" i="3"/>
  <c r="L538" i="3"/>
  <c r="X537" i="3"/>
  <c r="W537" i="3"/>
  <c r="V537" i="3"/>
  <c r="L537" i="3"/>
  <c r="X536" i="3"/>
  <c r="W536" i="3"/>
  <c r="V536" i="3"/>
  <c r="L536" i="3"/>
  <c r="X535" i="3"/>
  <c r="W535" i="3"/>
  <c r="V535" i="3"/>
  <c r="L535" i="3"/>
  <c r="X534" i="3"/>
  <c r="W534" i="3"/>
  <c r="V534" i="3"/>
  <c r="L534" i="3"/>
  <c r="X533" i="3"/>
  <c r="W533" i="3"/>
  <c r="V533" i="3"/>
  <c r="L533" i="3"/>
  <c r="X532" i="3"/>
  <c r="W532" i="3"/>
  <c r="V532" i="3"/>
  <c r="L532" i="3"/>
  <c r="X531" i="3"/>
  <c r="W531" i="3"/>
  <c r="V531" i="3"/>
  <c r="L531" i="3"/>
  <c r="X530" i="3"/>
  <c r="W530" i="3"/>
  <c r="V530" i="3"/>
  <c r="L530" i="3"/>
  <c r="X529" i="3"/>
  <c r="W529" i="3"/>
  <c r="V529" i="3"/>
  <c r="L529" i="3"/>
  <c r="X528" i="3"/>
  <c r="W528" i="3"/>
  <c r="V528" i="3"/>
  <c r="L528" i="3"/>
  <c r="X527" i="3"/>
  <c r="W527" i="3"/>
  <c r="V527" i="3"/>
  <c r="L527" i="3"/>
  <c r="X526" i="3"/>
  <c r="W526" i="3"/>
  <c r="V526" i="3"/>
  <c r="L526" i="3"/>
  <c r="X525" i="3"/>
  <c r="W525" i="3"/>
  <c r="V525" i="3"/>
  <c r="L525" i="3"/>
  <c r="X524" i="3"/>
  <c r="W524" i="3"/>
  <c r="V524" i="3"/>
  <c r="L524" i="3"/>
  <c r="X523" i="3"/>
  <c r="W523" i="3"/>
  <c r="V523" i="3"/>
  <c r="L523" i="3"/>
  <c r="X522" i="3"/>
  <c r="W522" i="3"/>
  <c r="V522" i="3"/>
  <c r="L522" i="3"/>
  <c r="X521" i="3"/>
  <c r="W521" i="3"/>
  <c r="V521" i="3"/>
  <c r="L521" i="3"/>
  <c r="X520" i="3"/>
  <c r="W520" i="3"/>
  <c r="V520" i="3"/>
  <c r="L520" i="3"/>
  <c r="X519" i="3"/>
  <c r="W519" i="3"/>
  <c r="V519" i="3"/>
  <c r="L519" i="3"/>
  <c r="X518" i="3"/>
  <c r="W518" i="3"/>
  <c r="V518" i="3"/>
  <c r="L518" i="3"/>
  <c r="X517" i="3"/>
  <c r="W517" i="3"/>
  <c r="V517" i="3"/>
  <c r="L517" i="3"/>
  <c r="X516" i="3"/>
  <c r="W516" i="3"/>
  <c r="V516" i="3"/>
  <c r="L516" i="3"/>
  <c r="X515" i="3"/>
  <c r="W515" i="3"/>
  <c r="V515" i="3"/>
  <c r="L515" i="3"/>
  <c r="X514" i="3"/>
  <c r="W514" i="3"/>
  <c r="V514" i="3"/>
  <c r="L514" i="3"/>
  <c r="X513" i="3"/>
  <c r="W513" i="3"/>
  <c r="V513" i="3"/>
  <c r="L513" i="3"/>
  <c r="X512" i="3"/>
  <c r="W512" i="3"/>
  <c r="V512" i="3"/>
  <c r="L512" i="3"/>
  <c r="X511" i="3"/>
  <c r="W511" i="3"/>
  <c r="V511" i="3"/>
  <c r="L511" i="3"/>
  <c r="X510" i="3"/>
  <c r="W510" i="3"/>
  <c r="V510" i="3"/>
  <c r="L510" i="3"/>
  <c r="X509" i="3"/>
  <c r="W509" i="3"/>
  <c r="V509" i="3"/>
  <c r="L509" i="3"/>
  <c r="X508" i="3"/>
  <c r="W508" i="3"/>
  <c r="V508" i="3"/>
  <c r="L508" i="3"/>
  <c r="X507" i="3"/>
  <c r="W507" i="3"/>
  <c r="V507" i="3"/>
  <c r="L507" i="3"/>
  <c r="X506" i="3"/>
  <c r="W506" i="3"/>
  <c r="V506" i="3"/>
  <c r="L506" i="3"/>
  <c r="X505" i="3"/>
  <c r="W505" i="3"/>
  <c r="V505" i="3"/>
  <c r="L505" i="3"/>
  <c r="X504" i="3"/>
  <c r="W504" i="3"/>
  <c r="V504" i="3"/>
  <c r="L504" i="3"/>
  <c r="X503" i="3"/>
  <c r="W503" i="3"/>
  <c r="V503" i="3"/>
  <c r="L503" i="3"/>
  <c r="X502" i="3"/>
  <c r="W502" i="3"/>
  <c r="V502" i="3"/>
  <c r="L502" i="3"/>
  <c r="X501" i="3"/>
  <c r="W501" i="3"/>
  <c r="V501" i="3"/>
  <c r="L501" i="3"/>
  <c r="X500" i="3"/>
  <c r="W500" i="3"/>
  <c r="V500" i="3"/>
  <c r="L500" i="3"/>
  <c r="X499" i="3"/>
  <c r="W499" i="3"/>
  <c r="V499" i="3"/>
  <c r="L499" i="3"/>
  <c r="X498" i="3"/>
  <c r="W498" i="3"/>
  <c r="V498" i="3"/>
  <c r="L498" i="3"/>
  <c r="X497" i="3"/>
  <c r="W497" i="3"/>
  <c r="V497" i="3"/>
  <c r="L497" i="3"/>
  <c r="X496" i="3"/>
  <c r="W496" i="3"/>
  <c r="V496" i="3"/>
  <c r="L496" i="3"/>
  <c r="X495" i="3"/>
  <c r="W495" i="3"/>
  <c r="V495" i="3"/>
  <c r="L495" i="3"/>
  <c r="X494" i="3"/>
  <c r="W494" i="3"/>
  <c r="V494" i="3"/>
  <c r="L494" i="3"/>
  <c r="X493" i="3"/>
  <c r="W493" i="3"/>
  <c r="V493" i="3"/>
  <c r="L493" i="3"/>
  <c r="X492" i="3"/>
  <c r="W492" i="3"/>
  <c r="V492" i="3"/>
  <c r="L492" i="3"/>
  <c r="X491" i="3"/>
  <c r="W491" i="3"/>
  <c r="V491" i="3"/>
  <c r="L491" i="3"/>
  <c r="X490" i="3"/>
  <c r="W490" i="3"/>
  <c r="V490" i="3"/>
  <c r="L490" i="3"/>
  <c r="X489" i="3"/>
  <c r="W489" i="3"/>
  <c r="V489" i="3"/>
  <c r="L489" i="3"/>
  <c r="X488" i="3"/>
  <c r="W488" i="3"/>
  <c r="V488" i="3"/>
  <c r="L488" i="3"/>
  <c r="X487" i="3"/>
  <c r="W487" i="3"/>
  <c r="V487" i="3"/>
  <c r="L487" i="3"/>
  <c r="X486" i="3"/>
  <c r="W486" i="3"/>
  <c r="V486" i="3"/>
  <c r="L486" i="3"/>
  <c r="X485" i="3"/>
  <c r="W485" i="3"/>
  <c r="V485" i="3"/>
  <c r="L485" i="3"/>
  <c r="X484" i="3"/>
  <c r="W484" i="3"/>
  <c r="V484" i="3"/>
  <c r="L484" i="3"/>
  <c r="X483" i="3"/>
  <c r="W483" i="3"/>
  <c r="V483" i="3"/>
  <c r="L483" i="3"/>
  <c r="X482" i="3"/>
  <c r="W482" i="3"/>
  <c r="V482" i="3"/>
  <c r="L482" i="3"/>
  <c r="X481" i="3"/>
  <c r="W481" i="3"/>
  <c r="V481" i="3"/>
  <c r="L481" i="3"/>
  <c r="X480" i="3"/>
  <c r="W480" i="3"/>
  <c r="V480" i="3"/>
  <c r="L480" i="3"/>
  <c r="X479" i="3"/>
  <c r="W479" i="3"/>
  <c r="V479" i="3"/>
  <c r="L479" i="3"/>
  <c r="X478" i="3"/>
  <c r="W478" i="3"/>
  <c r="V478" i="3"/>
  <c r="L478" i="3"/>
  <c r="X477" i="3"/>
  <c r="W477" i="3"/>
  <c r="V477" i="3"/>
  <c r="L477" i="3"/>
  <c r="X476" i="3"/>
  <c r="W476" i="3"/>
  <c r="V476" i="3"/>
  <c r="L476" i="3"/>
  <c r="X475" i="3"/>
  <c r="W475" i="3"/>
  <c r="V475" i="3"/>
  <c r="L475" i="3"/>
  <c r="X474" i="3"/>
  <c r="W474" i="3"/>
  <c r="V474" i="3"/>
  <c r="L474" i="3"/>
  <c r="X473" i="3"/>
  <c r="W473" i="3"/>
  <c r="V473" i="3"/>
  <c r="L473" i="3"/>
  <c r="X472" i="3"/>
  <c r="W472" i="3"/>
  <c r="V472" i="3"/>
  <c r="L472" i="3"/>
  <c r="X471" i="3"/>
  <c r="W471" i="3"/>
  <c r="V471" i="3"/>
  <c r="L471" i="3"/>
  <c r="X470" i="3"/>
  <c r="W470" i="3"/>
  <c r="V470" i="3"/>
  <c r="L470" i="3"/>
  <c r="X469" i="3"/>
  <c r="W469" i="3"/>
  <c r="V469" i="3"/>
  <c r="L469" i="3"/>
  <c r="X468" i="3"/>
  <c r="W468" i="3"/>
  <c r="V468" i="3"/>
  <c r="L468" i="3"/>
  <c r="X467" i="3"/>
  <c r="W467" i="3"/>
  <c r="V467" i="3"/>
  <c r="L467" i="3"/>
  <c r="X466" i="3"/>
  <c r="W466" i="3"/>
  <c r="V466" i="3"/>
  <c r="L466" i="3"/>
  <c r="X465" i="3"/>
  <c r="W465" i="3"/>
  <c r="V465" i="3"/>
  <c r="L465" i="3"/>
  <c r="X464" i="3"/>
  <c r="W464" i="3"/>
  <c r="V464" i="3"/>
  <c r="L464" i="3"/>
  <c r="Z463" i="3"/>
  <c r="Y463" i="3"/>
  <c r="X463" i="3"/>
  <c r="W463" i="3"/>
  <c r="V463" i="3"/>
  <c r="L463" i="3"/>
  <c r="X462" i="3"/>
  <c r="W462" i="3"/>
  <c r="V462" i="3"/>
  <c r="L462" i="3"/>
  <c r="X461" i="3"/>
  <c r="W461" i="3"/>
  <c r="V461" i="3"/>
  <c r="L461" i="3"/>
  <c r="X460" i="3"/>
  <c r="W460" i="3"/>
  <c r="V460" i="3"/>
  <c r="L460" i="3"/>
  <c r="X459" i="3"/>
  <c r="W459" i="3"/>
  <c r="V459" i="3"/>
  <c r="L459" i="3"/>
  <c r="X458" i="3"/>
  <c r="W458" i="3"/>
  <c r="V458" i="3"/>
  <c r="L458" i="3"/>
  <c r="X457" i="3"/>
  <c r="W457" i="3"/>
  <c r="V457" i="3"/>
  <c r="L457" i="3"/>
  <c r="X456" i="3"/>
  <c r="W456" i="3"/>
  <c r="V456" i="3"/>
  <c r="L456" i="3"/>
  <c r="X455" i="3"/>
  <c r="W455" i="3"/>
  <c r="V455" i="3"/>
  <c r="L455" i="3"/>
  <c r="X454" i="3"/>
  <c r="W454" i="3"/>
  <c r="V454" i="3"/>
  <c r="L454" i="3"/>
  <c r="X453" i="3"/>
  <c r="W453" i="3"/>
  <c r="V453" i="3"/>
  <c r="L453" i="3"/>
  <c r="X452" i="3"/>
  <c r="W452" i="3"/>
  <c r="V452" i="3"/>
  <c r="L452" i="3"/>
  <c r="X451" i="3"/>
  <c r="W451" i="3"/>
  <c r="V451" i="3"/>
  <c r="L451" i="3"/>
  <c r="X450" i="3"/>
  <c r="W450" i="3"/>
  <c r="V450" i="3"/>
  <c r="L450" i="3"/>
  <c r="X449" i="3"/>
  <c r="W449" i="3"/>
  <c r="V449" i="3"/>
  <c r="L449" i="3"/>
  <c r="X448" i="3"/>
  <c r="W448" i="3"/>
  <c r="V448" i="3"/>
  <c r="L448" i="3"/>
  <c r="X447" i="3"/>
  <c r="W447" i="3"/>
  <c r="V447" i="3"/>
  <c r="L447" i="3"/>
  <c r="X446" i="3"/>
  <c r="W446" i="3"/>
  <c r="V446" i="3"/>
  <c r="L446" i="3"/>
  <c r="X445" i="3"/>
  <c r="W445" i="3"/>
  <c r="V445" i="3"/>
  <c r="L445" i="3"/>
  <c r="X444" i="3"/>
  <c r="W444" i="3"/>
  <c r="V444" i="3"/>
  <c r="L444" i="3"/>
  <c r="X443" i="3"/>
  <c r="W443" i="3"/>
  <c r="V443" i="3"/>
  <c r="L443" i="3"/>
  <c r="X442" i="3"/>
  <c r="W442" i="3"/>
  <c r="V442" i="3"/>
  <c r="L442" i="3"/>
  <c r="X441" i="3"/>
  <c r="W441" i="3"/>
  <c r="V441" i="3"/>
  <c r="L441" i="3"/>
  <c r="X440" i="3"/>
  <c r="W440" i="3"/>
  <c r="V440" i="3"/>
  <c r="L440" i="3"/>
  <c r="X439" i="3"/>
  <c r="W439" i="3"/>
  <c r="V439" i="3"/>
  <c r="L439" i="3"/>
  <c r="X438" i="3"/>
  <c r="W438" i="3"/>
  <c r="V438" i="3"/>
  <c r="L438" i="3"/>
  <c r="X437" i="3"/>
  <c r="W437" i="3"/>
  <c r="V437" i="3"/>
  <c r="L437" i="3"/>
  <c r="X436" i="3"/>
  <c r="W436" i="3"/>
  <c r="V436" i="3"/>
  <c r="L436" i="3"/>
  <c r="X435" i="3"/>
  <c r="W435" i="3"/>
  <c r="V435" i="3"/>
  <c r="L435" i="3"/>
  <c r="X434" i="3"/>
  <c r="W434" i="3"/>
  <c r="V434" i="3"/>
  <c r="L434" i="3"/>
  <c r="X433" i="3"/>
  <c r="W433" i="3"/>
  <c r="V433" i="3"/>
  <c r="L433" i="3"/>
  <c r="X432" i="3"/>
  <c r="W432" i="3"/>
  <c r="V432" i="3"/>
  <c r="L432" i="3"/>
  <c r="X431" i="3"/>
  <c r="W431" i="3"/>
  <c r="V431" i="3"/>
  <c r="L431" i="3"/>
  <c r="X430" i="3"/>
  <c r="W430" i="3"/>
  <c r="V430" i="3"/>
  <c r="L430" i="3"/>
  <c r="X429" i="3"/>
  <c r="W429" i="3"/>
  <c r="V429" i="3"/>
  <c r="L429" i="3"/>
  <c r="X428" i="3"/>
  <c r="W428" i="3"/>
  <c r="V428" i="3"/>
  <c r="L428" i="3"/>
  <c r="X427" i="3"/>
  <c r="W427" i="3"/>
  <c r="V427" i="3"/>
  <c r="L427" i="3"/>
  <c r="X426" i="3"/>
  <c r="W426" i="3"/>
  <c r="V426" i="3"/>
  <c r="L426" i="3"/>
  <c r="X425" i="3"/>
  <c r="W425" i="3"/>
  <c r="V425" i="3"/>
  <c r="L425" i="3"/>
  <c r="X424" i="3"/>
  <c r="W424" i="3"/>
  <c r="V424" i="3"/>
  <c r="L424" i="3"/>
  <c r="X423" i="3"/>
  <c r="W423" i="3"/>
  <c r="V423" i="3"/>
  <c r="L423" i="3"/>
  <c r="X422" i="3"/>
  <c r="W422" i="3"/>
  <c r="V422" i="3"/>
  <c r="L422" i="3"/>
  <c r="X421" i="3"/>
  <c r="W421" i="3"/>
  <c r="V421" i="3"/>
  <c r="L421" i="3"/>
  <c r="X420" i="3"/>
  <c r="W420" i="3"/>
  <c r="V420" i="3"/>
  <c r="L420" i="3"/>
  <c r="X419" i="3"/>
  <c r="W419" i="3"/>
  <c r="V419" i="3"/>
  <c r="L419" i="3"/>
  <c r="X418" i="3"/>
  <c r="W418" i="3"/>
  <c r="V418" i="3"/>
  <c r="L418" i="3"/>
  <c r="X417" i="3"/>
  <c r="W417" i="3"/>
  <c r="V417" i="3"/>
  <c r="L417" i="3"/>
  <c r="X416" i="3"/>
  <c r="W416" i="3"/>
  <c r="V416" i="3"/>
  <c r="L416" i="3"/>
  <c r="X415" i="3"/>
  <c r="W415" i="3"/>
  <c r="V415" i="3"/>
  <c r="L415" i="3"/>
  <c r="X414" i="3"/>
  <c r="W414" i="3"/>
  <c r="V414" i="3"/>
  <c r="L414" i="3"/>
  <c r="X413" i="3"/>
  <c r="W413" i="3"/>
  <c r="V413" i="3"/>
  <c r="L413" i="3"/>
  <c r="X412" i="3"/>
  <c r="W412" i="3"/>
  <c r="V412" i="3"/>
  <c r="L412" i="3"/>
  <c r="X411" i="3"/>
  <c r="W411" i="3"/>
  <c r="V411" i="3"/>
  <c r="L411" i="3"/>
  <c r="X410" i="3"/>
  <c r="W410" i="3"/>
  <c r="V410" i="3"/>
  <c r="L410" i="3"/>
  <c r="X409" i="3"/>
  <c r="W409" i="3"/>
  <c r="V409" i="3"/>
  <c r="L409" i="3"/>
  <c r="X408" i="3"/>
  <c r="W408" i="3"/>
  <c r="V408" i="3"/>
  <c r="L408" i="3"/>
  <c r="X407" i="3"/>
  <c r="W407" i="3"/>
  <c r="V407" i="3"/>
  <c r="L407" i="3"/>
  <c r="X406" i="3"/>
  <c r="W406" i="3"/>
  <c r="V406" i="3"/>
  <c r="L406" i="3"/>
  <c r="X405" i="3"/>
  <c r="W405" i="3"/>
  <c r="V405" i="3"/>
  <c r="L405" i="3"/>
  <c r="X404" i="3"/>
  <c r="W404" i="3"/>
  <c r="V404" i="3"/>
  <c r="L404" i="3"/>
  <c r="X403" i="3"/>
  <c r="W403" i="3"/>
  <c r="V403" i="3"/>
  <c r="L403" i="3"/>
  <c r="X402" i="3"/>
  <c r="W402" i="3"/>
  <c r="V402" i="3"/>
  <c r="L402" i="3"/>
  <c r="X401" i="3"/>
  <c r="W401" i="3"/>
  <c r="V401" i="3"/>
  <c r="L401" i="3"/>
  <c r="X400" i="3"/>
  <c r="W400" i="3"/>
  <c r="V400" i="3"/>
  <c r="L400" i="3"/>
  <c r="X399" i="3"/>
  <c r="W399" i="3"/>
  <c r="V399" i="3"/>
  <c r="L399" i="3"/>
  <c r="X398" i="3"/>
  <c r="W398" i="3"/>
  <c r="V398" i="3"/>
  <c r="L398" i="3"/>
  <c r="X397" i="3"/>
  <c r="W397" i="3"/>
  <c r="V397" i="3"/>
  <c r="L397" i="3"/>
  <c r="X396" i="3"/>
  <c r="W396" i="3"/>
  <c r="V396" i="3"/>
  <c r="L396" i="3"/>
  <c r="X395" i="3"/>
  <c r="W395" i="3"/>
  <c r="V395" i="3"/>
  <c r="L395" i="3"/>
  <c r="X394" i="3"/>
  <c r="W394" i="3"/>
  <c r="V394" i="3"/>
  <c r="L394" i="3"/>
  <c r="X393" i="3"/>
  <c r="W393" i="3"/>
  <c r="V393" i="3"/>
  <c r="L393" i="3"/>
  <c r="X392" i="3"/>
  <c r="W392" i="3"/>
  <c r="V392" i="3"/>
  <c r="L392" i="3"/>
  <c r="X391" i="3"/>
  <c r="W391" i="3"/>
  <c r="V391" i="3"/>
  <c r="L391" i="3"/>
  <c r="X390" i="3"/>
  <c r="W390" i="3"/>
  <c r="V390" i="3"/>
  <c r="L390" i="3"/>
  <c r="X389" i="3"/>
  <c r="W389" i="3"/>
  <c r="V389" i="3"/>
  <c r="L389" i="3"/>
  <c r="X388" i="3"/>
  <c r="W388" i="3"/>
  <c r="V388" i="3"/>
  <c r="L388" i="3"/>
  <c r="X387" i="3"/>
  <c r="W387" i="3"/>
  <c r="V387" i="3"/>
  <c r="L387" i="3"/>
  <c r="X386" i="3"/>
  <c r="W386" i="3"/>
  <c r="V386" i="3"/>
  <c r="L386" i="3"/>
  <c r="X385" i="3"/>
  <c r="W385" i="3"/>
  <c r="V385" i="3"/>
  <c r="L385" i="3"/>
  <c r="X384" i="3"/>
  <c r="W384" i="3"/>
  <c r="V384" i="3"/>
  <c r="L384" i="3"/>
  <c r="X383" i="3"/>
  <c r="W383" i="3"/>
  <c r="V383" i="3"/>
  <c r="L383" i="3"/>
  <c r="X382" i="3"/>
  <c r="W382" i="3"/>
  <c r="V382" i="3"/>
  <c r="L382" i="3"/>
  <c r="X381" i="3"/>
  <c r="W381" i="3"/>
  <c r="V381" i="3"/>
  <c r="L381" i="3"/>
  <c r="X380" i="3"/>
  <c r="W380" i="3"/>
  <c r="V380" i="3"/>
  <c r="L380" i="3"/>
  <c r="X379" i="3"/>
  <c r="W379" i="3"/>
  <c r="V379" i="3"/>
  <c r="L379" i="3"/>
  <c r="X378" i="3"/>
  <c r="W378" i="3"/>
  <c r="V378" i="3"/>
  <c r="L378" i="3"/>
  <c r="X377" i="3"/>
  <c r="W377" i="3"/>
  <c r="V377" i="3"/>
  <c r="L377" i="3"/>
  <c r="X376" i="3"/>
  <c r="W376" i="3"/>
  <c r="V376" i="3"/>
  <c r="L376" i="3"/>
  <c r="X375" i="3"/>
  <c r="W375" i="3"/>
  <c r="V375" i="3"/>
  <c r="L375" i="3"/>
  <c r="X374" i="3"/>
  <c r="W374" i="3"/>
  <c r="V374" i="3"/>
  <c r="L374" i="3"/>
  <c r="X373" i="3"/>
  <c r="W373" i="3"/>
  <c r="V373" i="3"/>
  <c r="L373" i="3"/>
  <c r="X372" i="3"/>
  <c r="W372" i="3"/>
  <c r="V372" i="3"/>
  <c r="L372" i="3"/>
  <c r="X371" i="3"/>
  <c r="W371" i="3"/>
  <c r="V371" i="3"/>
  <c r="L371" i="3"/>
  <c r="X370" i="3"/>
  <c r="W370" i="3"/>
  <c r="V370" i="3"/>
  <c r="L370" i="3"/>
  <c r="X369" i="3"/>
  <c r="W369" i="3"/>
  <c r="V369" i="3"/>
  <c r="L369" i="3"/>
  <c r="X368" i="3"/>
  <c r="W368" i="3"/>
  <c r="V368" i="3"/>
  <c r="L368" i="3"/>
  <c r="X367" i="3"/>
  <c r="W367" i="3"/>
  <c r="V367" i="3"/>
  <c r="L367" i="3"/>
  <c r="X366" i="3"/>
  <c r="W366" i="3"/>
  <c r="V366" i="3"/>
  <c r="L366" i="3"/>
  <c r="X365" i="3"/>
  <c r="W365" i="3"/>
  <c r="V365" i="3"/>
  <c r="L365" i="3"/>
  <c r="X364" i="3"/>
  <c r="W364" i="3"/>
  <c r="V364" i="3"/>
  <c r="L364" i="3"/>
  <c r="X363" i="3"/>
  <c r="W363" i="3"/>
  <c r="V363" i="3"/>
  <c r="L363" i="3"/>
  <c r="X362" i="3"/>
  <c r="W362" i="3"/>
  <c r="V362" i="3"/>
  <c r="L362" i="3"/>
  <c r="X361" i="3"/>
  <c r="W361" i="3"/>
  <c r="V361" i="3"/>
  <c r="L361" i="3"/>
  <c r="X360" i="3"/>
  <c r="W360" i="3"/>
  <c r="V360" i="3"/>
  <c r="L360" i="3"/>
  <c r="X359" i="3"/>
  <c r="W359" i="3"/>
  <c r="V359" i="3"/>
  <c r="L359" i="3"/>
  <c r="X358" i="3"/>
  <c r="W358" i="3"/>
  <c r="V358" i="3"/>
  <c r="L358" i="3"/>
  <c r="X357" i="3"/>
  <c r="W357" i="3"/>
  <c r="V357" i="3"/>
  <c r="L357" i="3"/>
  <c r="X356" i="3"/>
  <c r="W356" i="3"/>
  <c r="V356" i="3"/>
  <c r="L356" i="3"/>
  <c r="X355" i="3"/>
  <c r="W355" i="3"/>
  <c r="V355" i="3"/>
  <c r="L355" i="3"/>
  <c r="X354" i="3"/>
  <c r="W354" i="3"/>
  <c r="V354" i="3"/>
  <c r="L354" i="3"/>
  <c r="X353" i="3"/>
  <c r="W353" i="3"/>
  <c r="V353" i="3"/>
  <c r="L353" i="3"/>
  <c r="X352" i="3"/>
  <c r="W352" i="3"/>
  <c r="V352" i="3"/>
  <c r="L352" i="3"/>
  <c r="X351" i="3"/>
  <c r="W351" i="3"/>
  <c r="V351" i="3"/>
  <c r="L351" i="3"/>
  <c r="X350" i="3"/>
  <c r="W350" i="3"/>
  <c r="V350" i="3"/>
  <c r="L350" i="3"/>
  <c r="X349" i="3"/>
  <c r="W349" i="3"/>
  <c r="V349" i="3"/>
  <c r="L349" i="3"/>
  <c r="X348" i="3"/>
  <c r="W348" i="3"/>
  <c r="V348" i="3"/>
  <c r="L348" i="3"/>
  <c r="X347" i="3"/>
  <c r="W347" i="3"/>
  <c r="V347" i="3"/>
  <c r="L347" i="3"/>
  <c r="X346" i="3"/>
  <c r="W346" i="3"/>
  <c r="V346" i="3"/>
  <c r="L346" i="3"/>
  <c r="X345" i="3"/>
  <c r="W345" i="3"/>
  <c r="V345" i="3"/>
  <c r="L345" i="3"/>
  <c r="X344" i="3"/>
  <c r="W344" i="3"/>
  <c r="V344" i="3"/>
  <c r="L344" i="3"/>
  <c r="X343" i="3"/>
  <c r="W343" i="3"/>
  <c r="V343" i="3"/>
  <c r="L343" i="3"/>
  <c r="X342" i="3"/>
  <c r="W342" i="3"/>
  <c r="V342" i="3"/>
  <c r="L342" i="3"/>
  <c r="X341" i="3"/>
  <c r="W341" i="3"/>
  <c r="V341" i="3"/>
  <c r="L341" i="3"/>
  <c r="X340" i="3"/>
  <c r="W340" i="3"/>
  <c r="V340" i="3"/>
  <c r="L340" i="3"/>
  <c r="X339" i="3"/>
  <c r="W339" i="3"/>
  <c r="V339" i="3"/>
  <c r="L339" i="3"/>
  <c r="X338" i="3"/>
  <c r="W338" i="3"/>
  <c r="V338" i="3"/>
  <c r="L338" i="3"/>
  <c r="X337" i="3"/>
  <c r="W337" i="3"/>
  <c r="V337" i="3"/>
  <c r="L337" i="3"/>
  <c r="X336" i="3"/>
  <c r="W336" i="3"/>
  <c r="V336" i="3"/>
  <c r="L336" i="3"/>
  <c r="X335" i="3"/>
  <c r="W335" i="3"/>
  <c r="V335" i="3"/>
  <c r="L335" i="3"/>
  <c r="X334" i="3"/>
  <c r="W334" i="3"/>
  <c r="V334" i="3"/>
  <c r="L334" i="3"/>
  <c r="X333" i="3"/>
  <c r="W333" i="3"/>
  <c r="V333" i="3"/>
  <c r="L333" i="3"/>
  <c r="X332" i="3"/>
  <c r="W332" i="3"/>
  <c r="V332" i="3"/>
  <c r="L332" i="3"/>
  <c r="X331" i="3"/>
  <c r="W331" i="3"/>
  <c r="V331" i="3"/>
  <c r="L331" i="3"/>
  <c r="X330" i="3"/>
  <c r="W330" i="3"/>
  <c r="V330" i="3"/>
  <c r="L330" i="3"/>
  <c r="X329" i="3"/>
  <c r="W329" i="3"/>
  <c r="V329" i="3"/>
  <c r="L329" i="3"/>
  <c r="X328" i="3"/>
  <c r="W328" i="3"/>
  <c r="V328" i="3"/>
  <c r="L328" i="3"/>
  <c r="X327" i="3"/>
  <c r="W327" i="3"/>
  <c r="V327" i="3"/>
  <c r="L327" i="3"/>
  <c r="X326" i="3"/>
  <c r="W326" i="3"/>
  <c r="V326" i="3"/>
  <c r="L326" i="3"/>
  <c r="X325" i="3"/>
  <c r="W325" i="3"/>
  <c r="V325" i="3"/>
  <c r="L325" i="3"/>
  <c r="X324" i="3"/>
  <c r="W324" i="3"/>
  <c r="V324" i="3"/>
  <c r="L324" i="3"/>
  <c r="X323" i="3"/>
  <c r="W323" i="3"/>
  <c r="V323" i="3"/>
  <c r="L323" i="3"/>
  <c r="X322" i="3"/>
  <c r="W322" i="3"/>
  <c r="V322" i="3"/>
  <c r="L322" i="3"/>
  <c r="X321" i="3"/>
  <c r="W321" i="3"/>
  <c r="V321" i="3"/>
  <c r="L321" i="3"/>
  <c r="X320" i="3"/>
  <c r="W320" i="3"/>
  <c r="V320" i="3"/>
  <c r="L320" i="3"/>
  <c r="X319" i="3"/>
  <c r="W319" i="3"/>
  <c r="V319" i="3"/>
  <c r="L319" i="3"/>
  <c r="X318" i="3"/>
  <c r="W318" i="3"/>
  <c r="V318" i="3"/>
  <c r="L318" i="3"/>
  <c r="X317" i="3"/>
  <c r="W317" i="3"/>
  <c r="V317" i="3"/>
  <c r="L317" i="3"/>
  <c r="X316" i="3"/>
  <c r="W316" i="3"/>
  <c r="V316" i="3"/>
  <c r="L316" i="3"/>
  <c r="X315" i="3"/>
  <c r="W315" i="3"/>
  <c r="V315" i="3"/>
  <c r="L315" i="3"/>
  <c r="X314" i="3"/>
  <c r="W314" i="3"/>
  <c r="V314" i="3"/>
  <c r="L314" i="3"/>
  <c r="X313" i="3"/>
  <c r="W313" i="3"/>
  <c r="V313" i="3"/>
  <c r="L313" i="3"/>
  <c r="X312" i="3"/>
  <c r="W312" i="3"/>
  <c r="V312" i="3"/>
  <c r="L312" i="3"/>
  <c r="X311" i="3"/>
  <c r="W311" i="3"/>
  <c r="V311" i="3"/>
  <c r="L311" i="3"/>
  <c r="X310" i="3"/>
  <c r="W310" i="3"/>
  <c r="V310" i="3"/>
  <c r="L310" i="3"/>
  <c r="X309" i="3"/>
  <c r="W309" i="3"/>
  <c r="V309" i="3"/>
  <c r="L309" i="3"/>
  <c r="X308" i="3"/>
  <c r="W308" i="3"/>
  <c r="V308" i="3"/>
  <c r="L308" i="3"/>
  <c r="X307" i="3"/>
  <c r="W307" i="3"/>
  <c r="V307" i="3"/>
  <c r="L307" i="3"/>
  <c r="X306" i="3"/>
  <c r="W306" i="3"/>
  <c r="V306" i="3"/>
  <c r="L306" i="3"/>
  <c r="X305" i="3"/>
  <c r="W305" i="3"/>
  <c r="V305" i="3"/>
  <c r="L305" i="3"/>
  <c r="X304" i="3"/>
  <c r="W304" i="3"/>
  <c r="V304" i="3"/>
  <c r="L304" i="3"/>
  <c r="X303" i="3"/>
  <c r="W303" i="3"/>
  <c r="V303" i="3"/>
  <c r="L303" i="3"/>
  <c r="Y302" i="3"/>
  <c r="X302" i="3"/>
  <c r="W302" i="3"/>
  <c r="V302" i="3"/>
  <c r="L302" i="3"/>
  <c r="Z302" i="3" s="1"/>
  <c r="X301" i="3"/>
  <c r="W301" i="3"/>
  <c r="V301" i="3"/>
  <c r="L301" i="3"/>
  <c r="X300" i="3"/>
  <c r="W300" i="3"/>
  <c r="V300" i="3"/>
  <c r="L300" i="3"/>
  <c r="X299" i="3"/>
  <c r="W299" i="3"/>
  <c r="V299" i="3"/>
  <c r="L299" i="3"/>
  <c r="X298" i="3"/>
  <c r="W298" i="3"/>
  <c r="V298" i="3"/>
  <c r="L298" i="3"/>
  <c r="X297" i="3"/>
  <c r="W297" i="3"/>
  <c r="V297" i="3"/>
  <c r="L297" i="3"/>
  <c r="X296" i="3"/>
  <c r="W296" i="3"/>
  <c r="V296" i="3"/>
  <c r="L296" i="3"/>
  <c r="X295" i="3"/>
  <c r="W295" i="3"/>
  <c r="V295" i="3"/>
  <c r="L295" i="3"/>
  <c r="X294" i="3"/>
  <c r="W294" i="3"/>
  <c r="V294" i="3"/>
  <c r="L294" i="3"/>
  <c r="X293" i="3"/>
  <c r="W293" i="3"/>
  <c r="V293" i="3"/>
  <c r="L293" i="3"/>
  <c r="X292" i="3"/>
  <c r="W292" i="3"/>
  <c r="V292" i="3"/>
  <c r="L292" i="3"/>
  <c r="X291" i="3"/>
  <c r="W291" i="3"/>
  <c r="V291" i="3"/>
  <c r="L291" i="3"/>
  <c r="X290" i="3"/>
  <c r="W290" i="3"/>
  <c r="V290" i="3"/>
  <c r="L290" i="3"/>
  <c r="X289" i="3"/>
  <c r="W289" i="3"/>
  <c r="V289" i="3"/>
  <c r="L289" i="3"/>
  <c r="X288" i="3"/>
  <c r="W288" i="3"/>
  <c r="V288" i="3"/>
  <c r="L288" i="3"/>
  <c r="X287" i="3"/>
  <c r="W287" i="3"/>
  <c r="V287" i="3"/>
  <c r="L287" i="3"/>
  <c r="X286" i="3"/>
  <c r="W286" i="3"/>
  <c r="V286" i="3"/>
  <c r="L286" i="3"/>
  <c r="X285" i="3"/>
  <c r="W285" i="3"/>
  <c r="V285" i="3"/>
  <c r="L285" i="3"/>
  <c r="X284" i="3"/>
  <c r="W284" i="3"/>
  <c r="V284" i="3"/>
  <c r="L284" i="3"/>
  <c r="X283" i="3"/>
  <c r="W283" i="3"/>
  <c r="V283" i="3"/>
  <c r="L283" i="3"/>
  <c r="X282" i="3"/>
  <c r="W282" i="3"/>
  <c r="V282" i="3"/>
  <c r="L282" i="3"/>
  <c r="X281" i="3"/>
  <c r="W281" i="3"/>
  <c r="V281" i="3"/>
  <c r="L281" i="3"/>
  <c r="X280" i="3"/>
  <c r="W280" i="3"/>
  <c r="V280" i="3"/>
  <c r="L280" i="3"/>
  <c r="X279" i="3"/>
  <c r="W279" i="3"/>
  <c r="V279" i="3"/>
  <c r="L279" i="3"/>
  <c r="X278" i="3"/>
  <c r="W278" i="3"/>
  <c r="V278" i="3"/>
  <c r="L278" i="3"/>
  <c r="X277" i="3"/>
  <c r="W277" i="3"/>
  <c r="V277" i="3"/>
  <c r="L277" i="3"/>
  <c r="X276" i="3"/>
  <c r="W276" i="3"/>
  <c r="V276" i="3"/>
  <c r="L276" i="3"/>
  <c r="X275" i="3"/>
  <c r="W275" i="3"/>
  <c r="V275" i="3"/>
  <c r="L275" i="3"/>
  <c r="X274" i="3"/>
  <c r="W274" i="3"/>
  <c r="V274" i="3"/>
  <c r="L274" i="3"/>
  <c r="X273" i="3"/>
  <c r="W273" i="3"/>
  <c r="V273" i="3"/>
  <c r="L273" i="3"/>
  <c r="X272" i="3"/>
  <c r="W272" i="3"/>
  <c r="V272" i="3"/>
  <c r="L272" i="3"/>
  <c r="X271" i="3"/>
  <c r="W271" i="3"/>
  <c r="V271" i="3"/>
  <c r="L271" i="3"/>
  <c r="X270" i="3"/>
  <c r="W270" i="3"/>
  <c r="V270" i="3"/>
  <c r="L270" i="3"/>
  <c r="X269" i="3"/>
  <c r="W269" i="3"/>
  <c r="V269" i="3"/>
  <c r="L269" i="3"/>
  <c r="X268" i="3"/>
  <c r="W268" i="3"/>
  <c r="V268" i="3"/>
  <c r="L268" i="3"/>
  <c r="X267" i="3"/>
  <c r="W267" i="3"/>
  <c r="V267" i="3"/>
  <c r="L267" i="3"/>
  <c r="X266" i="3"/>
  <c r="W266" i="3"/>
  <c r="V266" i="3"/>
  <c r="L266" i="3"/>
  <c r="X265" i="3"/>
  <c r="W265" i="3"/>
  <c r="V265" i="3"/>
  <c r="L265" i="3"/>
  <c r="X264" i="3"/>
  <c r="W264" i="3"/>
  <c r="V264" i="3"/>
  <c r="L264" i="3"/>
  <c r="X263" i="3"/>
  <c r="W263" i="3"/>
  <c r="V263" i="3"/>
  <c r="L263" i="3"/>
  <c r="X262" i="3"/>
  <c r="W262" i="3"/>
  <c r="V262" i="3"/>
  <c r="L262" i="3"/>
  <c r="X261" i="3"/>
  <c r="W261" i="3"/>
  <c r="V261" i="3"/>
  <c r="L261" i="3"/>
  <c r="X260" i="3"/>
  <c r="W260" i="3"/>
  <c r="V260" i="3"/>
  <c r="L260" i="3"/>
  <c r="X259" i="3"/>
  <c r="W259" i="3"/>
  <c r="V259" i="3"/>
  <c r="L259" i="3"/>
  <c r="X258" i="3"/>
  <c r="W258" i="3"/>
  <c r="V258" i="3"/>
  <c r="L258" i="3"/>
  <c r="X257" i="3"/>
  <c r="W257" i="3"/>
  <c r="V257" i="3"/>
  <c r="L257" i="3"/>
  <c r="X256" i="3"/>
  <c r="W256" i="3"/>
  <c r="V256" i="3"/>
  <c r="L256" i="3"/>
  <c r="X255" i="3"/>
  <c r="W255" i="3"/>
  <c r="V255" i="3"/>
  <c r="L255" i="3"/>
  <c r="X254" i="3"/>
  <c r="W254" i="3"/>
  <c r="V254" i="3"/>
  <c r="L254" i="3"/>
  <c r="X253" i="3"/>
  <c r="W253" i="3"/>
  <c r="V253" i="3"/>
  <c r="L253" i="3"/>
  <c r="X252" i="3"/>
  <c r="W252" i="3"/>
  <c r="V252" i="3"/>
  <c r="L252" i="3"/>
  <c r="X251" i="3"/>
  <c r="W251" i="3"/>
  <c r="V251" i="3"/>
  <c r="L251" i="3"/>
  <c r="X250" i="3"/>
  <c r="W250" i="3"/>
  <c r="V250" i="3"/>
  <c r="L250" i="3"/>
  <c r="X249" i="3"/>
  <c r="W249" i="3"/>
  <c r="V249" i="3"/>
  <c r="L249" i="3"/>
  <c r="X248" i="3"/>
  <c r="W248" i="3"/>
  <c r="V248" i="3"/>
  <c r="L248" i="3"/>
  <c r="X247" i="3"/>
  <c r="W247" i="3"/>
  <c r="V247" i="3"/>
  <c r="L247" i="3"/>
  <c r="X246" i="3"/>
  <c r="W246" i="3"/>
  <c r="V246" i="3"/>
  <c r="L246" i="3"/>
  <c r="X245" i="3"/>
  <c r="W245" i="3"/>
  <c r="V245" i="3"/>
  <c r="L245" i="3"/>
  <c r="X244" i="3"/>
  <c r="W244" i="3"/>
  <c r="V244" i="3"/>
  <c r="L244" i="3"/>
  <c r="X243" i="3"/>
  <c r="W243" i="3"/>
  <c r="V243" i="3"/>
  <c r="L243" i="3"/>
  <c r="X242" i="3"/>
  <c r="W242" i="3"/>
  <c r="V242" i="3"/>
  <c r="L242" i="3"/>
  <c r="X241" i="3"/>
  <c r="W241" i="3"/>
  <c r="V241" i="3"/>
  <c r="L241" i="3"/>
  <c r="X240" i="3"/>
  <c r="W240" i="3"/>
  <c r="V240" i="3"/>
  <c r="L240" i="3"/>
  <c r="X239" i="3"/>
  <c r="W239" i="3"/>
  <c r="V239" i="3"/>
  <c r="L239" i="3"/>
  <c r="X238" i="3"/>
  <c r="W238" i="3"/>
  <c r="V238" i="3"/>
  <c r="L238" i="3"/>
  <c r="X237" i="3"/>
  <c r="W237" i="3"/>
  <c r="V237" i="3"/>
  <c r="L237" i="3"/>
  <c r="X236" i="3"/>
  <c r="W236" i="3"/>
  <c r="V236" i="3"/>
  <c r="L236" i="3"/>
  <c r="X235" i="3"/>
  <c r="W235" i="3"/>
  <c r="V235" i="3"/>
  <c r="L235" i="3"/>
  <c r="X234" i="3"/>
  <c r="W234" i="3"/>
  <c r="V234" i="3"/>
  <c r="L234" i="3"/>
  <c r="X233" i="3"/>
  <c r="W233" i="3"/>
  <c r="V233" i="3"/>
  <c r="L233" i="3"/>
  <c r="X232" i="3"/>
  <c r="W232" i="3"/>
  <c r="V232" i="3"/>
  <c r="L232" i="3"/>
  <c r="X231" i="3"/>
  <c r="W231" i="3"/>
  <c r="V231" i="3"/>
  <c r="L231" i="3"/>
  <c r="X230" i="3"/>
  <c r="W230" i="3"/>
  <c r="V230" i="3"/>
  <c r="L230" i="3"/>
  <c r="X229" i="3"/>
  <c r="W229" i="3"/>
  <c r="V229" i="3"/>
  <c r="L229" i="3"/>
  <c r="X228" i="3"/>
  <c r="W228" i="3"/>
  <c r="V228" i="3"/>
  <c r="L228" i="3"/>
  <c r="X227" i="3"/>
  <c r="W227" i="3"/>
  <c r="V227" i="3"/>
  <c r="L227" i="3"/>
  <c r="X226" i="3"/>
  <c r="W226" i="3"/>
  <c r="V226" i="3"/>
  <c r="L226" i="3"/>
  <c r="X225" i="3"/>
  <c r="W225" i="3"/>
  <c r="V225" i="3"/>
  <c r="L225" i="3"/>
  <c r="X224" i="3"/>
  <c r="W224" i="3"/>
  <c r="V224" i="3"/>
  <c r="L224" i="3"/>
  <c r="X223" i="3"/>
  <c r="W223" i="3"/>
  <c r="V223" i="3"/>
  <c r="L223" i="3"/>
  <c r="X222" i="3"/>
  <c r="W222" i="3"/>
  <c r="V222" i="3"/>
  <c r="L222" i="3"/>
  <c r="X221" i="3"/>
  <c r="W221" i="3"/>
  <c r="V221" i="3"/>
  <c r="L221" i="3"/>
  <c r="X220" i="3"/>
  <c r="W220" i="3"/>
  <c r="V220" i="3"/>
  <c r="L220" i="3"/>
  <c r="X219" i="3"/>
  <c r="W219" i="3"/>
  <c r="V219" i="3"/>
  <c r="L219" i="3"/>
  <c r="X218" i="3"/>
  <c r="W218" i="3"/>
  <c r="V218" i="3"/>
  <c r="L218" i="3"/>
  <c r="X217" i="3"/>
  <c r="W217" i="3"/>
  <c r="V217" i="3"/>
  <c r="L217" i="3"/>
  <c r="X216" i="3"/>
  <c r="W216" i="3"/>
  <c r="V216" i="3"/>
  <c r="L216" i="3"/>
  <c r="X215" i="3"/>
  <c r="W215" i="3"/>
  <c r="V215" i="3"/>
  <c r="L215" i="3"/>
  <c r="X214" i="3"/>
  <c r="W214" i="3"/>
  <c r="V214" i="3"/>
  <c r="L214" i="3"/>
  <c r="X213" i="3"/>
  <c r="W213" i="3"/>
  <c r="V213" i="3"/>
  <c r="L213" i="3"/>
  <c r="X212" i="3"/>
  <c r="W212" i="3"/>
  <c r="V212" i="3"/>
  <c r="L212" i="3"/>
  <c r="X211" i="3"/>
  <c r="W211" i="3"/>
  <c r="V211" i="3"/>
  <c r="L211" i="3"/>
  <c r="X210" i="3"/>
  <c r="W210" i="3"/>
  <c r="V210" i="3"/>
  <c r="L210" i="3"/>
  <c r="X209" i="3"/>
  <c r="W209" i="3"/>
  <c r="V209" i="3"/>
  <c r="L209" i="3"/>
  <c r="X208" i="3"/>
  <c r="W208" i="3"/>
  <c r="V208" i="3"/>
  <c r="L208" i="3"/>
  <c r="X207" i="3"/>
  <c r="W207" i="3"/>
  <c r="V207" i="3"/>
  <c r="L207" i="3"/>
  <c r="X206" i="3"/>
  <c r="W206" i="3"/>
  <c r="V206" i="3"/>
  <c r="L206" i="3"/>
  <c r="X205" i="3"/>
  <c r="W205" i="3"/>
  <c r="V205" i="3"/>
  <c r="L205" i="3"/>
  <c r="X204" i="3"/>
  <c r="W204" i="3"/>
  <c r="V204" i="3"/>
  <c r="L204" i="3"/>
  <c r="X203" i="3"/>
  <c r="W203" i="3"/>
  <c r="V203" i="3"/>
  <c r="L203" i="3"/>
  <c r="X202" i="3"/>
  <c r="W202" i="3"/>
  <c r="V202" i="3"/>
  <c r="L202" i="3"/>
  <c r="X201" i="3"/>
  <c r="W201" i="3"/>
  <c r="V201" i="3"/>
  <c r="L201" i="3"/>
  <c r="X200" i="3"/>
  <c r="W200" i="3"/>
  <c r="V200" i="3"/>
  <c r="L200" i="3"/>
  <c r="X199" i="3"/>
  <c r="W199" i="3"/>
  <c r="V199" i="3"/>
  <c r="L199" i="3"/>
  <c r="X198" i="3"/>
  <c r="W198" i="3"/>
  <c r="V198" i="3"/>
  <c r="L198" i="3"/>
  <c r="X197" i="3"/>
  <c r="W197" i="3"/>
  <c r="V197" i="3"/>
  <c r="L197" i="3"/>
  <c r="X196" i="3"/>
  <c r="W196" i="3"/>
  <c r="V196" i="3"/>
  <c r="L196" i="3"/>
  <c r="X195" i="3"/>
  <c r="W195" i="3"/>
  <c r="V195" i="3"/>
  <c r="L195" i="3"/>
  <c r="X194" i="3"/>
  <c r="W194" i="3"/>
  <c r="V194" i="3"/>
  <c r="L194" i="3"/>
  <c r="X193" i="3"/>
  <c r="W193" i="3"/>
  <c r="V193" i="3"/>
  <c r="L193" i="3"/>
  <c r="X192" i="3"/>
  <c r="W192" i="3"/>
  <c r="V192" i="3"/>
  <c r="L192" i="3"/>
  <c r="X191" i="3"/>
  <c r="W191" i="3"/>
  <c r="V191" i="3"/>
  <c r="L191" i="3"/>
  <c r="X190" i="3"/>
  <c r="W190" i="3"/>
  <c r="V190" i="3"/>
  <c r="L190" i="3"/>
  <c r="X189" i="3"/>
  <c r="W189" i="3"/>
  <c r="V189" i="3"/>
  <c r="L189" i="3"/>
  <c r="X188" i="3"/>
  <c r="W188" i="3"/>
  <c r="V188" i="3"/>
  <c r="L188" i="3"/>
  <c r="X187" i="3"/>
  <c r="W187" i="3"/>
  <c r="V187" i="3"/>
  <c r="L187" i="3"/>
  <c r="X186" i="3"/>
  <c r="W186" i="3"/>
  <c r="V186" i="3"/>
  <c r="L186" i="3"/>
  <c r="X185" i="3"/>
  <c r="W185" i="3"/>
  <c r="V185" i="3"/>
  <c r="L185" i="3"/>
  <c r="X184" i="3"/>
  <c r="W184" i="3"/>
  <c r="V184" i="3"/>
  <c r="L184" i="3"/>
  <c r="X183" i="3"/>
  <c r="W183" i="3"/>
  <c r="V183" i="3"/>
  <c r="L183" i="3"/>
  <c r="X182" i="3"/>
  <c r="W182" i="3"/>
  <c r="V182" i="3"/>
  <c r="L182" i="3"/>
  <c r="X181" i="3"/>
  <c r="W181" i="3"/>
  <c r="V181" i="3"/>
  <c r="L181" i="3"/>
  <c r="X180" i="3"/>
  <c r="W180" i="3"/>
  <c r="V180" i="3"/>
  <c r="L180" i="3"/>
  <c r="X179" i="3"/>
  <c r="W179" i="3"/>
  <c r="V179" i="3"/>
  <c r="L179" i="3"/>
  <c r="X178" i="3"/>
  <c r="W178" i="3"/>
  <c r="V178" i="3"/>
  <c r="L178" i="3"/>
  <c r="X177" i="3"/>
  <c r="W177" i="3"/>
  <c r="V177" i="3"/>
  <c r="L177" i="3"/>
  <c r="X176" i="3"/>
  <c r="W176" i="3"/>
  <c r="V176" i="3"/>
  <c r="L176" i="3"/>
  <c r="X175" i="3"/>
  <c r="W175" i="3"/>
  <c r="V175" i="3"/>
  <c r="L175" i="3"/>
  <c r="X174" i="3"/>
  <c r="W174" i="3"/>
  <c r="V174" i="3"/>
  <c r="L174" i="3"/>
  <c r="X173" i="3"/>
  <c r="W173" i="3"/>
  <c r="V173" i="3"/>
  <c r="L173" i="3"/>
  <c r="X172" i="3"/>
  <c r="W172" i="3"/>
  <c r="V172" i="3"/>
  <c r="L172" i="3"/>
  <c r="X171" i="3"/>
  <c r="W171" i="3"/>
  <c r="V171" i="3"/>
  <c r="L171" i="3"/>
  <c r="X170" i="3"/>
  <c r="W170" i="3"/>
  <c r="V170" i="3"/>
  <c r="L170" i="3"/>
  <c r="X169" i="3"/>
  <c r="W169" i="3"/>
  <c r="V169" i="3"/>
  <c r="L169" i="3"/>
  <c r="X168" i="3"/>
  <c r="W168" i="3"/>
  <c r="V168" i="3"/>
  <c r="L168" i="3"/>
  <c r="X167" i="3"/>
  <c r="W167" i="3"/>
  <c r="V167" i="3"/>
  <c r="L167" i="3"/>
  <c r="X166" i="3"/>
  <c r="W166" i="3"/>
  <c r="V166" i="3"/>
  <c r="L166" i="3"/>
  <c r="X165" i="3"/>
  <c r="W165" i="3"/>
  <c r="V165" i="3"/>
  <c r="L165" i="3"/>
  <c r="X164" i="3"/>
  <c r="W164" i="3"/>
  <c r="V164" i="3"/>
  <c r="L164" i="3"/>
  <c r="X163" i="3"/>
  <c r="W163" i="3"/>
  <c r="V163" i="3"/>
  <c r="L163" i="3"/>
  <c r="X162" i="3"/>
  <c r="W162" i="3"/>
  <c r="V162" i="3"/>
  <c r="L162" i="3"/>
  <c r="X161" i="3"/>
  <c r="W161" i="3"/>
  <c r="V161" i="3"/>
  <c r="L161" i="3"/>
  <c r="X160" i="3"/>
  <c r="W160" i="3"/>
  <c r="V160" i="3"/>
  <c r="L160" i="3"/>
  <c r="X159" i="3"/>
  <c r="W159" i="3"/>
  <c r="V159" i="3"/>
  <c r="L159" i="3"/>
  <c r="X158" i="3"/>
  <c r="W158" i="3"/>
  <c r="V158" i="3"/>
  <c r="L158" i="3"/>
  <c r="X157" i="3"/>
  <c r="W157" i="3"/>
  <c r="V157" i="3"/>
  <c r="L157" i="3"/>
  <c r="X156" i="3"/>
  <c r="W156" i="3"/>
  <c r="V156" i="3"/>
  <c r="L156" i="3"/>
  <c r="X155" i="3"/>
  <c r="W155" i="3"/>
  <c r="V155" i="3"/>
  <c r="L155" i="3"/>
  <c r="X154" i="3"/>
  <c r="W154" i="3"/>
  <c r="V154" i="3"/>
  <c r="L154" i="3"/>
  <c r="X153" i="3"/>
  <c r="W153" i="3"/>
  <c r="V153" i="3"/>
  <c r="L153" i="3"/>
  <c r="X152" i="3"/>
  <c r="W152" i="3"/>
  <c r="V152" i="3"/>
  <c r="L152" i="3"/>
  <c r="X151" i="3"/>
  <c r="W151" i="3"/>
  <c r="V151" i="3"/>
  <c r="L151" i="3"/>
  <c r="X150" i="3"/>
  <c r="W150" i="3"/>
  <c r="V150" i="3"/>
  <c r="L150" i="3"/>
  <c r="X149" i="3"/>
  <c r="W149" i="3"/>
  <c r="V149" i="3"/>
  <c r="L149" i="3"/>
  <c r="X148" i="3"/>
  <c r="W148" i="3"/>
  <c r="V148" i="3"/>
  <c r="L148" i="3"/>
  <c r="X147" i="3"/>
  <c r="W147" i="3"/>
  <c r="V147" i="3"/>
  <c r="L147" i="3"/>
  <c r="X146" i="3"/>
  <c r="W146" i="3"/>
  <c r="V146" i="3"/>
  <c r="L146" i="3"/>
  <c r="X145" i="3"/>
  <c r="W145" i="3"/>
  <c r="V145" i="3"/>
  <c r="L145" i="3"/>
  <c r="X144" i="3"/>
  <c r="W144" i="3"/>
  <c r="V144" i="3"/>
  <c r="L144" i="3"/>
  <c r="X143" i="3"/>
  <c r="W143" i="3"/>
  <c r="V143" i="3"/>
  <c r="L143" i="3"/>
  <c r="X142" i="3"/>
  <c r="W142" i="3"/>
  <c r="V142" i="3"/>
  <c r="L142" i="3"/>
  <c r="X141" i="3"/>
  <c r="W141" i="3"/>
  <c r="V141" i="3"/>
  <c r="L141" i="3"/>
  <c r="X140" i="3"/>
  <c r="W140" i="3"/>
  <c r="V140" i="3"/>
  <c r="L140" i="3"/>
  <c r="X139" i="3"/>
  <c r="W139" i="3"/>
  <c r="V139" i="3"/>
  <c r="L139" i="3"/>
  <c r="X138" i="3"/>
  <c r="W138" i="3"/>
  <c r="V138" i="3"/>
  <c r="L138" i="3"/>
  <c r="X137" i="3"/>
  <c r="W137" i="3"/>
  <c r="V137" i="3"/>
  <c r="L137" i="3"/>
  <c r="X136" i="3"/>
  <c r="W136" i="3"/>
  <c r="V136" i="3"/>
  <c r="L136" i="3"/>
  <c r="X135" i="3"/>
  <c r="W135" i="3"/>
  <c r="V135" i="3"/>
  <c r="L135" i="3"/>
  <c r="X134" i="3"/>
  <c r="W134" i="3"/>
  <c r="V134" i="3"/>
  <c r="L134" i="3"/>
  <c r="X133" i="3"/>
  <c r="W133" i="3"/>
  <c r="V133" i="3"/>
  <c r="L133" i="3"/>
  <c r="X132" i="3"/>
  <c r="W132" i="3"/>
  <c r="V132" i="3"/>
  <c r="L132" i="3"/>
  <c r="X131" i="3"/>
  <c r="W131" i="3"/>
  <c r="V131" i="3"/>
  <c r="L131" i="3"/>
  <c r="X130" i="3"/>
  <c r="W130" i="3"/>
  <c r="V130" i="3"/>
  <c r="L130" i="3"/>
  <c r="X129" i="3"/>
  <c r="W129" i="3"/>
  <c r="V129" i="3"/>
  <c r="L129" i="3"/>
  <c r="X128" i="3"/>
  <c r="W128" i="3"/>
  <c r="V128" i="3"/>
  <c r="L128" i="3"/>
  <c r="X127" i="3"/>
  <c r="W127" i="3"/>
  <c r="V127" i="3"/>
  <c r="L127" i="3"/>
  <c r="X126" i="3"/>
  <c r="W126" i="3"/>
  <c r="V126" i="3"/>
  <c r="L126" i="3"/>
  <c r="X125" i="3"/>
  <c r="W125" i="3"/>
  <c r="V125" i="3"/>
  <c r="L125" i="3"/>
  <c r="X124" i="3"/>
  <c r="W124" i="3"/>
  <c r="V124" i="3"/>
  <c r="L124" i="3"/>
  <c r="X123" i="3"/>
  <c r="W123" i="3"/>
  <c r="V123" i="3"/>
  <c r="L123" i="3"/>
  <c r="Z122" i="3"/>
  <c r="Y122" i="3"/>
  <c r="X122" i="3"/>
  <c r="W122" i="3"/>
  <c r="V122" i="3"/>
  <c r="L122" i="3"/>
  <c r="X121" i="3"/>
  <c r="W121" i="3"/>
  <c r="V121" i="3"/>
  <c r="L121" i="3"/>
  <c r="X120" i="3"/>
  <c r="W120" i="3"/>
  <c r="V120" i="3"/>
  <c r="L120" i="3"/>
  <c r="X119" i="3"/>
  <c r="W119" i="3"/>
  <c r="V119" i="3"/>
  <c r="L119" i="3"/>
  <c r="X118" i="3"/>
  <c r="W118" i="3"/>
  <c r="V118" i="3"/>
  <c r="L118" i="3"/>
  <c r="X117" i="3"/>
  <c r="W117" i="3"/>
  <c r="V117" i="3"/>
  <c r="L117" i="3"/>
  <c r="X116" i="3"/>
  <c r="W116" i="3"/>
  <c r="V116" i="3"/>
  <c r="L116" i="3"/>
  <c r="X115" i="3"/>
  <c r="W115" i="3"/>
  <c r="V115" i="3"/>
  <c r="L115" i="3"/>
  <c r="X114" i="3"/>
  <c r="W114" i="3"/>
  <c r="V114" i="3"/>
  <c r="L114" i="3"/>
  <c r="X113" i="3"/>
  <c r="W113" i="3"/>
  <c r="V113" i="3"/>
  <c r="L113" i="3"/>
  <c r="X112" i="3"/>
  <c r="W112" i="3"/>
  <c r="V112" i="3"/>
  <c r="L112" i="3"/>
  <c r="X111" i="3"/>
  <c r="W111" i="3"/>
  <c r="V111" i="3"/>
  <c r="L111" i="3"/>
  <c r="X110" i="3"/>
  <c r="W110" i="3"/>
  <c r="V110" i="3"/>
  <c r="L110" i="3"/>
  <c r="X109" i="3"/>
  <c r="W109" i="3"/>
  <c r="V109" i="3"/>
  <c r="L109" i="3"/>
  <c r="X108" i="3"/>
  <c r="W108" i="3"/>
  <c r="V108" i="3"/>
  <c r="L108" i="3"/>
  <c r="X107" i="3"/>
  <c r="W107" i="3"/>
  <c r="V107" i="3"/>
  <c r="L107" i="3"/>
  <c r="X106" i="3"/>
  <c r="W106" i="3"/>
  <c r="V106" i="3"/>
  <c r="L106" i="3"/>
  <c r="X105" i="3"/>
  <c r="W105" i="3"/>
  <c r="V105" i="3"/>
  <c r="L105" i="3"/>
  <c r="X104" i="3"/>
  <c r="W104" i="3"/>
  <c r="V104" i="3"/>
  <c r="L104" i="3"/>
  <c r="X103" i="3"/>
  <c r="W103" i="3"/>
  <c r="V103" i="3"/>
  <c r="L103" i="3"/>
  <c r="X102" i="3"/>
  <c r="W102" i="3"/>
  <c r="V102" i="3"/>
  <c r="L102" i="3"/>
  <c r="X101" i="3"/>
  <c r="W101" i="3"/>
  <c r="V101" i="3"/>
  <c r="L101" i="3"/>
  <c r="X100" i="3"/>
  <c r="W100" i="3"/>
  <c r="V100" i="3"/>
  <c r="L100" i="3"/>
  <c r="X99" i="3"/>
  <c r="W99" i="3"/>
  <c r="V99" i="3"/>
  <c r="L99" i="3"/>
  <c r="X98" i="3"/>
  <c r="W98" i="3"/>
  <c r="V98" i="3"/>
  <c r="L98" i="3"/>
  <c r="X97" i="3"/>
  <c r="W97" i="3"/>
  <c r="V97" i="3"/>
  <c r="L97" i="3"/>
  <c r="X96" i="3"/>
  <c r="W96" i="3"/>
  <c r="V96" i="3"/>
  <c r="L96" i="3"/>
  <c r="X95" i="3"/>
  <c r="W95" i="3"/>
  <c r="V95" i="3"/>
  <c r="L95" i="3"/>
  <c r="X94" i="3"/>
  <c r="W94" i="3"/>
  <c r="V94" i="3"/>
  <c r="L94" i="3"/>
  <c r="X93" i="3"/>
  <c r="W93" i="3"/>
  <c r="V93" i="3"/>
  <c r="L93" i="3"/>
  <c r="X92" i="3"/>
  <c r="W92" i="3"/>
  <c r="V92" i="3"/>
  <c r="L92" i="3"/>
  <c r="X91" i="3"/>
  <c r="W91" i="3"/>
  <c r="V91" i="3"/>
  <c r="L91" i="3"/>
  <c r="X90" i="3"/>
  <c r="W90" i="3"/>
  <c r="V90" i="3"/>
  <c r="L90" i="3"/>
  <c r="X89" i="3"/>
  <c r="W89" i="3"/>
  <c r="V89" i="3"/>
  <c r="L89" i="3"/>
  <c r="X88" i="3"/>
  <c r="W88" i="3"/>
  <c r="V88" i="3"/>
  <c r="L88" i="3"/>
  <c r="X87" i="3"/>
  <c r="W87" i="3"/>
  <c r="V87" i="3"/>
  <c r="L87" i="3"/>
  <c r="X86" i="3"/>
  <c r="W86" i="3"/>
  <c r="V86" i="3"/>
  <c r="L86" i="3"/>
  <c r="X85" i="3"/>
  <c r="W85" i="3"/>
  <c r="V85" i="3"/>
  <c r="L85" i="3"/>
  <c r="X84" i="3"/>
  <c r="W84" i="3"/>
  <c r="V84" i="3"/>
  <c r="L84" i="3"/>
  <c r="X83" i="3"/>
  <c r="W83" i="3"/>
  <c r="V83" i="3"/>
  <c r="L83" i="3"/>
  <c r="X82" i="3"/>
  <c r="W82" i="3"/>
  <c r="V82" i="3"/>
  <c r="L82" i="3"/>
  <c r="X81" i="3"/>
  <c r="W81" i="3"/>
  <c r="V81" i="3"/>
  <c r="L81" i="3"/>
  <c r="X80" i="3"/>
  <c r="W80" i="3"/>
  <c r="V80" i="3"/>
  <c r="L80" i="3"/>
  <c r="X79" i="3"/>
  <c r="W79" i="3"/>
  <c r="V79" i="3"/>
  <c r="L79" i="3"/>
  <c r="X78" i="3"/>
  <c r="W78" i="3"/>
  <c r="V78" i="3"/>
  <c r="L78" i="3"/>
  <c r="X77" i="3"/>
  <c r="W77" i="3"/>
  <c r="V77" i="3"/>
  <c r="L77" i="3"/>
  <c r="X76" i="3"/>
  <c r="W76" i="3"/>
  <c r="V76" i="3"/>
  <c r="L76" i="3"/>
  <c r="X75" i="3"/>
  <c r="W75" i="3"/>
  <c r="V75" i="3"/>
  <c r="L75" i="3"/>
  <c r="X74" i="3"/>
  <c r="W74" i="3"/>
  <c r="V74" i="3"/>
  <c r="L74" i="3"/>
  <c r="X73" i="3"/>
  <c r="W73" i="3"/>
  <c r="V73" i="3"/>
  <c r="L73" i="3"/>
  <c r="X72" i="3"/>
  <c r="W72" i="3"/>
  <c r="V72" i="3"/>
  <c r="L72" i="3"/>
  <c r="X71" i="3"/>
  <c r="W71" i="3"/>
  <c r="V71" i="3"/>
  <c r="L71" i="3"/>
  <c r="X70" i="3"/>
  <c r="W70" i="3"/>
  <c r="V70" i="3"/>
  <c r="L70" i="3"/>
  <c r="X69" i="3"/>
  <c r="W69" i="3"/>
  <c r="V69" i="3"/>
  <c r="L69" i="3"/>
  <c r="X68" i="3"/>
  <c r="W68" i="3"/>
  <c r="V68" i="3"/>
  <c r="L68" i="3"/>
  <c r="X67" i="3"/>
  <c r="W67" i="3"/>
  <c r="V67" i="3"/>
  <c r="L67" i="3"/>
  <c r="X66" i="3"/>
  <c r="W66" i="3"/>
  <c r="V66" i="3"/>
  <c r="L66" i="3"/>
  <c r="X65" i="3"/>
  <c r="W65" i="3"/>
  <c r="V65" i="3"/>
  <c r="L65" i="3"/>
  <c r="X64" i="3"/>
  <c r="W64" i="3"/>
  <c r="V64" i="3"/>
  <c r="L64" i="3"/>
  <c r="X63" i="3"/>
  <c r="W63" i="3"/>
  <c r="V63" i="3"/>
  <c r="L63" i="3"/>
  <c r="X62" i="3"/>
  <c r="W62" i="3"/>
  <c r="V62" i="3"/>
  <c r="L62" i="3"/>
  <c r="X61" i="3"/>
  <c r="W61" i="3"/>
  <c r="V61" i="3"/>
  <c r="L61" i="3"/>
  <c r="X60" i="3"/>
  <c r="W60" i="3"/>
  <c r="V60" i="3"/>
  <c r="L60" i="3"/>
  <c r="X59" i="3"/>
  <c r="W59" i="3"/>
  <c r="V59" i="3"/>
  <c r="L59" i="3"/>
  <c r="X58" i="3"/>
  <c r="W58" i="3"/>
  <c r="V58" i="3"/>
  <c r="L58" i="3"/>
  <c r="X57" i="3"/>
  <c r="W57" i="3"/>
  <c r="V57" i="3"/>
  <c r="L57" i="3"/>
  <c r="X56" i="3"/>
  <c r="W56" i="3"/>
  <c r="V56" i="3"/>
  <c r="L56" i="3"/>
  <c r="X55" i="3"/>
  <c r="W55" i="3"/>
  <c r="V55" i="3"/>
  <c r="L55" i="3"/>
  <c r="X54" i="3"/>
  <c r="W54" i="3"/>
  <c r="V54" i="3"/>
  <c r="L54" i="3"/>
  <c r="X53" i="3"/>
  <c r="W53" i="3"/>
  <c r="V53" i="3"/>
  <c r="L53" i="3"/>
  <c r="X52" i="3"/>
  <c r="W52" i="3"/>
  <c r="V52" i="3"/>
  <c r="L52" i="3"/>
  <c r="X51" i="3"/>
  <c r="W51" i="3"/>
  <c r="V51" i="3"/>
  <c r="L51" i="3"/>
  <c r="X50" i="3"/>
  <c r="W50" i="3"/>
  <c r="V50" i="3"/>
  <c r="L50" i="3"/>
  <c r="X49" i="3"/>
  <c r="W49" i="3"/>
  <c r="V49" i="3"/>
  <c r="L49" i="3"/>
  <c r="X48" i="3"/>
  <c r="W48" i="3"/>
  <c r="V48" i="3"/>
  <c r="L48" i="3"/>
  <c r="X47" i="3"/>
  <c r="W47" i="3"/>
  <c r="V47" i="3"/>
  <c r="L47" i="3"/>
  <c r="X46" i="3"/>
  <c r="W46" i="3"/>
  <c r="V46" i="3"/>
  <c r="L46" i="3"/>
  <c r="X45" i="3"/>
  <c r="W45" i="3"/>
  <c r="V45" i="3"/>
  <c r="L45" i="3"/>
  <c r="X44" i="3"/>
  <c r="W44" i="3"/>
  <c r="V44" i="3"/>
  <c r="L44" i="3"/>
  <c r="X43" i="3"/>
  <c r="W43" i="3"/>
  <c r="V43" i="3"/>
  <c r="L43" i="3"/>
  <c r="X42" i="3"/>
  <c r="W42" i="3"/>
  <c r="V42" i="3"/>
  <c r="L42" i="3"/>
  <c r="X41" i="3"/>
  <c r="W41" i="3"/>
  <c r="V41" i="3"/>
  <c r="L41" i="3"/>
  <c r="X40" i="3"/>
  <c r="W40" i="3"/>
  <c r="V40" i="3"/>
  <c r="L40" i="3"/>
  <c r="X39" i="3"/>
  <c r="W39" i="3"/>
  <c r="V39" i="3"/>
  <c r="L39" i="3"/>
  <c r="X38" i="3"/>
  <c r="W38" i="3"/>
  <c r="V38" i="3"/>
  <c r="L38" i="3"/>
  <c r="X37" i="3"/>
  <c r="W37" i="3"/>
  <c r="V37" i="3"/>
  <c r="L37" i="3"/>
  <c r="X36" i="3"/>
  <c r="W36" i="3"/>
  <c r="V36" i="3"/>
  <c r="L36" i="3"/>
  <c r="X35" i="3"/>
  <c r="W35" i="3"/>
  <c r="V35" i="3"/>
  <c r="L35" i="3"/>
  <c r="X34" i="3"/>
  <c r="W34" i="3"/>
  <c r="V34" i="3"/>
  <c r="L34" i="3"/>
  <c r="X33" i="3"/>
  <c r="W33" i="3"/>
  <c r="V33" i="3"/>
  <c r="L33" i="3"/>
  <c r="X32" i="3"/>
  <c r="W32" i="3"/>
  <c r="V32" i="3"/>
  <c r="L32" i="3"/>
  <c r="X31" i="3"/>
  <c r="W31" i="3"/>
  <c r="V31" i="3"/>
  <c r="L31" i="3"/>
  <c r="X30" i="3"/>
  <c r="W30" i="3"/>
  <c r="V30" i="3"/>
  <c r="L30" i="3"/>
  <c r="X29" i="3"/>
  <c r="W29" i="3"/>
  <c r="V29" i="3"/>
  <c r="L29" i="3"/>
  <c r="X28" i="3"/>
  <c r="W28" i="3"/>
  <c r="V28" i="3"/>
  <c r="L28" i="3"/>
  <c r="X27" i="3"/>
  <c r="W27" i="3"/>
  <c r="V27" i="3"/>
  <c r="L27" i="3"/>
  <c r="X26" i="3"/>
  <c r="W26" i="3"/>
  <c r="V26" i="3"/>
  <c r="L26" i="3"/>
  <c r="X25" i="3"/>
  <c r="W25" i="3"/>
  <c r="V25" i="3"/>
  <c r="L25" i="3"/>
  <c r="X24" i="3"/>
  <c r="W24" i="3"/>
  <c r="V24" i="3"/>
  <c r="L24" i="3"/>
  <c r="X23" i="3"/>
  <c r="W23" i="3"/>
  <c r="V23" i="3"/>
  <c r="L23" i="3"/>
  <c r="X22" i="3"/>
  <c r="W22" i="3"/>
  <c r="V22" i="3"/>
  <c r="L22" i="3"/>
  <c r="X21" i="3"/>
  <c r="W21" i="3"/>
  <c r="V21" i="3"/>
  <c r="L21" i="3"/>
  <c r="X20" i="3"/>
  <c r="W20" i="3"/>
  <c r="V20" i="3"/>
  <c r="L20" i="3"/>
  <c r="X19" i="3"/>
  <c r="W19" i="3"/>
  <c r="V19" i="3"/>
  <c r="L19" i="3"/>
  <c r="X18" i="3"/>
  <c r="W18" i="3"/>
  <c r="V18" i="3"/>
  <c r="L18" i="3"/>
  <c r="X17" i="3"/>
  <c r="W17" i="3"/>
  <c r="V17" i="3"/>
  <c r="L17" i="3"/>
  <c r="X16" i="3"/>
  <c r="W16" i="3"/>
  <c r="V16" i="3"/>
  <c r="L16" i="3"/>
  <c r="X15" i="3"/>
  <c r="W15" i="3"/>
  <c r="V15" i="3"/>
  <c r="L15" i="3"/>
  <c r="X14" i="3"/>
  <c r="W14" i="3"/>
  <c r="V14" i="3"/>
  <c r="L14" i="3"/>
  <c r="X13" i="3"/>
  <c r="W13" i="3"/>
  <c r="V13" i="3"/>
  <c r="L13" i="3"/>
  <c r="X12" i="3"/>
  <c r="W12" i="3"/>
  <c r="V12" i="3"/>
  <c r="L12" i="3"/>
  <c r="X11" i="3"/>
  <c r="W11" i="3"/>
  <c r="V11" i="3"/>
  <c r="L11" i="3"/>
  <c r="X10" i="3"/>
  <c r="W10" i="3"/>
  <c r="V10" i="3"/>
  <c r="L10" i="3"/>
  <c r="X9" i="3"/>
  <c r="W9" i="3"/>
  <c r="V9" i="3"/>
  <c r="L9" i="3"/>
  <c r="X8" i="3"/>
  <c r="W8" i="3"/>
  <c r="V8" i="3"/>
  <c r="L8" i="3"/>
  <c r="X7" i="3"/>
  <c r="W7" i="3"/>
  <c r="V7" i="3"/>
  <c r="L7" i="3"/>
  <c r="X6" i="3"/>
  <c r="W6" i="3"/>
  <c r="V6" i="3"/>
  <c r="L6" i="3"/>
  <c r="X5" i="3"/>
  <c r="W5" i="3"/>
  <c r="V5" i="3"/>
  <c r="L5" i="3"/>
  <c r="I12" i="5" l="1"/>
  <c r="J12" i="5"/>
  <c r="J6" i="5"/>
  <c r="J5" i="5"/>
  <c r="I6" i="5"/>
  <c r="I5" i="5"/>
  <c r="J13" i="5"/>
  <c r="I13" i="5"/>
  <c r="J14" i="5"/>
  <c r="I14" i="5"/>
  <c r="Z1004" i="3"/>
  <c r="Y1004" i="3"/>
  <c r="Z1003" i="3"/>
  <c r="Y1003" i="3"/>
  <c r="Z1002" i="3"/>
  <c r="Y1002" i="3"/>
  <c r="Z1001" i="3"/>
  <c r="Y1001" i="3"/>
  <c r="Z1000" i="3"/>
  <c r="Y1000" i="3"/>
  <c r="Z999" i="3"/>
  <c r="Y999" i="3"/>
  <c r="Z998" i="3"/>
  <c r="Y998" i="3"/>
  <c r="Z997" i="3"/>
  <c r="Y997" i="3"/>
  <c r="Y996" i="3"/>
  <c r="Z996" i="3"/>
  <c r="Z995" i="3"/>
  <c r="Y995" i="3"/>
  <c r="Z994" i="3"/>
  <c r="Y994" i="3"/>
  <c r="Y993" i="3"/>
  <c r="Z993" i="3"/>
  <c r="Z992" i="3"/>
  <c r="Y992" i="3"/>
  <c r="Z991" i="3"/>
  <c r="Y991" i="3"/>
  <c r="Y990" i="3"/>
  <c r="Z990" i="3"/>
  <c r="Z989" i="3"/>
  <c r="Y989" i="3"/>
  <c r="Z988" i="3"/>
  <c r="Y988" i="3"/>
  <c r="Y987" i="3"/>
  <c r="Z987" i="3"/>
  <c r="Y986" i="3"/>
  <c r="Z986" i="3"/>
  <c r="Z985" i="3"/>
  <c r="Y985" i="3"/>
  <c r="Z984" i="3"/>
  <c r="Y984" i="3"/>
  <c r="Z983" i="3"/>
  <c r="Y983" i="3"/>
  <c r="Z982" i="3"/>
  <c r="Y982" i="3"/>
  <c r="Z981" i="3"/>
  <c r="Y981" i="3"/>
  <c r="Z980" i="3"/>
  <c r="Y980" i="3"/>
  <c r="Z979" i="3"/>
  <c r="Y979" i="3"/>
  <c r="Z978" i="3"/>
  <c r="Y978" i="3"/>
  <c r="Y977" i="3"/>
  <c r="Z977" i="3"/>
  <c r="Z976" i="3"/>
  <c r="Y976" i="3"/>
  <c r="Z975" i="3"/>
  <c r="Y975" i="3"/>
  <c r="Z974" i="3"/>
  <c r="Y974" i="3"/>
  <c r="Z973" i="3"/>
  <c r="Y973" i="3"/>
  <c r="Z972" i="3"/>
  <c r="Y972" i="3"/>
  <c r="Z971" i="3"/>
  <c r="Y971" i="3"/>
  <c r="Z970" i="3"/>
  <c r="Y970" i="3"/>
  <c r="Z969" i="3"/>
  <c r="Y969" i="3"/>
  <c r="Y968" i="3"/>
  <c r="Z968" i="3"/>
  <c r="Y967" i="3"/>
  <c r="Z967" i="3"/>
  <c r="Z966" i="3"/>
  <c r="Y966" i="3"/>
  <c r="Z965" i="3"/>
  <c r="Y965" i="3"/>
  <c r="Z964" i="3"/>
  <c r="Y964" i="3"/>
  <c r="Z963" i="3"/>
  <c r="Y963" i="3"/>
  <c r="Z962" i="3"/>
  <c r="Y962" i="3"/>
  <c r="Z961" i="3"/>
  <c r="Y961" i="3"/>
  <c r="Z960" i="3"/>
  <c r="Y960" i="3"/>
  <c r="Z959" i="3"/>
  <c r="Y959" i="3"/>
  <c r="Z958" i="3"/>
  <c r="Y958" i="3"/>
  <c r="Z957" i="3"/>
  <c r="Y957" i="3"/>
  <c r="Y956" i="3"/>
  <c r="Z956" i="3"/>
  <c r="Z955" i="3"/>
  <c r="Y955" i="3"/>
  <c r="Z954" i="3"/>
  <c r="Y954" i="3"/>
  <c r="Z953" i="3"/>
  <c r="Y953" i="3"/>
  <c r="Z952" i="3"/>
  <c r="Y952" i="3"/>
  <c r="Z951" i="3"/>
  <c r="Y951" i="3"/>
  <c r="Z950" i="3"/>
  <c r="Y950" i="3"/>
  <c r="Z949" i="3"/>
  <c r="Y949" i="3"/>
  <c r="Z948" i="3"/>
  <c r="Y948" i="3"/>
  <c r="Z947" i="3"/>
  <c r="Y947" i="3"/>
  <c r="Z946" i="3"/>
  <c r="Y946" i="3"/>
  <c r="Z945" i="3"/>
  <c r="Y945" i="3"/>
  <c r="Z944" i="3"/>
  <c r="Y944" i="3"/>
  <c r="Z943" i="3"/>
  <c r="Y943" i="3"/>
  <c r="Z942" i="3"/>
  <c r="Y942" i="3"/>
  <c r="Z941" i="3"/>
  <c r="Y941" i="3"/>
  <c r="Y940" i="3"/>
  <c r="Z940" i="3"/>
  <c r="Z939" i="3"/>
  <c r="Y939" i="3"/>
  <c r="Z938" i="3"/>
  <c r="Y938" i="3"/>
  <c r="Z937" i="3"/>
  <c r="Y937" i="3"/>
  <c r="Z936" i="3"/>
  <c r="Y936" i="3"/>
  <c r="Y935" i="3"/>
  <c r="Z935" i="3"/>
  <c r="Z934" i="3"/>
  <c r="Y934" i="3"/>
  <c r="Z933" i="3"/>
  <c r="Y933" i="3"/>
  <c r="Z932" i="3"/>
  <c r="Y932" i="3"/>
  <c r="Z931" i="3"/>
  <c r="Y931" i="3"/>
  <c r="Z930" i="3"/>
  <c r="Y930" i="3"/>
  <c r="Y929" i="3"/>
  <c r="Z929" i="3"/>
  <c r="Z928" i="3"/>
  <c r="Y928" i="3"/>
  <c r="Z927" i="3"/>
  <c r="Y927" i="3"/>
  <c r="Z926" i="3"/>
  <c r="Y926" i="3"/>
  <c r="Z925" i="3"/>
  <c r="Y925" i="3"/>
  <c r="Z924" i="3"/>
  <c r="Y924" i="3"/>
  <c r="Z923" i="3"/>
  <c r="Y923" i="3"/>
  <c r="Z922" i="3"/>
  <c r="Y922" i="3"/>
  <c r="Z921" i="3"/>
  <c r="Y921" i="3"/>
  <c r="Z920" i="3"/>
  <c r="Y920" i="3"/>
  <c r="Z919" i="3"/>
  <c r="Y919" i="3"/>
  <c r="Y918" i="3"/>
  <c r="Z918" i="3"/>
  <c r="Z917" i="3"/>
  <c r="Y917" i="3"/>
  <c r="Z916" i="3"/>
  <c r="Y916" i="3"/>
  <c r="Z915" i="3"/>
  <c r="Y915" i="3"/>
  <c r="Z914" i="3"/>
  <c r="Y914" i="3"/>
  <c r="Z913" i="3"/>
  <c r="Y913" i="3"/>
  <c r="Z912" i="3"/>
  <c r="Y912" i="3"/>
  <c r="Z911" i="3"/>
  <c r="Y911" i="3"/>
  <c r="Z910" i="3"/>
  <c r="Y910" i="3"/>
  <c r="Z909" i="3"/>
  <c r="Y909" i="3"/>
  <c r="Z908" i="3"/>
  <c r="Y908" i="3"/>
  <c r="Z907" i="3"/>
  <c r="Y907" i="3"/>
  <c r="Z906" i="3"/>
  <c r="Y906" i="3"/>
  <c r="Z905" i="3"/>
  <c r="Y905" i="3"/>
  <c r="Z904" i="3"/>
  <c r="Y904" i="3"/>
  <c r="Z903" i="3"/>
  <c r="Y903" i="3"/>
  <c r="Z902" i="3"/>
  <c r="Y902" i="3"/>
  <c r="Z901" i="3"/>
  <c r="Y901" i="3"/>
  <c r="Z900" i="3"/>
  <c r="Y900" i="3"/>
  <c r="Z899" i="3"/>
  <c r="Y899" i="3"/>
  <c r="Z898" i="3"/>
  <c r="Y898" i="3"/>
  <c r="Z897" i="3"/>
  <c r="Y897" i="3"/>
  <c r="Z896" i="3"/>
  <c r="Y896" i="3"/>
  <c r="Y895" i="3"/>
  <c r="Z895" i="3"/>
  <c r="Z894" i="3"/>
  <c r="Y894" i="3"/>
  <c r="Z893" i="3"/>
  <c r="Y893" i="3"/>
  <c r="Z892" i="3"/>
  <c r="Y892" i="3"/>
  <c r="Z891" i="3"/>
  <c r="Y891" i="3"/>
  <c r="Y890" i="3"/>
  <c r="Z890" i="3"/>
  <c r="Y889" i="3"/>
  <c r="Z889" i="3"/>
  <c r="Z888" i="3"/>
  <c r="Y888" i="3"/>
  <c r="Z887" i="3"/>
  <c r="Y887" i="3"/>
  <c r="Z886" i="3"/>
  <c r="Y886" i="3"/>
  <c r="Z885" i="3"/>
  <c r="Y885" i="3"/>
  <c r="Z884" i="3"/>
  <c r="Y884" i="3"/>
  <c r="Z883" i="3"/>
  <c r="Y883" i="3"/>
  <c r="Z882" i="3"/>
  <c r="Y882" i="3"/>
  <c r="Z881" i="3"/>
  <c r="Y881" i="3"/>
  <c r="Z880" i="3"/>
  <c r="Y880" i="3"/>
  <c r="Z879" i="3"/>
  <c r="Y879" i="3"/>
  <c r="Y878" i="3"/>
  <c r="Z878" i="3"/>
  <c r="Z877" i="3"/>
  <c r="Y877" i="3"/>
  <c r="Z876" i="3"/>
  <c r="Y876" i="3"/>
  <c r="Z875" i="3"/>
  <c r="Y875" i="3"/>
  <c r="Z874" i="3"/>
  <c r="Y874" i="3"/>
  <c r="Z873" i="3"/>
  <c r="Y873" i="3"/>
  <c r="Z872" i="3"/>
  <c r="Y872" i="3"/>
  <c r="Z871" i="3"/>
  <c r="Y871" i="3"/>
  <c r="Z870" i="3"/>
  <c r="Y870" i="3"/>
  <c r="Z869" i="3"/>
  <c r="Y869" i="3"/>
  <c r="Z868" i="3"/>
  <c r="Y868" i="3"/>
  <c r="Z867" i="3"/>
  <c r="Y867" i="3"/>
  <c r="Z866" i="3"/>
  <c r="Y866" i="3"/>
  <c r="Z865" i="3"/>
  <c r="Y865" i="3"/>
  <c r="Z864" i="3"/>
  <c r="Y864" i="3"/>
  <c r="Y863" i="3"/>
  <c r="Z863" i="3"/>
  <c r="Z862" i="3"/>
  <c r="Y862" i="3"/>
  <c r="Z861" i="3"/>
  <c r="Y861" i="3"/>
  <c r="Z860" i="3"/>
  <c r="Y860" i="3"/>
  <c r="Z859" i="3"/>
  <c r="Y859" i="3"/>
  <c r="Y858" i="3"/>
  <c r="Z858" i="3"/>
  <c r="Z857" i="3"/>
  <c r="Y857" i="3"/>
  <c r="Z856" i="3"/>
  <c r="Y856" i="3"/>
  <c r="Z855" i="3"/>
  <c r="Y855" i="3"/>
  <c r="Z854" i="3"/>
  <c r="Y854" i="3"/>
  <c r="Z853" i="3"/>
  <c r="Y853" i="3"/>
  <c r="Y852" i="3"/>
  <c r="Z852" i="3"/>
  <c r="Z851" i="3"/>
  <c r="Y851" i="3"/>
  <c r="Z850" i="3"/>
  <c r="Y850" i="3"/>
  <c r="Z849" i="3"/>
  <c r="Y849" i="3"/>
  <c r="Z848" i="3"/>
  <c r="Y848" i="3"/>
  <c r="Z847" i="3"/>
  <c r="Y847" i="3"/>
  <c r="Z846" i="3"/>
  <c r="Y846" i="3"/>
  <c r="Z845" i="3"/>
  <c r="Y845" i="3"/>
  <c r="Z844" i="3"/>
  <c r="Y844" i="3"/>
  <c r="Z843" i="3"/>
  <c r="Y843" i="3"/>
  <c r="Z842" i="3"/>
  <c r="Y842" i="3"/>
  <c r="Y841" i="3"/>
  <c r="Z841" i="3"/>
  <c r="Z840" i="3"/>
  <c r="Y840" i="3"/>
  <c r="Z839" i="3"/>
  <c r="Y839" i="3"/>
  <c r="Z838" i="3"/>
  <c r="Y838" i="3"/>
  <c r="Z837" i="3"/>
  <c r="Y837" i="3"/>
  <c r="Z836" i="3"/>
  <c r="Y836" i="3"/>
  <c r="Z835" i="3"/>
  <c r="Y835" i="3"/>
  <c r="Z834" i="3"/>
  <c r="Y834" i="3"/>
  <c r="Z833" i="3"/>
  <c r="Y833" i="3"/>
  <c r="Z832" i="3"/>
  <c r="Y832" i="3"/>
  <c r="Z831" i="3"/>
  <c r="Y831" i="3"/>
  <c r="Z830" i="3"/>
  <c r="Y830" i="3"/>
  <c r="Z829" i="3"/>
  <c r="Y829" i="3"/>
  <c r="Z828" i="3"/>
  <c r="Y828" i="3"/>
  <c r="Z827" i="3"/>
  <c r="Y827" i="3"/>
  <c r="Z826" i="3"/>
  <c r="Y826" i="3"/>
  <c r="Z825" i="3"/>
  <c r="Y825" i="3"/>
  <c r="Z824" i="3"/>
  <c r="Y824" i="3"/>
  <c r="Z823" i="3"/>
  <c r="Y823" i="3"/>
  <c r="Z822" i="3"/>
  <c r="Y822" i="3"/>
  <c r="Z821" i="3"/>
  <c r="Y821" i="3"/>
  <c r="Z820" i="3"/>
  <c r="Y820" i="3"/>
  <c r="Y819" i="3"/>
  <c r="Z819" i="3"/>
  <c r="Z818" i="3"/>
  <c r="Y818" i="3"/>
  <c r="Z817" i="3"/>
  <c r="Y817" i="3"/>
  <c r="Z816" i="3"/>
  <c r="Y816" i="3"/>
  <c r="Z815" i="3"/>
  <c r="Y815" i="3"/>
  <c r="Z814" i="3"/>
  <c r="Y814" i="3"/>
  <c r="Y813" i="3"/>
  <c r="Z813" i="3"/>
  <c r="Z812" i="3"/>
  <c r="Y812" i="3"/>
  <c r="Z811" i="3"/>
  <c r="Y811" i="3"/>
  <c r="Z810" i="3"/>
  <c r="Y810" i="3"/>
  <c r="Z809" i="3"/>
  <c r="Y809" i="3"/>
  <c r="Z808" i="3"/>
  <c r="Y808" i="3"/>
  <c r="Z807" i="3"/>
  <c r="Y807" i="3"/>
  <c r="Z806" i="3"/>
  <c r="Y806" i="3"/>
  <c r="Z804" i="3"/>
  <c r="Y804" i="3"/>
  <c r="Z803" i="3"/>
  <c r="Y803" i="3"/>
  <c r="Z802" i="3"/>
  <c r="Y802" i="3"/>
  <c r="Z801" i="3"/>
  <c r="Y801" i="3"/>
  <c r="Z800" i="3"/>
  <c r="Y800" i="3"/>
  <c r="Z799" i="3"/>
  <c r="Y799" i="3"/>
  <c r="Y798" i="3"/>
  <c r="Z798" i="3"/>
  <c r="Z797" i="3"/>
  <c r="Y797" i="3"/>
  <c r="Z796" i="3"/>
  <c r="Y796" i="3"/>
  <c r="Z795" i="3"/>
  <c r="Y795" i="3"/>
  <c r="Z794" i="3"/>
  <c r="Y794" i="3"/>
  <c r="Z793" i="3"/>
  <c r="Y793" i="3"/>
  <c r="Z792" i="3"/>
  <c r="Y792" i="3"/>
  <c r="Z791" i="3"/>
  <c r="Y791" i="3"/>
  <c r="Z790" i="3"/>
  <c r="Y790" i="3"/>
  <c r="Z789" i="3"/>
  <c r="Y789" i="3"/>
  <c r="Z788" i="3"/>
  <c r="Y788" i="3"/>
  <c r="Z787" i="3"/>
  <c r="Y787" i="3"/>
  <c r="Z786" i="3"/>
  <c r="Y786" i="3"/>
  <c r="Z785" i="3"/>
  <c r="Y785" i="3"/>
  <c r="Z784" i="3"/>
  <c r="Y784" i="3"/>
  <c r="Z783" i="3"/>
  <c r="Y783" i="3"/>
  <c r="Z782" i="3"/>
  <c r="Y782" i="3"/>
  <c r="Z781" i="3"/>
  <c r="Y781" i="3"/>
  <c r="Z780" i="3"/>
  <c r="Y780" i="3"/>
  <c r="Y779" i="3"/>
  <c r="Z779" i="3"/>
  <c r="Y778" i="3"/>
  <c r="Z778" i="3"/>
  <c r="Z777" i="3"/>
  <c r="Y777" i="3"/>
  <c r="Z776" i="3"/>
  <c r="Y776" i="3"/>
  <c r="Z775" i="3"/>
  <c r="Y775" i="3"/>
  <c r="Z774" i="3"/>
  <c r="Y774" i="3"/>
  <c r="Y773" i="3"/>
  <c r="Z773" i="3"/>
  <c r="Z772" i="3"/>
  <c r="Y772" i="3"/>
  <c r="Z771" i="3"/>
  <c r="Y771" i="3"/>
  <c r="Z770" i="3"/>
  <c r="Y770" i="3"/>
  <c r="Z769" i="3"/>
  <c r="Y769" i="3"/>
  <c r="Y768" i="3"/>
  <c r="Z768" i="3"/>
  <c r="Z767" i="3"/>
  <c r="Y767" i="3"/>
  <c r="Z766" i="3"/>
  <c r="Y766" i="3"/>
  <c r="Z765" i="3"/>
  <c r="Y765" i="3"/>
  <c r="Z764" i="3"/>
  <c r="Y764" i="3"/>
  <c r="Z763" i="3"/>
  <c r="Y763" i="3"/>
  <c r="Z762" i="3"/>
  <c r="Y762" i="3"/>
  <c r="Z761" i="3"/>
  <c r="Y761" i="3"/>
  <c r="Z760" i="3"/>
  <c r="Y760" i="3"/>
  <c r="Z759" i="3"/>
  <c r="Y759" i="3"/>
  <c r="Z758" i="3"/>
  <c r="Y758" i="3"/>
  <c r="Z757" i="3"/>
  <c r="Y757" i="3"/>
  <c r="Z756" i="3"/>
  <c r="Y756" i="3"/>
  <c r="Z755" i="3"/>
  <c r="Y755" i="3"/>
  <c r="Z754" i="3"/>
  <c r="Y754" i="3"/>
  <c r="Z753" i="3"/>
  <c r="Y753" i="3"/>
  <c r="Z752" i="3"/>
  <c r="Y752" i="3"/>
  <c r="Y751" i="3"/>
  <c r="Z751" i="3"/>
  <c r="Z750" i="3"/>
  <c r="Y750" i="3"/>
  <c r="Z749" i="3"/>
  <c r="Y749" i="3"/>
  <c r="Z748" i="3"/>
  <c r="Y748" i="3"/>
  <c r="Z747" i="3"/>
  <c r="Y747" i="3"/>
  <c r="Z746" i="3"/>
  <c r="Y746" i="3"/>
  <c r="Z745" i="3"/>
  <c r="Y745" i="3"/>
  <c r="Z744" i="3"/>
  <c r="Y744" i="3"/>
  <c r="Z743" i="3"/>
  <c r="Y743" i="3"/>
  <c r="Z742" i="3"/>
  <c r="Y742" i="3"/>
  <c r="Y741" i="3"/>
  <c r="Z741" i="3"/>
  <c r="Y740" i="3"/>
  <c r="Z740" i="3"/>
  <c r="Z739" i="3"/>
  <c r="Y739" i="3"/>
  <c r="Z738" i="3"/>
  <c r="Y738" i="3"/>
  <c r="Z737" i="3"/>
  <c r="Y737" i="3"/>
  <c r="Z736" i="3"/>
  <c r="Y736" i="3"/>
  <c r="Y735" i="3"/>
  <c r="Z735" i="3"/>
  <c r="Z734" i="3"/>
  <c r="Y734" i="3"/>
  <c r="Z733" i="3"/>
  <c r="Y733" i="3"/>
  <c r="Z732" i="3"/>
  <c r="Y732" i="3"/>
  <c r="Z731" i="3"/>
  <c r="Y731" i="3"/>
  <c r="Y730" i="3"/>
  <c r="Z730" i="3"/>
  <c r="Z729" i="3"/>
  <c r="Y729" i="3"/>
  <c r="Z728" i="3"/>
  <c r="Y728" i="3"/>
  <c r="Z727" i="3"/>
  <c r="Y727" i="3"/>
  <c r="Z726" i="3"/>
  <c r="Y726" i="3"/>
  <c r="Z725" i="3"/>
  <c r="Y725" i="3"/>
  <c r="Z724" i="3"/>
  <c r="Y724" i="3"/>
  <c r="Z723" i="3"/>
  <c r="Y723" i="3"/>
  <c r="Y722" i="3"/>
  <c r="Z722" i="3"/>
  <c r="Z721" i="3"/>
  <c r="Y721" i="3"/>
  <c r="Z720" i="3"/>
  <c r="Y720" i="3"/>
  <c r="Z719" i="3"/>
  <c r="Y719" i="3"/>
  <c r="Z718" i="3"/>
  <c r="Y718" i="3"/>
  <c r="Z717" i="3"/>
  <c r="Y717" i="3"/>
  <c r="Z716" i="3"/>
  <c r="Y716" i="3"/>
  <c r="Z715" i="3"/>
  <c r="Y715" i="3"/>
  <c r="Z714" i="3"/>
  <c r="Y714" i="3"/>
  <c r="Z713" i="3"/>
  <c r="Y713" i="3"/>
  <c r="Y712" i="3"/>
  <c r="Z712" i="3"/>
  <c r="Z711" i="3"/>
  <c r="Y711" i="3"/>
  <c r="Z710" i="3"/>
  <c r="Y710" i="3"/>
  <c r="Z709" i="3"/>
  <c r="Y709" i="3"/>
  <c r="Z708" i="3"/>
  <c r="Y708" i="3"/>
  <c r="Z707" i="3"/>
  <c r="Y707" i="3"/>
  <c r="Z706" i="3"/>
  <c r="Y706" i="3"/>
  <c r="Z705" i="3"/>
  <c r="Y705" i="3"/>
  <c r="Z704" i="3"/>
  <c r="Y704" i="3"/>
  <c r="Z703" i="3"/>
  <c r="Y703" i="3"/>
  <c r="Y702" i="3"/>
  <c r="Z702" i="3"/>
  <c r="Y701" i="3"/>
  <c r="Z701" i="3"/>
  <c r="Z700" i="3"/>
  <c r="Y700" i="3"/>
  <c r="Z699" i="3"/>
  <c r="Y699" i="3"/>
  <c r="Z698" i="3"/>
  <c r="Y698" i="3"/>
  <c r="Z697" i="3"/>
  <c r="Y697" i="3"/>
  <c r="Z696" i="3"/>
  <c r="Y696" i="3"/>
  <c r="Z695" i="3"/>
  <c r="Y695" i="3"/>
  <c r="Z694" i="3"/>
  <c r="Y694" i="3"/>
  <c r="Z693" i="3"/>
  <c r="Y693" i="3"/>
  <c r="Z692" i="3"/>
  <c r="Y692" i="3"/>
  <c r="Z691" i="3"/>
  <c r="Y691" i="3"/>
  <c r="Z690" i="3"/>
  <c r="Y690" i="3"/>
  <c r="Z689" i="3"/>
  <c r="Y689" i="3"/>
  <c r="Z688" i="3"/>
  <c r="Y688" i="3"/>
  <c r="Z687" i="3"/>
  <c r="Y687" i="3"/>
  <c r="Z686" i="3"/>
  <c r="Y686" i="3"/>
  <c r="Z685" i="3"/>
  <c r="Y685" i="3"/>
  <c r="Z684" i="3"/>
  <c r="Y684" i="3"/>
  <c r="Z683" i="3"/>
  <c r="Y683" i="3"/>
  <c r="Z682" i="3"/>
  <c r="Y682" i="3"/>
  <c r="Z681" i="3"/>
  <c r="Y681" i="3"/>
  <c r="Z680" i="3"/>
  <c r="Y680" i="3"/>
  <c r="Z679" i="3"/>
  <c r="Y679" i="3"/>
  <c r="Z678" i="3"/>
  <c r="Y678" i="3"/>
  <c r="Z677" i="3"/>
  <c r="Y677" i="3"/>
  <c r="Z676" i="3"/>
  <c r="Y676" i="3"/>
  <c r="Z675" i="3"/>
  <c r="Y675" i="3"/>
  <c r="Z674" i="3"/>
  <c r="Y674" i="3"/>
  <c r="Z673" i="3"/>
  <c r="Y673" i="3"/>
  <c r="Z672" i="3"/>
  <c r="Y672" i="3"/>
  <c r="Z671" i="3"/>
  <c r="Y671" i="3"/>
  <c r="Z670" i="3"/>
  <c r="Y670" i="3"/>
  <c r="Z669" i="3"/>
  <c r="Y669" i="3"/>
  <c r="Z668" i="3"/>
  <c r="Y668" i="3"/>
  <c r="Z667" i="3"/>
  <c r="Y667" i="3"/>
  <c r="Y666" i="3"/>
  <c r="Z666" i="3"/>
  <c r="Y665" i="3"/>
  <c r="Z665" i="3"/>
  <c r="Z664" i="3"/>
  <c r="Y664" i="3"/>
  <c r="Z663" i="3"/>
  <c r="Y663" i="3"/>
  <c r="Y662" i="3"/>
  <c r="Z662" i="3"/>
  <c r="Z661" i="3"/>
  <c r="Y661" i="3"/>
  <c r="Y660" i="3"/>
  <c r="Z660" i="3"/>
  <c r="Z659" i="3"/>
  <c r="Y659" i="3"/>
  <c r="Z658" i="3"/>
  <c r="Y658" i="3"/>
  <c r="Z657" i="3"/>
  <c r="Y657" i="3"/>
  <c r="Z656" i="3"/>
  <c r="Y656" i="3"/>
  <c r="Z655" i="3"/>
  <c r="Y655" i="3"/>
  <c r="Z654" i="3"/>
  <c r="Y654" i="3"/>
  <c r="Z653" i="3"/>
  <c r="Y653" i="3"/>
  <c r="Z652" i="3"/>
  <c r="Y652" i="3"/>
  <c r="Z651" i="3"/>
  <c r="Y651" i="3"/>
  <c r="Z650" i="3"/>
  <c r="Y650" i="3"/>
  <c r="Z649" i="3"/>
  <c r="Y649" i="3"/>
  <c r="Z648" i="3"/>
  <c r="Y648" i="3"/>
  <c r="Z647" i="3"/>
  <c r="Y647" i="3"/>
  <c r="Z646" i="3"/>
  <c r="Y646" i="3"/>
  <c r="Z645" i="3"/>
  <c r="Y645" i="3"/>
  <c r="Z644" i="3"/>
  <c r="Y644" i="3"/>
  <c r="Z643" i="3"/>
  <c r="Y643" i="3"/>
  <c r="Z642" i="3"/>
  <c r="Y642" i="3"/>
  <c r="Z641" i="3"/>
  <c r="Y641" i="3"/>
  <c r="Z640" i="3"/>
  <c r="Y640" i="3"/>
  <c r="Z639" i="3"/>
  <c r="Y639" i="3"/>
  <c r="Z638" i="3"/>
  <c r="Y638" i="3"/>
  <c r="Y637" i="3"/>
  <c r="Z637" i="3"/>
  <c r="Y636" i="3"/>
  <c r="Z636" i="3"/>
  <c r="Z635" i="3"/>
  <c r="Y635" i="3"/>
  <c r="Z633" i="3"/>
  <c r="Y633" i="3"/>
  <c r="Z632" i="3"/>
  <c r="Y632" i="3"/>
  <c r="Z631" i="3"/>
  <c r="Y631" i="3"/>
  <c r="Z630" i="3"/>
  <c r="Y630" i="3"/>
  <c r="Z629" i="3"/>
  <c r="Y629" i="3"/>
  <c r="Z628" i="3"/>
  <c r="Y628" i="3"/>
  <c r="Z627" i="3"/>
  <c r="Y627" i="3"/>
  <c r="Z626" i="3"/>
  <c r="Y626" i="3"/>
  <c r="Z625" i="3"/>
  <c r="Y625" i="3"/>
  <c r="Z624" i="3"/>
  <c r="Y624" i="3"/>
  <c r="Y623" i="3"/>
  <c r="Z623" i="3"/>
  <c r="Z622" i="3"/>
  <c r="Y622" i="3"/>
  <c r="Z621" i="3"/>
  <c r="Y621" i="3"/>
  <c r="Z620" i="3"/>
  <c r="Y620" i="3"/>
  <c r="Z619" i="3"/>
  <c r="Y619" i="3"/>
  <c r="Y618" i="3"/>
  <c r="Z618" i="3"/>
  <c r="Z617" i="3"/>
  <c r="Y617" i="3"/>
  <c r="Z616" i="3"/>
  <c r="Y616" i="3"/>
  <c r="Z615" i="3"/>
  <c r="Y615" i="3"/>
  <c r="Z614" i="3"/>
  <c r="Y614" i="3"/>
  <c r="Z613" i="3"/>
  <c r="Y613" i="3"/>
  <c r="Z612" i="3"/>
  <c r="Y612" i="3"/>
  <c r="Z611" i="3"/>
  <c r="Y611" i="3"/>
  <c r="Z610" i="3"/>
  <c r="Y610" i="3"/>
  <c r="Z609" i="3"/>
  <c r="Y609" i="3"/>
  <c r="Z608" i="3"/>
  <c r="Y608" i="3"/>
  <c r="Z607" i="3"/>
  <c r="Y607" i="3"/>
  <c r="Z606" i="3"/>
  <c r="Y606" i="3"/>
  <c r="Z605" i="3"/>
  <c r="Y605" i="3"/>
  <c r="Z604" i="3"/>
  <c r="Y604" i="3"/>
  <c r="Z603" i="3"/>
  <c r="Y603" i="3"/>
  <c r="Z602" i="3"/>
  <c r="Y602" i="3"/>
  <c r="Z601" i="3"/>
  <c r="Y601" i="3"/>
  <c r="Y600" i="3"/>
  <c r="Z600" i="3"/>
  <c r="Y599" i="3"/>
  <c r="Z599" i="3"/>
  <c r="Z598" i="3"/>
  <c r="Y598" i="3"/>
  <c r="Z597" i="3"/>
  <c r="Y597" i="3"/>
  <c r="Z596" i="3"/>
  <c r="Y596" i="3"/>
  <c r="Z595" i="3"/>
  <c r="Y595" i="3"/>
  <c r="Z594" i="3"/>
  <c r="Y594" i="3"/>
  <c r="Z593" i="3"/>
  <c r="Y593" i="3"/>
  <c r="Y592" i="3"/>
  <c r="Z592" i="3"/>
  <c r="Y591" i="3"/>
  <c r="Z591" i="3"/>
  <c r="Z590" i="3"/>
  <c r="Y590" i="3"/>
  <c r="Y589" i="3"/>
  <c r="Z589" i="3"/>
  <c r="Z588" i="3"/>
  <c r="Y588" i="3"/>
  <c r="Z587" i="3"/>
  <c r="Y587" i="3"/>
  <c r="Z586" i="3"/>
  <c r="Y586" i="3"/>
  <c r="Z585" i="3"/>
  <c r="Y585" i="3"/>
  <c r="Z584" i="3"/>
  <c r="Y584" i="3"/>
  <c r="Y583" i="3"/>
  <c r="Z583" i="3"/>
  <c r="Z582" i="3"/>
  <c r="Y582" i="3"/>
  <c r="Z581" i="3"/>
  <c r="Y581" i="3"/>
  <c r="Z580" i="3"/>
  <c r="Y580" i="3"/>
  <c r="Z579" i="3"/>
  <c r="Y579" i="3"/>
  <c r="Z578" i="3"/>
  <c r="Y578" i="3"/>
  <c r="Z577" i="3"/>
  <c r="Y577" i="3"/>
  <c r="Z576" i="3"/>
  <c r="Y576" i="3"/>
  <c r="Z575" i="3"/>
  <c r="Y575" i="3"/>
  <c r="Z574" i="3"/>
  <c r="Y574" i="3"/>
  <c r="Z573" i="3"/>
  <c r="Y573" i="3"/>
  <c r="Z572" i="3"/>
  <c r="Y572" i="3"/>
  <c r="Z571" i="3"/>
  <c r="Y571" i="3"/>
  <c r="Z570" i="3"/>
  <c r="Y570" i="3"/>
  <c r="Z569" i="3"/>
  <c r="Y569" i="3"/>
  <c r="Z568" i="3"/>
  <c r="Y568" i="3"/>
  <c r="Z567" i="3"/>
  <c r="Y567" i="3"/>
  <c r="Z566" i="3"/>
  <c r="Y566" i="3"/>
  <c r="Y565" i="3"/>
  <c r="Z565" i="3"/>
  <c r="Z564" i="3"/>
  <c r="Y564" i="3"/>
  <c r="Z563" i="3"/>
  <c r="Y563" i="3"/>
  <c r="Z562" i="3"/>
  <c r="Y562" i="3"/>
  <c r="Y561" i="3"/>
  <c r="Z561" i="3"/>
  <c r="Y560" i="3"/>
  <c r="Z560" i="3"/>
  <c r="Y559" i="3"/>
  <c r="Z559" i="3"/>
  <c r="Z558" i="3"/>
  <c r="Y558" i="3"/>
  <c r="Z557" i="3"/>
  <c r="Y557" i="3"/>
  <c r="Z556" i="3"/>
  <c r="Y556" i="3"/>
  <c r="Z555" i="3"/>
  <c r="Y555" i="3"/>
  <c r="Z554" i="3"/>
  <c r="Y554" i="3"/>
  <c r="Z553" i="3"/>
  <c r="Y553" i="3"/>
  <c r="Z552" i="3"/>
  <c r="Y552" i="3"/>
  <c r="Z551" i="3"/>
  <c r="Y551" i="3"/>
  <c r="Z550" i="3"/>
  <c r="Y550" i="3"/>
  <c r="Y549" i="3"/>
  <c r="Z549" i="3"/>
  <c r="Y548" i="3"/>
  <c r="Z548" i="3"/>
  <c r="Y547" i="3"/>
  <c r="Z547" i="3"/>
  <c r="Z546" i="3"/>
  <c r="Y546" i="3"/>
  <c r="Z545" i="3"/>
  <c r="Y545" i="3"/>
  <c r="Y544" i="3"/>
  <c r="Z544" i="3"/>
  <c r="Z543" i="3"/>
  <c r="Y543" i="3"/>
  <c r="Z542" i="3"/>
  <c r="Y542" i="3"/>
  <c r="Z541" i="3"/>
  <c r="Y541" i="3"/>
  <c r="Z540" i="3"/>
  <c r="Y540" i="3"/>
  <c r="Y539" i="3"/>
  <c r="Z539" i="3"/>
  <c r="Z538" i="3"/>
  <c r="Y538" i="3"/>
  <c r="Z537" i="3"/>
  <c r="Y537" i="3"/>
  <c r="Z536" i="3"/>
  <c r="Y536" i="3"/>
  <c r="Z535" i="3"/>
  <c r="Y535" i="3"/>
  <c r="Z534" i="3"/>
  <c r="Y534" i="3"/>
  <c r="Z533" i="3"/>
  <c r="Y533" i="3"/>
  <c r="Z532" i="3"/>
  <c r="Y532" i="3"/>
  <c r="Z531" i="3"/>
  <c r="Y531" i="3"/>
  <c r="Z530" i="3"/>
  <c r="Y530" i="3"/>
  <c r="Y529" i="3"/>
  <c r="Z529" i="3"/>
  <c r="Y528" i="3"/>
  <c r="Z528" i="3"/>
  <c r="Y527" i="3"/>
  <c r="Z527" i="3"/>
  <c r="Z526" i="3"/>
  <c r="Y526" i="3"/>
  <c r="Z525" i="3"/>
  <c r="Y525" i="3"/>
  <c r="Z524" i="3"/>
  <c r="Y524" i="3"/>
  <c r="Z523" i="3"/>
  <c r="Y523" i="3"/>
  <c r="Z522" i="3"/>
  <c r="Y522" i="3"/>
  <c r="Z521" i="3"/>
  <c r="Y521" i="3"/>
  <c r="Z520" i="3"/>
  <c r="Y520" i="3"/>
  <c r="Z519" i="3"/>
  <c r="Y519" i="3"/>
  <c r="Y518" i="3"/>
  <c r="Z518" i="3"/>
  <c r="Y517" i="3"/>
  <c r="Z517" i="3"/>
  <c r="Z516" i="3"/>
  <c r="Y516" i="3"/>
  <c r="Z515" i="3"/>
  <c r="Y515" i="3"/>
  <c r="Z514" i="3"/>
  <c r="Y514" i="3"/>
  <c r="Z513" i="3"/>
  <c r="Y513" i="3"/>
  <c r="Z512" i="3"/>
  <c r="Y512" i="3"/>
  <c r="Z511" i="3"/>
  <c r="Y511" i="3"/>
  <c r="Y510" i="3"/>
  <c r="Z510" i="3"/>
  <c r="Y509" i="3"/>
  <c r="Z509" i="3"/>
  <c r="Y508" i="3"/>
  <c r="Z508" i="3"/>
  <c r="Z507" i="3"/>
  <c r="Y507" i="3"/>
  <c r="Z506" i="3"/>
  <c r="Y506" i="3"/>
  <c r="Z505" i="3"/>
  <c r="Y505" i="3"/>
  <c r="Z504" i="3"/>
  <c r="Y504" i="3"/>
  <c r="Z503" i="3"/>
  <c r="Y503" i="3"/>
  <c r="Z502" i="3"/>
  <c r="Y502" i="3"/>
  <c r="Z501" i="3"/>
  <c r="Y501" i="3"/>
  <c r="Z500" i="3"/>
  <c r="Y500" i="3"/>
  <c r="Z499" i="3"/>
  <c r="Y499" i="3"/>
  <c r="Z498" i="3"/>
  <c r="Y498" i="3"/>
  <c r="Z497" i="3"/>
  <c r="Y497" i="3"/>
  <c r="Z496" i="3"/>
  <c r="Y496" i="3"/>
  <c r="Z495" i="3"/>
  <c r="Y495" i="3"/>
  <c r="Z494" i="3"/>
  <c r="Y494" i="3"/>
  <c r="Z493" i="3"/>
  <c r="Y493" i="3"/>
  <c r="Z492" i="3"/>
  <c r="Y492" i="3"/>
  <c r="Z491" i="3"/>
  <c r="Y491" i="3"/>
  <c r="Z490" i="3"/>
  <c r="Y490" i="3"/>
  <c r="Z489" i="3"/>
  <c r="Y489" i="3"/>
  <c r="Z488" i="3"/>
  <c r="Y488" i="3"/>
  <c r="Z487" i="3"/>
  <c r="Y487" i="3"/>
  <c r="Z486" i="3"/>
  <c r="Y486" i="3"/>
  <c r="Z485" i="3"/>
  <c r="Y485" i="3"/>
  <c r="Z484" i="3"/>
  <c r="Y484" i="3"/>
  <c r="Z483" i="3"/>
  <c r="Y483" i="3"/>
  <c r="Z482" i="3"/>
  <c r="Y482" i="3"/>
  <c r="Z481" i="3"/>
  <c r="Y481" i="3"/>
  <c r="Z480" i="3"/>
  <c r="Y480" i="3"/>
  <c r="Z479" i="3"/>
  <c r="Y479" i="3"/>
  <c r="Z478" i="3"/>
  <c r="Y478" i="3"/>
  <c r="Z477" i="3"/>
  <c r="Y477" i="3"/>
  <c r="Z476" i="3"/>
  <c r="Y476" i="3"/>
  <c r="Z475" i="3"/>
  <c r="Y475" i="3"/>
  <c r="Z474" i="3"/>
  <c r="Y474" i="3"/>
  <c r="Z473" i="3"/>
  <c r="Y473" i="3"/>
  <c r="Z472" i="3"/>
  <c r="Y472" i="3"/>
  <c r="Z471" i="3"/>
  <c r="Y471" i="3"/>
  <c r="Z470" i="3"/>
  <c r="Y470" i="3"/>
  <c r="Z469" i="3"/>
  <c r="Y469" i="3"/>
  <c r="Z468" i="3"/>
  <c r="Y468" i="3"/>
  <c r="Z467" i="3"/>
  <c r="Y467" i="3"/>
  <c r="Z466" i="3"/>
  <c r="Y466" i="3"/>
  <c r="Z465" i="3"/>
  <c r="Y465" i="3"/>
  <c r="Z464" i="3"/>
  <c r="Y464" i="3"/>
  <c r="Z462" i="3"/>
  <c r="Y462" i="3"/>
  <c r="Z461" i="3"/>
  <c r="Y461" i="3"/>
  <c r="Z460" i="3"/>
  <c r="Y460" i="3"/>
  <c r="Z459" i="3"/>
  <c r="Y459" i="3"/>
  <c r="Z458" i="3"/>
  <c r="Y458" i="3"/>
  <c r="Z457" i="3"/>
  <c r="Y457" i="3"/>
  <c r="Z456" i="3"/>
  <c r="Y456" i="3"/>
  <c r="Z455" i="3"/>
  <c r="Y455" i="3"/>
  <c r="Z454" i="3"/>
  <c r="Y454" i="3"/>
  <c r="Z453" i="3"/>
  <c r="Y453" i="3"/>
  <c r="Z452" i="3"/>
  <c r="Y452" i="3"/>
  <c r="Z451" i="3"/>
  <c r="Y451" i="3"/>
  <c r="Z450" i="3"/>
  <c r="Y450" i="3"/>
  <c r="Z449" i="3"/>
  <c r="Y449" i="3"/>
  <c r="Z448" i="3"/>
  <c r="Y448" i="3"/>
  <c r="Z447" i="3"/>
  <c r="Y447" i="3"/>
  <c r="Z446" i="3"/>
  <c r="Y446" i="3"/>
  <c r="Z445" i="3"/>
  <c r="Y445" i="3"/>
  <c r="Z444" i="3"/>
  <c r="Y444" i="3"/>
  <c r="Z443" i="3"/>
  <c r="Y443" i="3"/>
  <c r="Z442" i="3"/>
  <c r="Y442" i="3"/>
  <c r="Z441" i="3"/>
  <c r="Y441" i="3"/>
  <c r="Z440" i="3"/>
  <c r="Y440" i="3"/>
  <c r="Z439" i="3"/>
  <c r="Y439" i="3"/>
  <c r="Z438" i="3"/>
  <c r="Y438" i="3"/>
  <c r="Z437" i="3"/>
  <c r="Y437" i="3"/>
  <c r="Z436" i="3"/>
  <c r="Y436" i="3"/>
  <c r="Z435" i="3"/>
  <c r="Y435" i="3"/>
  <c r="Z434" i="3"/>
  <c r="Y434" i="3"/>
  <c r="Z433" i="3"/>
  <c r="Y433" i="3"/>
  <c r="Z432" i="3"/>
  <c r="Y432" i="3"/>
  <c r="Z431" i="3"/>
  <c r="Y431" i="3"/>
  <c r="Z430" i="3"/>
  <c r="Y430" i="3"/>
  <c r="Z429" i="3"/>
  <c r="Y429" i="3"/>
  <c r="Z428" i="3"/>
  <c r="Y428" i="3"/>
  <c r="Z427" i="3"/>
  <c r="Y427" i="3"/>
  <c r="Z426" i="3"/>
  <c r="Y426" i="3"/>
  <c r="Z425" i="3"/>
  <c r="Y425" i="3"/>
  <c r="Z424" i="3"/>
  <c r="Y424" i="3"/>
  <c r="Z423" i="3"/>
  <c r="Y423" i="3"/>
  <c r="Z422" i="3"/>
  <c r="Y422" i="3"/>
  <c r="Z421" i="3"/>
  <c r="Y421" i="3"/>
  <c r="Z420" i="3"/>
  <c r="Y420" i="3"/>
  <c r="Z419" i="3"/>
  <c r="Y419" i="3"/>
  <c r="Z418" i="3"/>
  <c r="Y418" i="3"/>
  <c r="Z417" i="3"/>
  <c r="Y417" i="3"/>
  <c r="Z416" i="3"/>
  <c r="Y416" i="3"/>
  <c r="Z415" i="3"/>
  <c r="Y415" i="3"/>
  <c r="Z414" i="3"/>
  <c r="Y414" i="3"/>
  <c r="Z413" i="3"/>
  <c r="Y413" i="3"/>
  <c r="Z412" i="3"/>
  <c r="Y412" i="3"/>
  <c r="Z411" i="3"/>
  <c r="Y411" i="3"/>
  <c r="Z410" i="3"/>
  <c r="Y410" i="3"/>
  <c r="Z409" i="3"/>
  <c r="Y409" i="3"/>
  <c r="Z408" i="3"/>
  <c r="Y408" i="3"/>
  <c r="Z407" i="3"/>
  <c r="Y407" i="3"/>
  <c r="Z406" i="3"/>
  <c r="Y406" i="3"/>
  <c r="Z405" i="3"/>
  <c r="Y405" i="3"/>
  <c r="Z404" i="3"/>
  <c r="Y404" i="3"/>
  <c r="Z403" i="3"/>
  <c r="Y403" i="3"/>
  <c r="Z402" i="3"/>
  <c r="Y402" i="3"/>
  <c r="Z401" i="3"/>
  <c r="Y401" i="3"/>
  <c r="Z400" i="3"/>
  <c r="Y400" i="3"/>
  <c r="Z399" i="3"/>
  <c r="Y399" i="3"/>
  <c r="Z398" i="3"/>
  <c r="Y398" i="3"/>
  <c r="Z397" i="3"/>
  <c r="Y397" i="3"/>
  <c r="Z396" i="3"/>
  <c r="Y396" i="3"/>
  <c r="Z395" i="3"/>
  <c r="Y395" i="3"/>
  <c r="Z394" i="3"/>
  <c r="Y394" i="3"/>
  <c r="Z393" i="3"/>
  <c r="Y393" i="3"/>
  <c r="Z392" i="3"/>
  <c r="Y392" i="3"/>
  <c r="Z391" i="3"/>
  <c r="Y391" i="3"/>
  <c r="Z390" i="3"/>
  <c r="Y390" i="3"/>
  <c r="Z389" i="3"/>
  <c r="Y389" i="3"/>
  <c r="Z388" i="3"/>
  <c r="Y388" i="3"/>
  <c r="Y387" i="3"/>
  <c r="Z387" i="3"/>
  <c r="Z386" i="3"/>
  <c r="Y386" i="3"/>
  <c r="Z385" i="3"/>
  <c r="Y385" i="3"/>
  <c r="Z384" i="3"/>
  <c r="Y384" i="3"/>
  <c r="Z383" i="3"/>
  <c r="Y383" i="3"/>
  <c r="Y382" i="3"/>
  <c r="Z382" i="3"/>
  <c r="Z381" i="3"/>
  <c r="Y381" i="3"/>
  <c r="Z380" i="3"/>
  <c r="Y380" i="3"/>
  <c r="Z379" i="3"/>
  <c r="Y379" i="3"/>
  <c r="Z378" i="3"/>
  <c r="Y378" i="3"/>
  <c r="Y377" i="3"/>
  <c r="Z377" i="3"/>
  <c r="Z376" i="3"/>
  <c r="Y376" i="3"/>
  <c r="Z375" i="3"/>
  <c r="Y375" i="3"/>
  <c r="Z374" i="3"/>
  <c r="Y374" i="3"/>
  <c r="Z373" i="3"/>
  <c r="Y373" i="3"/>
  <c r="Z372" i="3"/>
  <c r="Y372" i="3"/>
  <c r="Y371" i="3"/>
  <c r="Z371" i="3"/>
  <c r="Y370" i="3"/>
  <c r="Z370" i="3"/>
  <c r="Z369" i="3"/>
  <c r="Y369" i="3"/>
  <c r="Y368" i="3"/>
  <c r="Z368" i="3"/>
  <c r="Y367" i="3"/>
  <c r="Z367" i="3"/>
  <c r="Z366" i="3"/>
  <c r="Y366" i="3"/>
  <c r="Z365" i="3"/>
  <c r="Y365" i="3"/>
  <c r="Z364" i="3"/>
  <c r="Y364" i="3"/>
  <c r="Y363" i="3"/>
  <c r="Z363" i="3"/>
  <c r="Y362" i="3"/>
  <c r="Z362" i="3"/>
  <c r="Y361" i="3"/>
  <c r="Z361" i="3"/>
  <c r="Y360" i="3"/>
  <c r="Z360" i="3"/>
  <c r="Y359" i="3"/>
  <c r="Z359" i="3"/>
  <c r="Y358" i="3"/>
  <c r="Z358" i="3"/>
  <c r="Z357" i="3"/>
  <c r="Y357" i="3"/>
  <c r="Z356" i="3"/>
  <c r="Y356" i="3"/>
  <c r="Z355" i="3"/>
  <c r="Y355" i="3"/>
  <c r="Z354" i="3"/>
  <c r="Y354" i="3"/>
  <c r="Z353" i="3"/>
  <c r="Y353" i="3"/>
  <c r="Z352" i="3"/>
  <c r="Y352" i="3"/>
  <c r="Z351" i="3"/>
  <c r="Y351" i="3"/>
  <c r="Y350" i="3"/>
  <c r="Z350" i="3"/>
  <c r="Z349" i="3"/>
  <c r="Y349" i="3"/>
  <c r="Y348" i="3"/>
  <c r="Z348" i="3"/>
  <c r="Y347" i="3"/>
  <c r="Z347" i="3"/>
  <c r="Y346" i="3"/>
  <c r="Z346" i="3"/>
  <c r="Y345" i="3"/>
  <c r="Z345" i="3"/>
  <c r="Z344" i="3"/>
  <c r="Y344" i="3"/>
  <c r="Y343" i="3"/>
  <c r="Z343" i="3"/>
  <c r="Z342" i="3"/>
  <c r="Y342" i="3"/>
  <c r="Z341" i="3"/>
  <c r="Y341" i="3"/>
  <c r="Z340" i="3"/>
  <c r="Y340" i="3"/>
  <c r="Y339" i="3"/>
  <c r="Z339" i="3"/>
  <c r="Z338" i="3"/>
  <c r="Y338" i="3"/>
  <c r="Y337" i="3"/>
  <c r="Z337" i="3"/>
  <c r="Z336" i="3"/>
  <c r="Y336" i="3"/>
  <c r="Z335" i="3"/>
  <c r="Y335" i="3"/>
  <c r="Z334" i="3"/>
  <c r="Y334" i="3"/>
  <c r="Z333" i="3"/>
  <c r="Y333" i="3"/>
  <c r="Z332" i="3"/>
  <c r="Y332" i="3"/>
  <c r="Z331" i="3"/>
  <c r="Y331" i="3"/>
  <c r="Z330" i="3"/>
  <c r="Y330" i="3"/>
  <c r="Y329" i="3"/>
  <c r="Z329" i="3"/>
  <c r="Z328" i="3"/>
  <c r="Y328" i="3"/>
  <c r="Z327" i="3"/>
  <c r="Y327" i="3"/>
  <c r="Z326" i="3"/>
  <c r="Y326" i="3"/>
  <c r="Z325" i="3"/>
  <c r="Y325" i="3"/>
  <c r="Z324" i="3"/>
  <c r="Y324" i="3"/>
  <c r="Y323" i="3"/>
  <c r="Z323" i="3"/>
  <c r="Z322" i="3"/>
  <c r="Y322" i="3"/>
  <c r="Y321" i="3"/>
  <c r="Z321" i="3"/>
  <c r="Z320" i="3"/>
  <c r="Y320" i="3"/>
  <c r="Z319" i="3"/>
  <c r="Y319" i="3"/>
  <c r="Y318" i="3"/>
  <c r="Z318" i="3"/>
  <c r="Z317" i="3"/>
  <c r="Y317" i="3"/>
  <c r="Z316" i="3"/>
  <c r="Y316" i="3"/>
  <c r="Z315" i="3"/>
  <c r="Y315" i="3"/>
  <c r="Z314" i="3"/>
  <c r="Y314" i="3"/>
  <c r="Y313" i="3"/>
  <c r="Z313" i="3"/>
  <c r="Y312" i="3"/>
  <c r="Z312" i="3"/>
  <c r="Y311" i="3"/>
  <c r="Z311" i="3"/>
  <c r="Y310" i="3"/>
  <c r="Z310" i="3"/>
  <c r="Y309" i="3"/>
  <c r="Z309" i="3"/>
  <c r="Z308" i="3"/>
  <c r="Y308" i="3"/>
  <c r="Z307" i="3"/>
  <c r="Y307" i="3"/>
  <c r="Z306" i="3"/>
  <c r="Y306" i="3"/>
  <c r="Z305" i="3"/>
  <c r="Y305" i="3"/>
  <c r="Z304" i="3"/>
  <c r="Y304" i="3"/>
  <c r="Z303" i="3"/>
  <c r="Y303" i="3"/>
  <c r="Y301" i="3"/>
  <c r="Z301" i="3"/>
  <c r="Y300" i="3"/>
  <c r="Z300" i="3"/>
  <c r="Z299" i="3"/>
  <c r="Y299" i="3"/>
  <c r="Y298" i="3"/>
  <c r="Z298" i="3"/>
  <c r="Y297" i="3"/>
  <c r="Z297" i="3"/>
  <c r="Y296" i="3"/>
  <c r="Z296" i="3"/>
  <c r="Z295" i="3"/>
  <c r="Y295" i="3"/>
  <c r="Z294" i="3"/>
  <c r="Y294" i="3"/>
  <c r="Z293" i="3"/>
  <c r="Y293" i="3"/>
  <c r="Z292" i="3"/>
  <c r="Y292" i="3"/>
  <c r="Z291" i="3"/>
  <c r="Y291" i="3"/>
  <c r="Z290" i="3"/>
  <c r="Y290" i="3"/>
  <c r="Z289" i="3"/>
  <c r="Y289" i="3"/>
  <c r="Z288" i="3"/>
  <c r="Y288" i="3"/>
  <c r="Z287" i="3"/>
  <c r="Y287" i="3"/>
  <c r="Z286" i="3"/>
  <c r="Y286" i="3"/>
  <c r="Z285" i="3"/>
  <c r="Y285" i="3"/>
  <c r="Z284" i="3"/>
  <c r="Y284" i="3"/>
  <c r="Z283" i="3"/>
  <c r="Y283" i="3"/>
  <c r="Z282" i="3"/>
  <c r="Y282" i="3"/>
  <c r="Z281" i="3"/>
  <c r="Y281" i="3"/>
  <c r="Z280" i="3"/>
  <c r="Y280" i="3"/>
  <c r="Z279" i="3"/>
  <c r="Y279" i="3"/>
  <c r="Z278" i="3"/>
  <c r="Y278" i="3"/>
  <c r="Z277" i="3"/>
  <c r="Y277" i="3"/>
  <c r="Z276" i="3"/>
  <c r="Y276" i="3"/>
  <c r="Z275" i="3"/>
  <c r="Y275" i="3"/>
  <c r="Z274" i="3"/>
  <c r="Y274" i="3"/>
  <c r="Z273" i="3"/>
  <c r="Y273" i="3"/>
  <c r="Z272" i="3"/>
  <c r="Y272" i="3"/>
  <c r="Z271" i="3"/>
  <c r="Y271" i="3"/>
  <c r="Z270" i="3"/>
  <c r="Y270" i="3"/>
  <c r="Z269" i="3"/>
  <c r="Y269" i="3"/>
  <c r="Z268" i="3"/>
  <c r="Y268" i="3"/>
  <c r="Z267" i="3"/>
  <c r="Y267" i="3"/>
  <c r="Z266" i="3"/>
  <c r="Y266" i="3"/>
  <c r="Z265" i="3"/>
  <c r="Y265" i="3"/>
  <c r="Z264" i="3"/>
  <c r="Y264" i="3"/>
  <c r="Z263" i="3"/>
  <c r="Y263" i="3"/>
  <c r="Z262" i="3"/>
  <c r="Y262" i="3"/>
  <c r="Z261" i="3"/>
  <c r="Y261" i="3"/>
  <c r="Z260" i="3"/>
  <c r="Y260" i="3"/>
  <c r="Z259" i="3"/>
  <c r="Y259" i="3"/>
  <c r="Z258" i="3"/>
  <c r="Y258" i="3"/>
  <c r="Z257" i="3"/>
  <c r="Y257" i="3"/>
  <c r="Z256" i="3"/>
  <c r="Y256" i="3"/>
  <c r="Z255" i="3"/>
  <c r="Y255" i="3"/>
  <c r="Z254" i="3"/>
  <c r="Y254" i="3"/>
  <c r="Z253" i="3"/>
  <c r="Y253" i="3"/>
  <c r="Z252" i="3"/>
  <c r="Y252" i="3"/>
  <c r="Z251" i="3"/>
  <c r="Y251" i="3"/>
  <c r="Z250" i="3"/>
  <c r="Y250" i="3"/>
  <c r="Z249" i="3"/>
  <c r="Y249" i="3"/>
  <c r="Z248" i="3"/>
  <c r="Y248" i="3"/>
  <c r="Z247" i="3"/>
  <c r="Y247" i="3"/>
  <c r="Z246" i="3"/>
  <c r="Y246" i="3"/>
  <c r="Z245" i="3"/>
  <c r="Y245" i="3"/>
  <c r="Z244" i="3"/>
  <c r="Y244" i="3"/>
  <c r="Z243" i="3"/>
  <c r="Y243" i="3"/>
  <c r="Z242" i="3"/>
  <c r="Y242" i="3"/>
  <c r="Z241" i="3"/>
  <c r="Y241" i="3"/>
  <c r="Z240" i="3"/>
  <c r="Y240" i="3"/>
  <c r="Z239" i="3"/>
  <c r="Y239" i="3"/>
  <c r="Z238" i="3"/>
  <c r="Y238" i="3"/>
  <c r="Z237" i="3"/>
  <c r="Y237" i="3"/>
  <c r="Z236" i="3"/>
  <c r="Y236" i="3"/>
  <c r="Z235" i="3"/>
  <c r="Y235" i="3"/>
  <c r="Z234" i="3"/>
  <c r="Y234" i="3"/>
  <c r="Z233" i="3"/>
  <c r="Y233" i="3"/>
  <c r="Z232" i="3"/>
  <c r="Y232" i="3"/>
  <c r="Z231" i="3"/>
  <c r="Y231" i="3"/>
  <c r="Z230" i="3"/>
  <c r="Y230" i="3"/>
  <c r="Z229" i="3"/>
  <c r="Y229" i="3"/>
  <c r="Z228" i="3"/>
  <c r="Y228" i="3"/>
  <c r="Z227" i="3"/>
  <c r="Y227" i="3"/>
  <c r="Z226" i="3"/>
  <c r="Y226" i="3"/>
  <c r="Z225" i="3"/>
  <c r="Y225" i="3"/>
  <c r="Z224" i="3"/>
  <c r="Y224" i="3"/>
  <c r="Z223" i="3"/>
  <c r="Y223" i="3"/>
  <c r="Z222" i="3"/>
  <c r="Y222" i="3"/>
  <c r="Z221" i="3"/>
  <c r="Y221" i="3"/>
  <c r="Z220" i="3"/>
  <c r="Y220" i="3"/>
  <c r="Z219" i="3"/>
  <c r="Y219" i="3"/>
  <c r="Z218" i="3"/>
  <c r="Y218" i="3"/>
  <c r="Z217" i="3"/>
  <c r="Y217" i="3"/>
  <c r="Z216" i="3"/>
  <c r="Y216" i="3"/>
  <c r="Z215" i="3"/>
  <c r="Y215" i="3"/>
  <c r="Z214" i="3"/>
  <c r="Y214" i="3"/>
  <c r="Z213" i="3"/>
  <c r="Y213" i="3"/>
  <c r="Z212" i="3"/>
  <c r="Y212" i="3"/>
  <c r="Z211" i="3"/>
  <c r="Y211" i="3"/>
  <c r="Z210" i="3"/>
  <c r="Y210" i="3"/>
  <c r="Z209" i="3"/>
  <c r="Y209" i="3"/>
  <c r="Z208" i="3"/>
  <c r="Y208" i="3"/>
  <c r="Z207" i="3"/>
  <c r="Y207" i="3"/>
  <c r="Z206" i="3"/>
  <c r="Y206" i="3"/>
  <c r="Z205" i="3"/>
  <c r="Y205" i="3"/>
  <c r="Z204" i="3"/>
  <c r="Y204" i="3"/>
  <c r="Z203" i="3"/>
  <c r="Y203" i="3"/>
  <c r="Z202" i="3"/>
  <c r="Y202" i="3"/>
  <c r="Z201" i="3"/>
  <c r="Y201" i="3"/>
  <c r="Z200" i="3"/>
  <c r="Y200" i="3"/>
  <c r="Z199" i="3"/>
  <c r="Y199" i="3"/>
  <c r="Z198" i="3"/>
  <c r="Y198" i="3"/>
  <c r="Z197" i="3"/>
  <c r="Y197" i="3"/>
  <c r="Z196" i="3"/>
  <c r="Y196" i="3"/>
  <c r="Z195" i="3"/>
  <c r="Y195" i="3"/>
  <c r="Z194" i="3"/>
  <c r="Y194" i="3"/>
  <c r="Z193" i="3"/>
  <c r="Y193" i="3"/>
  <c r="Z192" i="3"/>
  <c r="Y192" i="3"/>
  <c r="Z191" i="3"/>
  <c r="Y191" i="3"/>
  <c r="Z190" i="3"/>
  <c r="Y190" i="3"/>
  <c r="Z189" i="3"/>
  <c r="Y189" i="3"/>
  <c r="Z188" i="3"/>
  <c r="Y188" i="3"/>
  <c r="Z187" i="3"/>
  <c r="Y187" i="3"/>
  <c r="Z186" i="3"/>
  <c r="Y186" i="3"/>
  <c r="Z185" i="3"/>
  <c r="Y185" i="3"/>
  <c r="Z184" i="3"/>
  <c r="Y184" i="3"/>
  <c r="Z183" i="3"/>
  <c r="Y183" i="3"/>
  <c r="Z182" i="3"/>
  <c r="Y182" i="3"/>
  <c r="Z181" i="3"/>
  <c r="Y181" i="3"/>
  <c r="Z180" i="3"/>
  <c r="Y180" i="3"/>
  <c r="Z179" i="3"/>
  <c r="Y179" i="3"/>
  <c r="Z178" i="3"/>
  <c r="Y178" i="3"/>
  <c r="Z177" i="3"/>
  <c r="Y177" i="3"/>
  <c r="Z176" i="3"/>
  <c r="Y176" i="3"/>
  <c r="Z175" i="3"/>
  <c r="Y175" i="3"/>
  <c r="Z174" i="3"/>
  <c r="Y174" i="3"/>
  <c r="Z173" i="3"/>
  <c r="Y173" i="3"/>
  <c r="Z172" i="3"/>
  <c r="Y172" i="3"/>
  <c r="Z171" i="3"/>
  <c r="Y171" i="3"/>
  <c r="Z170" i="3"/>
  <c r="Y170" i="3"/>
  <c r="Z169" i="3"/>
  <c r="Y169" i="3"/>
  <c r="Z168" i="3"/>
  <c r="Y168" i="3"/>
  <c r="Z167" i="3"/>
  <c r="Y167" i="3"/>
  <c r="Z166" i="3"/>
  <c r="Y166" i="3"/>
  <c r="Z165" i="3"/>
  <c r="Y165" i="3"/>
  <c r="Z164" i="3"/>
  <c r="Y164" i="3"/>
  <c r="Z163" i="3"/>
  <c r="Y163" i="3"/>
  <c r="Z162" i="3"/>
  <c r="Y162" i="3"/>
  <c r="Z161" i="3"/>
  <c r="Y161" i="3"/>
  <c r="Z160" i="3"/>
  <c r="Y160" i="3"/>
  <c r="Z159" i="3"/>
  <c r="Y159" i="3"/>
  <c r="Z158" i="3"/>
  <c r="Y158" i="3"/>
  <c r="Z157" i="3"/>
  <c r="Y157" i="3"/>
  <c r="Z156" i="3"/>
  <c r="Y156" i="3"/>
  <c r="Z155" i="3"/>
  <c r="Y155" i="3"/>
  <c r="Z154" i="3"/>
  <c r="Y154" i="3"/>
  <c r="Z153" i="3"/>
  <c r="Y153" i="3"/>
  <c r="Z152" i="3"/>
  <c r="Y152" i="3"/>
  <c r="Z151" i="3"/>
  <c r="Y151" i="3"/>
  <c r="Z150" i="3"/>
  <c r="Y150" i="3"/>
  <c r="Z149" i="3"/>
  <c r="Y149" i="3"/>
  <c r="Z148" i="3"/>
  <c r="Y148" i="3"/>
  <c r="Z147" i="3"/>
  <c r="Y147" i="3"/>
  <c r="Z146" i="3"/>
  <c r="Y146" i="3"/>
  <c r="Z145" i="3"/>
  <c r="Y145" i="3"/>
  <c r="Z144" i="3"/>
  <c r="Y144" i="3"/>
  <c r="Z143" i="3"/>
  <c r="Y143" i="3"/>
  <c r="Z142" i="3"/>
  <c r="Y142" i="3"/>
  <c r="Z141" i="3"/>
  <c r="Y141" i="3"/>
  <c r="Z140" i="3"/>
  <c r="Y140" i="3"/>
  <c r="Z139" i="3"/>
  <c r="Y139" i="3"/>
  <c r="Z138" i="3"/>
  <c r="Y138" i="3"/>
  <c r="Z137" i="3"/>
  <c r="Y137" i="3"/>
  <c r="Z136" i="3"/>
  <c r="Y136" i="3"/>
  <c r="Z135" i="3"/>
  <c r="Y135" i="3"/>
  <c r="Z134" i="3"/>
  <c r="Y134" i="3"/>
  <c r="Z133" i="3"/>
  <c r="Y133" i="3"/>
  <c r="Z132" i="3"/>
  <c r="Y132" i="3"/>
  <c r="Z131" i="3"/>
  <c r="Y131" i="3"/>
  <c r="Z130" i="3"/>
  <c r="Y130" i="3"/>
  <c r="Z129" i="3"/>
  <c r="Y129" i="3"/>
  <c r="Z128" i="3"/>
  <c r="Y128" i="3"/>
  <c r="Z127" i="3"/>
  <c r="Y127" i="3"/>
  <c r="Z126" i="3"/>
  <c r="Y126" i="3"/>
  <c r="Z125" i="3"/>
  <c r="Y125" i="3"/>
  <c r="Z124" i="3"/>
  <c r="Y124" i="3"/>
  <c r="Z123" i="3"/>
  <c r="Y123" i="3"/>
  <c r="Z121" i="3"/>
  <c r="Y121" i="3"/>
  <c r="Z120" i="3"/>
  <c r="Y120" i="3"/>
  <c r="Z119" i="3"/>
  <c r="Y119" i="3"/>
  <c r="Z118" i="3"/>
  <c r="Y118" i="3"/>
  <c r="Z117" i="3"/>
  <c r="Y117" i="3"/>
  <c r="Z116" i="3"/>
  <c r="Y116" i="3"/>
  <c r="Z115" i="3"/>
  <c r="Y115" i="3"/>
  <c r="Z114" i="3"/>
  <c r="Y114" i="3"/>
  <c r="Z113" i="3"/>
  <c r="Y113" i="3"/>
  <c r="Z112" i="3"/>
  <c r="Y112" i="3"/>
  <c r="Z111" i="3"/>
  <c r="Y111" i="3"/>
  <c r="Z110" i="3"/>
  <c r="Y110" i="3"/>
  <c r="Z109" i="3"/>
  <c r="Y109" i="3"/>
  <c r="Z108" i="3"/>
  <c r="Y108" i="3"/>
  <c r="Z107" i="3"/>
  <c r="Y107" i="3"/>
  <c r="Z106" i="3"/>
  <c r="Y106" i="3"/>
  <c r="Z105" i="3"/>
  <c r="Y105" i="3"/>
  <c r="Z104" i="3"/>
  <c r="Y104" i="3"/>
  <c r="Z103" i="3"/>
  <c r="Y103" i="3"/>
  <c r="Z102" i="3"/>
  <c r="Y102" i="3"/>
  <c r="Z101" i="3"/>
  <c r="Y101" i="3"/>
  <c r="Z100" i="3"/>
  <c r="Y100" i="3"/>
  <c r="Z99" i="3"/>
  <c r="Y99" i="3"/>
  <c r="Z98" i="3"/>
  <c r="Y98" i="3"/>
  <c r="Z97" i="3"/>
  <c r="Y97" i="3"/>
  <c r="Z96" i="3"/>
  <c r="Y96" i="3"/>
  <c r="Z95" i="3"/>
  <c r="Y95" i="3"/>
  <c r="Z94" i="3"/>
  <c r="Y94" i="3"/>
  <c r="Z93" i="3"/>
  <c r="Y93" i="3"/>
  <c r="Z92" i="3"/>
  <c r="Y92" i="3"/>
  <c r="Z91" i="3"/>
  <c r="Y91" i="3"/>
  <c r="Z90" i="3"/>
  <c r="Y90" i="3"/>
  <c r="Z89" i="3"/>
  <c r="Y89" i="3"/>
  <c r="Z88" i="3"/>
  <c r="Y88" i="3"/>
  <c r="Z87" i="3"/>
  <c r="Y87" i="3"/>
  <c r="Z86" i="3"/>
  <c r="Y86" i="3"/>
  <c r="Z85" i="3"/>
  <c r="Y85" i="3"/>
  <c r="Z84" i="3"/>
  <c r="Y84" i="3"/>
  <c r="Z83" i="3"/>
  <c r="Y83" i="3"/>
  <c r="Z82" i="3"/>
  <c r="Y82" i="3"/>
  <c r="Z81" i="3"/>
  <c r="Y81" i="3"/>
  <c r="Z80" i="3"/>
  <c r="Y80" i="3"/>
  <c r="Z79" i="3"/>
  <c r="Y79" i="3"/>
  <c r="Z78" i="3"/>
  <c r="Y78" i="3"/>
  <c r="Z77" i="3"/>
  <c r="Y77" i="3"/>
  <c r="Z76" i="3"/>
  <c r="Y76" i="3"/>
  <c r="Z75" i="3"/>
  <c r="Y75" i="3"/>
  <c r="Z74" i="3"/>
  <c r="Y74" i="3"/>
  <c r="Z73" i="3"/>
  <c r="Y73" i="3"/>
  <c r="Z72" i="3"/>
  <c r="Y72" i="3"/>
  <c r="Z71" i="3"/>
  <c r="Y71" i="3"/>
  <c r="Z70" i="3"/>
  <c r="Y70" i="3"/>
  <c r="Z69" i="3"/>
  <c r="Y69" i="3"/>
  <c r="Z68" i="3"/>
  <c r="Y68" i="3"/>
  <c r="Z67" i="3"/>
  <c r="Y67" i="3"/>
  <c r="Z66" i="3"/>
  <c r="Y66" i="3"/>
  <c r="Z65" i="3"/>
  <c r="Y65" i="3"/>
  <c r="Z64" i="3"/>
  <c r="Y64" i="3"/>
  <c r="Z63" i="3"/>
  <c r="Y63" i="3"/>
  <c r="Z62" i="3"/>
  <c r="Y62" i="3"/>
  <c r="Z61" i="3"/>
  <c r="Y61" i="3"/>
  <c r="Z60" i="3"/>
  <c r="Y60" i="3"/>
  <c r="Z59" i="3"/>
  <c r="Y59" i="3"/>
  <c r="Z58" i="3"/>
  <c r="Y58" i="3"/>
  <c r="Z57" i="3"/>
  <c r="Y57" i="3"/>
  <c r="Z56" i="3"/>
  <c r="Y56" i="3"/>
  <c r="Z55" i="3"/>
  <c r="Y55" i="3"/>
  <c r="Z54" i="3"/>
  <c r="Y54" i="3"/>
  <c r="Z53" i="3"/>
  <c r="Y53" i="3"/>
  <c r="Z52" i="3"/>
  <c r="Y52" i="3"/>
  <c r="Z51" i="3"/>
  <c r="Y51" i="3"/>
  <c r="Z50" i="3"/>
  <c r="Y50" i="3"/>
  <c r="Z49" i="3"/>
  <c r="Y49" i="3"/>
  <c r="Z48" i="3"/>
  <c r="Y48" i="3"/>
  <c r="Z47" i="3"/>
  <c r="Y47" i="3"/>
  <c r="Z46" i="3"/>
  <c r="Y46" i="3"/>
  <c r="Z45" i="3"/>
  <c r="Y45" i="3"/>
  <c r="Z44" i="3"/>
  <c r="Y44" i="3"/>
  <c r="Z43" i="3"/>
  <c r="Y43" i="3"/>
  <c r="Z42" i="3"/>
  <c r="Y42" i="3"/>
  <c r="Z41" i="3"/>
  <c r="Y41" i="3"/>
  <c r="Z40" i="3"/>
  <c r="Y40" i="3"/>
  <c r="Z39" i="3"/>
  <c r="Y39" i="3"/>
  <c r="Z38" i="3"/>
  <c r="Y38" i="3"/>
  <c r="Z37" i="3"/>
  <c r="Y37" i="3"/>
  <c r="Z36" i="3"/>
  <c r="Y36" i="3"/>
  <c r="Z35" i="3"/>
  <c r="Y35" i="3"/>
  <c r="Z34" i="3"/>
  <c r="Y34" i="3"/>
  <c r="Z33" i="3"/>
  <c r="Y33" i="3"/>
  <c r="Z32" i="3"/>
  <c r="Y32" i="3"/>
  <c r="Z31" i="3"/>
  <c r="Y31" i="3"/>
  <c r="Z30" i="3"/>
  <c r="Y30" i="3"/>
  <c r="Z29" i="3"/>
  <c r="Y29" i="3"/>
  <c r="Z28" i="3"/>
  <c r="Y28" i="3"/>
  <c r="Z27" i="3"/>
  <c r="Y27" i="3"/>
  <c r="Z26" i="3"/>
  <c r="Y26" i="3"/>
  <c r="Z25" i="3"/>
  <c r="Y25" i="3"/>
  <c r="Z24" i="3"/>
  <c r="Y24" i="3"/>
  <c r="Z23" i="3"/>
  <c r="Y23" i="3"/>
  <c r="Z22" i="3"/>
  <c r="Y22" i="3"/>
  <c r="Z21" i="3"/>
  <c r="Y21" i="3"/>
  <c r="Z20" i="3"/>
  <c r="Y20" i="3"/>
  <c r="Z19" i="3"/>
  <c r="Y19" i="3"/>
  <c r="Z18" i="3"/>
  <c r="Y18" i="3"/>
  <c r="Z17" i="3"/>
  <c r="Y17" i="3"/>
  <c r="Z16" i="3"/>
  <c r="Y16" i="3"/>
  <c r="Z15" i="3"/>
  <c r="Y15" i="3"/>
  <c r="Z14" i="3"/>
  <c r="Y14" i="3"/>
  <c r="Z13" i="3"/>
  <c r="Y13" i="3"/>
  <c r="Z12" i="3"/>
  <c r="Y12" i="3"/>
  <c r="Z11" i="3"/>
  <c r="Y11" i="3"/>
  <c r="Z10" i="3"/>
  <c r="Y10" i="3"/>
  <c r="Z9" i="3"/>
  <c r="Y9" i="3"/>
  <c r="Z8" i="3"/>
  <c r="Y8" i="3"/>
  <c r="Z7" i="3"/>
  <c r="Y7" i="3"/>
  <c r="Z6" i="3"/>
  <c r="Y6" i="3"/>
  <c r="Z5" i="3"/>
  <c r="Y5" i="3"/>
  <c r="J11" i="5" l="1"/>
  <c r="I11" i="5"/>
  <c r="I7" i="5"/>
  <c r="J7" i="5"/>
  <c r="I18" i="5"/>
</calcChain>
</file>

<file path=xl/sharedStrings.xml><?xml version="1.0" encoding="utf-8"?>
<sst xmlns="http://schemas.openxmlformats.org/spreadsheetml/2006/main" count="16156" uniqueCount="3745">
  <si>
    <t>Audit Data Analytics: General Ledger &amp; Accounts Payable Exception Detection</t>
  </si>
  <si>
    <r>
      <rPr>
        <sz val="10"/>
        <rFont val="Calibri"/>
        <charset val="1"/>
      </rPr>
      <t xml:space="preserve">Namaa Retail Company — </t>
    </r>
    <r>
      <rPr>
        <sz val="10"/>
        <rFont val="Lohit Devanagari"/>
        <family val="2"/>
      </rPr>
      <t xml:space="preserve">شركة نماء للتجزئة </t>
    </r>
    <r>
      <rPr>
        <sz val="10"/>
        <rFont val="Calibri"/>
        <charset val="1"/>
      </rPr>
      <t>| Educational portfolio simulation | Reporting period: 01-Jan-2025 to 31-Dec-2025 | Currency: SAR</t>
    </r>
  </si>
  <si>
    <t>Project information</t>
  </si>
  <si>
    <t>Value</t>
  </si>
  <si>
    <t>Fictional entity</t>
  </si>
  <si>
    <r>
      <rPr>
        <sz val="11"/>
        <color theme="1"/>
        <rFont val="Calibri"/>
        <family val="2"/>
        <charset val="1"/>
      </rPr>
      <t xml:space="preserve">Namaa Retail Company — </t>
    </r>
    <r>
      <rPr>
        <sz val="11"/>
        <color theme="1"/>
        <rFont val="Lohit Devanagari"/>
        <family val="2"/>
      </rPr>
      <t>شركة نماء للتجزئة</t>
    </r>
  </si>
  <si>
    <t>Project type</t>
  </si>
  <si>
    <t>Educational audit analytics simulation using synthetic financial transaction data</t>
  </si>
  <si>
    <t>Prepared by</t>
  </si>
  <si>
    <t>Accounting Student — Educational Portfolio Project.</t>
  </si>
  <si>
    <t>Preparation date</t>
  </si>
  <si>
    <t>22-Oct-2026</t>
  </si>
  <si>
    <t>Tools used</t>
  </si>
  <si>
    <t>Microsoft Excel-compatible workbook, Python for deterministic synthetic data generation, PDF memorandum</t>
  </si>
  <si>
    <t>Project objective</t>
  </si>
  <si>
    <t>The purpose of this project is to demonstrate how audit data analytics can be used to examine accounting transaction populations, identify unusual patterns, and prioritize transactions for further audit investigation.</t>
  </si>
  <si>
    <t>Audit analytics workflow</t>
  </si>
  <si>
    <t>Data preparation → Data validation → Risk-based test design → Exception detection → Exception investigation → Evaluation → Reporting</t>
  </si>
  <si>
    <t>Worksheet guide</t>
  </si>
  <si>
    <t>00_Read_Me: overview and instructions | 01_Parameters: editable thresholds | 02_GL_Data: GL population | 03_AP_Data: AP population | 04_Analytics_Tests: test catalog and results | 05_Exception_Register: traceable flagged items | 06_Dashboard: executive summary | 07_Audit_Memo: memo summary</t>
  </si>
  <si>
    <t>How to use</t>
  </si>
  <si>
    <t>1. Review assumptions. 2. Review synthetic datasets. 3. Inspect test catalog. 4. Review flagged transactions. 5. Record simulated follow-up. 6. Review dashboard and memo.</t>
  </si>
  <si>
    <t>Important disclaimer</t>
  </si>
  <si>
    <t>Educational audit analytics simulation using synthetic transaction data. The transactions, counterparties, and exceptions are fictional and do not represent actual records of a real company. An identified anomaly does not, by itself, establish fraud or a financial statement misstatement.</t>
  </si>
  <si>
    <t>Data limitations</t>
  </si>
  <si>
    <t>All transactional data are synthetic; this is not an actual audit engagement; tests are illustrative and do not replace professional judgment; real-world completeness and accuracy would need separate assessment; a flag is not automatically an error or evidence of fraud.</t>
  </si>
  <si>
    <t>Weekend convention</t>
  </si>
  <si>
    <t>Saudi Arabia generally follows a Friday–Saturday weekend. Weekend posting is used only as a screening indicator and is not inherently suspicious.</t>
  </si>
  <si>
    <t>Additional worksheet</t>
  </si>
  <si>
    <t>99_Internal_QA is hidden and contains the planted-anomaly validation key and build checks; it is not presented as an audit working paper.</t>
  </si>
  <si>
    <t>Parameters &amp; Assumptions</t>
  </si>
  <si>
    <t>Editable screening assumptions. Thresholds are screening rules and are not financial statement materiality.</t>
  </si>
  <si>
    <t>Parameter_ID</t>
  </si>
  <si>
    <t>Parameter_Name</t>
  </si>
  <si>
    <t>Parameter_Value</t>
  </si>
  <si>
    <t>Unit</t>
  </si>
  <si>
    <t>Rationale</t>
  </si>
  <si>
    <t>Source_Type</t>
  </si>
  <si>
    <t>Last_Updated</t>
  </si>
  <si>
    <t>P001</t>
  </si>
  <si>
    <t>Reporting Start Date</t>
  </si>
  <si>
    <t>Date</t>
  </si>
  <si>
    <t>Beginning of reporting period</t>
  </si>
  <si>
    <t>Simulation assumption</t>
  </si>
  <si>
    <t>P002</t>
  </si>
  <si>
    <t>Reporting End Date</t>
  </si>
  <si>
    <t>End of reporting period</t>
  </si>
  <si>
    <t>P003</t>
  </si>
  <si>
    <t>High-Value GL Threshold</t>
  </si>
  <si>
    <t>SAR</t>
  </si>
  <si>
    <t>Screen individually large journal lines</t>
  </si>
  <si>
    <t>P004</t>
  </si>
  <si>
    <t>High-Value AP Threshold</t>
  </si>
  <si>
    <t>Screen large supplier invoices</t>
  </si>
  <si>
    <t>P005</t>
  </si>
  <si>
    <t>Year-End Window Start</t>
  </si>
  <si>
    <t>Illustrative year-end review window</t>
  </si>
  <si>
    <t>P006</t>
  </si>
  <si>
    <t>Year-End Window End</t>
  </si>
  <si>
    <t>P007</t>
  </si>
  <si>
    <t>Weekend Testing</t>
  </si>
  <si>
    <t>Enabled</t>
  </si>
  <si>
    <t>Setting</t>
  </si>
  <si>
    <t>Flag Friday or Saturday postings</t>
  </si>
  <si>
    <t>Saudi calendar convention</t>
  </si>
  <si>
    <t>P008</t>
  </si>
  <si>
    <t>After-Hours Testing</t>
  </si>
  <si>
    <t>Flag timestamps outside business hours</t>
  </si>
  <si>
    <t>P009</t>
  </si>
  <si>
    <t>Business Day Start</t>
  </si>
  <si>
    <t>Hour</t>
  </si>
  <si>
    <t>Normal business hours start</t>
  </si>
  <si>
    <t>P010</t>
  </si>
  <si>
    <t>Business Day End</t>
  </si>
  <si>
    <t>Normal business hours end</t>
  </si>
  <si>
    <t>P011</t>
  </si>
  <si>
    <t>Duplicate Amount Tolerance</t>
  </si>
  <si>
    <t>Exact amount comparison tolerance</t>
  </si>
  <si>
    <t>P012</t>
  </si>
  <si>
    <t>Near-Duplicate Window</t>
  </si>
  <si>
    <t>Days</t>
  </si>
  <si>
    <t>Look-back for potentially repeated invoices</t>
  </si>
  <si>
    <t>P013</t>
  </si>
  <si>
    <t>Round-Number Threshold</t>
  </si>
  <si>
    <t>Minimum amount and multiple for round-number screen</t>
  </si>
  <si>
    <t>P014</t>
  </si>
  <si>
    <t>Reporting Currency</t>
  </si>
  <si>
    <t>Currency</t>
  </si>
  <si>
    <t>All monetary amounts</t>
  </si>
  <si>
    <t>P015</t>
  </si>
  <si>
    <t>Invoice-to-Posting Review Limit</t>
  </si>
  <si>
    <t>Flag unusually long invoice-to-posting lag</t>
  </si>
  <si>
    <t>02_GL_Data — Synthetic General Ledger Population</t>
  </si>
  <si>
    <t>Approximately 500 balanced journal entries and 1,000 lines. Formula-driven screening indicators are in columns V:Z.</t>
  </si>
  <si>
    <t>Journal_ID</t>
  </si>
  <si>
    <t>Journal_Line_ID</t>
  </si>
  <si>
    <t>Posting_Date</t>
  </si>
  <si>
    <t>Document_Date</t>
  </si>
  <si>
    <t>Fiscal_Year</t>
  </si>
  <si>
    <t>Fiscal_Period</t>
  </si>
  <si>
    <t>Account_Code</t>
  </si>
  <si>
    <t>Account_Name</t>
  </si>
  <si>
    <t>Account_Type</t>
  </si>
  <si>
    <t>Debit</t>
  </si>
  <si>
    <t>Credit</t>
  </si>
  <si>
    <t>Signed_Amount</t>
  </si>
  <si>
    <t>Description</t>
  </si>
  <si>
    <t>Document_Reference</t>
  </si>
  <si>
    <t>Source_Module</t>
  </si>
  <si>
    <t>Created_By</t>
  </si>
  <si>
    <t>Approved_By</t>
  </si>
  <si>
    <t>Creation_Timestamp</t>
  </si>
  <si>
    <t>Approval_Status</t>
  </si>
  <si>
    <t>Vendor_ID</t>
  </si>
  <si>
    <t>Invoice_ID</t>
  </si>
  <si>
    <t>Is_Year_End</t>
  </si>
  <si>
    <t>Is_Weekend_Posting</t>
  </si>
  <si>
    <t>Is_After_Hours</t>
  </si>
  <si>
    <t>Is_High_Value</t>
  </si>
  <si>
    <t>Is_Round_Number</t>
  </si>
  <si>
    <t>JE-00001</t>
  </si>
  <si>
    <t>JE-00001-01</t>
  </si>
  <si>
    <t>6600</t>
  </si>
  <si>
    <t>Other Operating Expenses</t>
  </si>
  <si>
    <t>Expense</t>
  </si>
  <si>
    <t>Manual period adjustment</t>
  </si>
  <si>
    <t>DOC-00001</t>
  </si>
  <si>
    <t>MANUAL_JE</t>
  </si>
  <si>
    <t>USR_OM</t>
  </si>
  <si>
    <t>USR_RE</t>
  </si>
  <si>
    <t>Approved</t>
  </si>
  <si>
    <t>JE-00001-02</t>
  </si>
  <si>
    <t>2000</t>
  </si>
  <si>
    <t>Trade Payables</t>
  </si>
  <si>
    <t>Liability</t>
  </si>
  <si>
    <t>JE-00002</t>
  </si>
  <si>
    <t>JE-00002-01</t>
  </si>
  <si>
    <t>6300</t>
  </si>
  <si>
    <t>Marketing Expense</t>
  </si>
  <si>
    <t>DOC-00002</t>
  </si>
  <si>
    <t>USR_AH</t>
  </si>
  <si>
    <t>JE-00002-02</t>
  </si>
  <si>
    <t>JE-00003</t>
  </si>
  <si>
    <t>JE-00003-01</t>
  </si>
  <si>
    <t>1100</t>
  </si>
  <si>
    <t>Trade Receivables</t>
  </si>
  <si>
    <t>Asset</t>
  </si>
  <si>
    <t>Daily retail sales</t>
  </si>
  <si>
    <t>DOC-00003</t>
  </si>
  <si>
    <t>AUTO_SALES</t>
  </si>
  <si>
    <t>USR_SA</t>
  </si>
  <si>
    <t>USR_FA</t>
  </si>
  <si>
    <t>JE-00003-02</t>
  </si>
  <si>
    <t>4000</t>
  </si>
  <si>
    <t>Sales Revenue</t>
  </si>
  <si>
    <t>Revenue</t>
  </si>
  <si>
    <t>JE-00004</t>
  </si>
  <si>
    <t>JE-00004-01</t>
  </si>
  <si>
    <t>6500</t>
  </si>
  <si>
    <t>Depreciation Expense</t>
  </si>
  <si>
    <t>Monthly depreciation</t>
  </si>
  <si>
    <t>DOC-00004</t>
  </si>
  <si>
    <t>AUTO_DEPR</t>
  </si>
  <si>
    <t>JE-00004-02</t>
  </si>
  <si>
    <t>1500</t>
  </si>
  <si>
    <t>Property and Equipment</t>
  </si>
  <si>
    <t>JE-00005</t>
  </si>
  <si>
    <t>JE-00005-01</t>
  </si>
  <si>
    <t>DOC-00005</t>
  </si>
  <si>
    <t>JE-00005-02</t>
  </si>
  <si>
    <t>JE-00006</t>
  </si>
  <si>
    <t>JE-00006-01</t>
  </si>
  <si>
    <t>6400</t>
  </si>
  <si>
    <t>Professional Fees</t>
  </si>
  <si>
    <t>DOC-00006</t>
  </si>
  <si>
    <t>USR_NA</t>
  </si>
  <si>
    <t>JE-00006-02</t>
  </si>
  <si>
    <t>JE-00007</t>
  </si>
  <si>
    <t>JE-00007-01</t>
  </si>
  <si>
    <t>6000</t>
  </si>
  <si>
    <t>Salaries Expense</t>
  </si>
  <si>
    <t>Monthly payroll accrual</t>
  </si>
  <si>
    <t>DOC-00007</t>
  </si>
  <si>
    <t>AUTO_PAYROLL</t>
  </si>
  <si>
    <t>JE-00007-02</t>
  </si>
  <si>
    <t>2100</t>
  </si>
  <si>
    <t>Accrued Expenses</t>
  </si>
  <si>
    <t>JE-00008</t>
  </si>
  <si>
    <t>JE-00008-01</t>
  </si>
  <si>
    <t>DOC-00008</t>
  </si>
  <si>
    <t>JE-00008-02</t>
  </si>
  <si>
    <t>JE-00009</t>
  </si>
  <si>
    <t>JE-00009-01</t>
  </si>
  <si>
    <t>5000</t>
  </si>
  <si>
    <t>Cost of Goods Sold</t>
  </si>
  <si>
    <t>Inventory movement</t>
  </si>
  <si>
    <t>DOC-00009</t>
  </si>
  <si>
    <t>AUTO_INVENTORY</t>
  </si>
  <si>
    <t>JE-00009-02</t>
  </si>
  <si>
    <t>1200</t>
  </si>
  <si>
    <t>Inventory</t>
  </si>
  <si>
    <t>JE-00010</t>
  </si>
  <si>
    <t>JE-00010-01</t>
  </si>
  <si>
    <t>DOC-00010</t>
  </si>
  <si>
    <t>JE-00010-02</t>
  </si>
  <si>
    <t>JE-00011</t>
  </si>
  <si>
    <t>JE-00011-01</t>
  </si>
  <si>
    <t>6200</t>
  </si>
  <si>
    <t>Utilities Expense</t>
  </si>
  <si>
    <t>Supplier invoice posting</t>
  </si>
  <si>
    <t>INV-00011</t>
  </si>
  <si>
    <t>AUTO_AP</t>
  </si>
  <si>
    <t>V010</t>
  </si>
  <si>
    <t>JE-00011-02</t>
  </si>
  <si>
    <t>JE-00012</t>
  </si>
  <si>
    <t>JE-00012-01</t>
  </si>
  <si>
    <t>DOC-00012</t>
  </si>
  <si>
    <t>JE-00012-02</t>
  </si>
  <si>
    <t>JE-00013</t>
  </si>
  <si>
    <t>JE-00013-01</t>
  </si>
  <si>
    <t>DOC-00013</t>
  </si>
  <si>
    <t>JE-00013-02</t>
  </si>
  <si>
    <t>JE-00014</t>
  </si>
  <si>
    <t>JE-00014-01</t>
  </si>
  <si>
    <t>DOC-00014</t>
  </si>
  <si>
    <t>JE-00014-02</t>
  </si>
  <si>
    <t>JE-00015</t>
  </si>
  <si>
    <t>JE-00015-01</t>
  </si>
  <si>
    <t>INV-00015</t>
  </si>
  <si>
    <t>V005</t>
  </si>
  <si>
    <t>JE-00015-02</t>
  </si>
  <si>
    <t>JE-00016</t>
  </si>
  <si>
    <t>JE-00016-01</t>
  </si>
  <si>
    <t>Manual revenue to equipment transfer</t>
  </si>
  <si>
    <t>DOC-00016</t>
  </si>
  <si>
    <t>JE-00016-02</t>
  </si>
  <si>
    <t>JE-00017</t>
  </si>
  <si>
    <t>JE-00017-01</t>
  </si>
  <si>
    <t>DOC-00017</t>
  </si>
  <si>
    <t>JE-00017-02</t>
  </si>
  <si>
    <t>JE-00018</t>
  </si>
  <si>
    <t>JE-00018-01</t>
  </si>
  <si>
    <t>DOC-00018</t>
  </si>
  <si>
    <t>JE-00018-02</t>
  </si>
  <si>
    <t>JE-00019</t>
  </si>
  <si>
    <t>JE-00019-01</t>
  </si>
  <si>
    <t>DOC-00019</t>
  </si>
  <si>
    <t>JE-00019-02</t>
  </si>
  <si>
    <t>JE-00020</t>
  </si>
  <si>
    <t>JE-00020-01</t>
  </si>
  <si>
    <t>INV-00020</t>
  </si>
  <si>
    <t>V004</t>
  </si>
  <si>
    <t>JE-00020-02</t>
  </si>
  <si>
    <t>JE-00021</t>
  </si>
  <si>
    <t>JE-00021-01</t>
  </si>
  <si>
    <t>DOC-00021</t>
  </si>
  <si>
    <t>JE-00021-02</t>
  </si>
  <si>
    <t>JE-00022</t>
  </si>
  <si>
    <t>JE-00022-01</t>
  </si>
  <si>
    <t>DOC-00022</t>
  </si>
  <si>
    <t>JE-00022-02</t>
  </si>
  <si>
    <t>JE-00023</t>
  </si>
  <si>
    <t>JE-00023-01</t>
  </si>
  <si>
    <t>DOC-00023</t>
  </si>
  <si>
    <t>JE-00023-02</t>
  </si>
  <si>
    <t>JE-00024</t>
  </si>
  <si>
    <t>JE-00024-01</t>
  </si>
  <si>
    <t>DOC-00024</t>
  </si>
  <si>
    <t>JE-00024-02</t>
  </si>
  <si>
    <t>JE-00025</t>
  </si>
  <si>
    <t>JE-00025-01</t>
  </si>
  <si>
    <t>DOC-00025</t>
  </si>
  <si>
    <t>JE-00025-02</t>
  </si>
  <si>
    <t>JE-00026</t>
  </si>
  <si>
    <t>JE-00026-01</t>
  </si>
  <si>
    <t>DOC-00026</t>
  </si>
  <si>
    <t>JE-00026-02</t>
  </si>
  <si>
    <t>JE-00027</t>
  </si>
  <si>
    <t>JE-00027-01</t>
  </si>
  <si>
    <t>DOC-00027</t>
  </si>
  <si>
    <t>JE-00027-02</t>
  </si>
  <si>
    <t>JE-00028</t>
  </si>
  <si>
    <t>JE-00028-01</t>
  </si>
  <si>
    <t>DOC-00028</t>
  </si>
  <si>
    <t>JE-00028-02</t>
  </si>
  <si>
    <t>JE-00029</t>
  </si>
  <si>
    <t>JE-00029-01</t>
  </si>
  <si>
    <t>DOC-00029</t>
  </si>
  <si>
    <t>Pending</t>
  </si>
  <si>
    <t>JE-00029-02</t>
  </si>
  <si>
    <t>JE-00030</t>
  </si>
  <si>
    <t>JE-00030-01</t>
  </si>
  <si>
    <t>DOC-00030</t>
  </si>
  <si>
    <t>JE-00030-02</t>
  </si>
  <si>
    <t>JE-00031</t>
  </si>
  <si>
    <t>JE-00031-01</t>
  </si>
  <si>
    <t>DOC-00031</t>
  </si>
  <si>
    <t>JE-00031-02</t>
  </si>
  <si>
    <t>JE-00032</t>
  </si>
  <si>
    <t>JE-00032-01</t>
  </si>
  <si>
    <t>DOC-00032</t>
  </si>
  <si>
    <t>JE-00032-02</t>
  </si>
  <si>
    <t>JE-00033</t>
  </si>
  <si>
    <t>JE-00033-01</t>
  </si>
  <si>
    <t>DOC-00033</t>
  </si>
  <si>
    <t>JE-00033-02</t>
  </si>
  <si>
    <t>JE-00034</t>
  </si>
  <si>
    <t>JE-00034-01</t>
  </si>
  <si>
    <t>DOC-00034</t>
  </si>
  <si>
    <t>JE-00034-02</t>
  </si>
  <si>
    <t>JE-00035</t>
  </si>
  <si>
    <t>JE-00035-01</t>
  </si>
  <si>
    <t>INV-00035</t>
  </si>
  <si>
    <t>V001</t>
  </si>
  <si>
    <t>JE-00035-02</t>
  </si>
  <si>
    <t>JE-00036</t>
  </si>
  <si>
    <t>JE-00036-01</t>
  </si>
  <si>
    <t>INV-00036</t>
  </si>
  <si>
    <t>JE-00036-02</t>
  </si>
  <si>
    <t>JE-00037</t>
  </si>
  <si>
    <t>JE-00037-01</t>
  </si>
  <si>
    <t>INV-00037</t>
  </si>
  <si>
    <t>V002</t>
  </si>
  <si>
    <t>JE-00037-02</t>
  </si>
  <si>
    <t>JE-00038</t>
  </si>
  <si>
    <t>JE-00038-01</t>
  </si>
  <si>
    <t>INV-00038</t>
  </si>
  <si>
    <t>JE-00038-02</t>
  </si>
  <si>
    <t>JE-00039</t>
  </si>
  <si>
    <t>JE-00039-01</t>
  </si>
  <si>
    <t>DOC-00039</t>
  </si>
  <si>
    <t>JE-00039-02</t>
  </si>
  <si>
    <t>JE-00040</t>
  </si>
  <si>
    <t>JE-00040-01</t>
  </si>
  <si>
    <t>6100</t>
  </si>
  <si>
    <t>Rent Expense</t>
  </si>
  <si>
    <t>DOC-00040</t>
  </si>
  <si>
    <t>JE-00040-02</t>
  </si>
  <si>
    <t>JE-00041</t>
  </si>
  <si>
    <t>JE-00041-01</t>
  </si>
  <si>
    <t>INV-00041</t>
  </si>
  <si>
    <t>JE-00041-02</t>
  </si>
  <si>
    <t>JE-00042</t>
  </si>
  <si>
    <t>JE-00042-01</t>
  </si>
  <si>
    <t>INV-00042</t>
  </si>
  <si>
    <t>JE-00042-02</t>
  </si>
  <si>
    <t>JE-00043</t>
  </si>
  <si>
    <t>JE-00043-01</t>
  </si>
  <si>
    <t>INV-00043</t>
  </si>
  <si>
    <t>V003</t>
  </si>
  <si>
    <t>JE-00043-02</t>
  </si>
  <si>
    <t>JE-00044</t>
  </si>
  <si>
    <t>JE-00044-01</t>
  </si>
  <si>
    <t>DOC-00044</t>
  </si>
  <si>
    <t>JE-00044-02</t>
  </si>
  <si>
    <t>JE-00045</t>
  </si>
  <si>
    <t>JE-00045-01</t>
  </si>
  <si>
    <t>INV-00045</t>
  </si>
  <si>
    <t>JE-00045-02</t>
  </si>
  <si>
    <t>JE-00046</t>
  </si>
  <si>
    <t>JE-00046-01</t>
  </si>
  <si>
    <t>DOC-00046</t>
  </si>
  <si>
    <t>JE-00046-02</t>
  </si>
  <si>
    <t>JE-00047</t>
  </si>
  <si>
    <t>JE-00047-01</t>
  </si>
  <si>
    <t>DOC-00047</t>
  </si>
  <si>
    <t>JE-00047-02</t>
  </si>
  <si>
    <t>JE-00048</t>
  </si>
  <si>
    <t>JE-00048-01</t>
  </si>
  <si>
    <t>DOC-00048</t>
  </si>
  <si>
    <t>JE-00048-02</t>
  </si>
  <si>
    <t>JE-00049</t>
  </si>
  <si>
    <t>JE-00049-01</t>
  </si>
  <si>
    <t>DOC-00049</t>
  </si>
  <si>
    <t>JE-00049-02</t>
  </si>
  <si>
    <t>JE-00050</t>
  </si>
  <si>
    <t>JE-00050-01</t>
  </si>
  <si>
    <t>DOC-00050</t>
  </si>
  <si>
    <t>JE-00050-02</t>
  </si>
  <si>
    <t>JE-00051</t>
  </si>
  <si>
    <t>JE-00051-01</t>
  </si>
  <si>
    <t>DOC-00051</t>
  </si>
  <si>
    <t>JE-00051-02</t>
  </si>
  <si>
    <t>JE-00052</t>
  </si>
  <si>
    <t>JE-00052-01</t>
  </si>
  <si>
    <t>DOC-00052</t>
  </si>
  <si>
    <t>JE-00052-02</t>
  </si>
  <si>
    <t>JE-00053</t>
  </si>
  <si>
    <t>JE-00053-01</t>
  </si>
  <si>
    <t>DOC-00053</t>
  </si>
  <si>
    <t>JE-00053-02</t>
  </si>
  <si>
    <t>JE-00054</t>
  </si>
  <si>
    <t>JE-00054-01</t>
  </si>
  <si>
    <t>DOC-00054</t>
  </si>
  <si>
    <t>JE-00054-02</t>
  </si>
  <si>
    <t>JE-00055</t>
  </si>
  <si>
    <t>JE-00055-01</t>
  </si>
  <si>
    <t>DOC-00055</t>
  </si>
  <si>
    <t>JE-00055-02</t>
  </si>
  <si>
    <t>JE-00056</t>
  </si>
  <si>
    <t>JE-00056-01</t>
  </si>
  <si>
    <t>DOC-00056</t>
  </si>
  <si>
    <t>JE-00056-02</t>
  </si>
  <si>
    <t>JE-00057</t>
  </si>
  <si>
    <t>JE-00057-01</t>
  </si>
  <si>
    <t>DOC-00057</t>
  </si>
  <si>
    <t>JE-00057-02</t>
  </si>
  <si>
    <t>JE-00058</t>
  </si>
  <si>
    <t>JE-00058-01</t>
  </si>
  <si>
    <t>DOC-00058</t>
  </si>
  <si>
    <t>JE-00058-02</t>
  </si>
  <si>
    <t>JE-00059</t>
  </si>
  <si>
    <t>JE-00059-01</t>
  </si>
  <si>
    <t>DOC-00059</t>
  </si>
  <si>
    <t>JE-00059-02</t>
  </si>
  <si>
    <t>JE-00060</t>
  </si>
  <si>
    <t>JE-00060-01</t>
  </si>
  <si>
    <t>7000</t>
  </si>
  <si>
    <t>Finance Costs</t>
  </si>
  <si>
    <t>DOC-00060</t>
  </si>
  <si>
    <t>JE-00060-02</t>
  </si>
  <si>
    <t>JE-00061</t>
  </si>
  <si>
    <t>JE-00061-01</t>
  </si>
  <si>
    <t>DOC-00061</t>
  </si>
  <si>
    <t>JE-00061-02</t>
  </si>
  <si>
    <t>JE-00062</t>
  </si>
  <si>
    <t>JE-00062-01</t>
  </si>
  <si>
    <t>DOC-00062</t>
  </si>
  <si>
    <t>JE-00062-02</t>
  </si>
  <si>
    <t>JE-00063</t>
  </si>
  <si>
    <t>JE-00063-01</t>
  </si>
  <si>
    <t>DOC-00063</t>
  </si>
  <si>
    <t>JE-00063-02</t>
  </si>
  <si>
    <t>JE-00064</t>
  </si>
  <si>
    <t>JE-00064-01</t>
  </si>
  <si>
    <t>DOC-00064</t>
  </si>
  <si>
    <t>JE-00064-02</t>
  </si>
  <si>
    <t>JE-00065</t>
  </si>
  <si>
    <t>JE-00065-01</t>
  </si>
  <si>
    <t>INV-00065</t>
  </si>
  <si>
    <t>V006</t>
  </si>
  <si>
    <t>JE-00065-02</t>
  </si>
  <si>
    <t>JE-00066</t>
  </si>
  <si>
    <t>JE-00066-01</t>
  </si>
  <si>
    <t>DOC-00066</t>
  </si>
  <si>
    <t>JE-00066-02</t>
  </si>
  <si>
    <t>JE-00067</t>
  </si>
  <si>
    <t>JE-00067-01</t>
  </si>
  <si>
    <t>INV-00067</t>
  </si>
  <si>
    <t>JE-00067-02</t>
  </si>
  <si>
    <t>JE-00068</t>
  </si>
  <si>
    <t>JE-00068-01</t>
  </si>
  <si>
    <t>DOC-00068</t>
  </si>
  <si>
    <t>JE-00068-02</t>
  </si>
  <si>
    <t>JE-00069</t>
  </si>
  <si>
    <t>JE-00069-01</t>
  </si>
  <si>
    <t>DOC-00069</t>
  </si>
  <si>
    <t>JE-00069-02</t>
  </si>
  <si>
    <t>JE-00070</t>
  </si>
  <si>
    <t>JE-00070-01</t>
  </si>
  <si>
    <t>DOC-00070</t>
  </si>
  <si>
    <t>JE-00070-02</t>
  </si>
  <si>
    <t>JE-00071</t>
  </si>
  <si>
    <t>JE-00071-01</t>
  </si>
  <si>
    <t>DOC-00071</t>
  </si>
  <si>
    <t>JE-00071-02</t>
  </si>
  <si>
    <t>JE-00072</t>
  </si>
  <si>
    <t>JE-00072-01</t>
  </si>
  <si>
    <t>DOC-00072</t>
  </si>
  <si>
    <t>JE-00072-02</t>
  </si>
  <si>
    <t>JE-00073</t>
  </si>
  <si>
    <t>JE-00073-01</t>
  </si>
  <si>
    <t>DOC-00073</t>
  </si>
  <si>
    <t>JE-00073-02</t>
  </si>
  <si>
    <t>JE-00074</t>
  </si>
  <si>
    <t>JE-00074-01</t>
  </si>
  <si>
    <t>DOC-00074</t>
  </si>
  <si>
    <t>JE-00074-02</t>
  </si>
  <si>
    <t>JE-00075</t>
  </si>
  <si>
    <t>JE-00075-01</t>
  </si>
  <si>
    <t>DOC-00075</t>
  </si>
  <si>
    <t>JE-00075-02</t>
  </si>
  <si>
    <t>JE-00076</t>
  </si>
  <si>
    <t>JE-00076-01</t>
  </si>
  <si>
    <t>DOC-00076</t>
  </si>
  <si>
    <t>JE-00076-02</t>
  </si>
  <si>
    <t>JE-00077</t>
  </si>
  <si>
    <t>JE-00077-01</t>
  </si>
  <si>
    <t>DOC-00077</t>
  </si>
  <si>
    <t>JE-00077-02</t>
  </si>
  <si>
    <t>JE-00078</t>
  </si>
  <si>
    <t>JE-00078-01</t>
  </si>
  <si>
    <t>DOC-00078</t>
  </si>
  <si>
    <t>JE-00078-02</t>
  </si>
  <si>
    <t>JE-00079</t>
  </si>
  <si>
    <t>JE-00079-01</t>
  </si>
  <si>
    <t>INV-00079</t>
  </si>
  <si>
    <t>JE-00079-02</t>
  </si>
  <si>
    <t>JE-00080</t>
  </si>
  <si>
    <t>JE-00080-01</t>
  </si>
  <si>
    <t>DOC-00080</t>
  </si>
  <si>
    <t>JE-00080-02</t>
  </si>
  <si>
    <t>JE-00081</t>
  </si>
  <si>
    <t>JE-00081-01</t>
  </si>
  <si>
    <t>DOC-00081</t>
  </si>
  <si>
    <t>JE-00081-02</t>
  </si>
  <si>
    <t>JE-00082</t>
  </si>
  <si>
    <t>JE-00082-01</t>
  </si>
  <si>
    <t>DOC-00082</t>
  </si>
  <si>
    <t>JE-00082-02</t>
  </si>
  <si>
    <t>JE-00083</t>
  </si>
  <si>
    <t>JE-00083-01</t>
  </si>
  <si>
    <t>DOC-00083</t>
  </si>
  <si>
    <t>JE-00083-02</t>
  </si>
  <si>
    <t>JE-00084</t>
  </si>
  <si>
    <t>JE-00084-01</t>
  </si>
  <si>
    <t>DOC-00084</t>
  </si>
  <si>
    <t>JE-00084-02</t>
  </si>
  <si>
    <t>JE-00085</t>
  </si>
  <si>
    <t>JE-00085-01</t>
  </si>
  <si>
    <t>DOC-00085</t>
  </si>
  <si>
    <t>JE-00085-02</t>
  </si>
  <si>
    <t>JE-00086</t>
  </si>
  <si>
    <t>JE-00086-01</t>
  </si>
  <si>
    <t>DOC-00086</t>
  </si>
  <si>
    <t>JE-00086-02</t>
  </si>
  <si>
    <t>JE-00087</t>
  </si>
  <si>
    <t>JE-00087-01</t>
  </si>
  <si>
    <t>DOC-00087</t>
  </si>
  <si>
    <t>JE-00087-02</t>
  </si>
  <si>
    <t>JE-00088</t>
  </si>
  <si>
    <t>JE-00088-01</t>
  </si>
  <si>
    <t>DOC-00088</t>
  </si>
  <si>
    <t>JE-00088-02</t>
  </si>
  <si>
    <t>JE-00089</t>
  </si>
  <si>
    <t>JE-00089-01</t>
  </si>
  <si>
    <t>DOC-00089</t>
  </si>
  <si>
    <t>JE-00089-02</t>
  </si>
  <si>
    <t>JE-00090</t>
  </si>
  <si>
    <t>JE-00090-01</t>
  </si>
  <si>
    <t>DOC-00090</t>
  </si>
  <si>
    <t>JE-00090-02</t>
  </si>
  <si>
    <t>JE-00091</t>
  </si>
  <si>
    <t>JE-00091-01</t>
  </si>
  <si>
    <t>DOC-00091</t>
  </si>
  <si>
    <t>JE-00091-02</t>
  </si>
  <si>
    <t>JE-00092</t>
  </si>
  <si>
    <t>JE-00092-01</t>
  </si>
  <si>
    <t>DOC-00092</t>
  </si>
  <si>
    <t>JE-00092-02</t>
  </si>
  <si>
    <t>JE-00093</t>
  </si>
  <si>
    <t>JE-00093-01</t>
  </si>
  <si>
    <t>DOC-00093</t>
  </si>
  <si>
    <t>JE-00093-02</t>
  </si>
  <si>
    <t>JE-00094</t>
  </si>
  <si>
    <t>JE-00094-01</t>
  </si>
  <si>
    <t>DOC-00094</t>
  </si>
  <si>
    <t>JE-00094-02</t>
  </si>
  <si>
    <t>JE-00095</t>
  </si>
  <si>
    <t>JE-00095-01</t>
  </si>
  <si>
    <t>DOC-00095</t>
  </si>
  <si>
    <t>JE-00095-02</t>
  </si>
  <si>
    <t>JE-00096</t>
  </si>
  <si>
    <t>JE-00096-01</t>
  </si>
  <si>
    <t>DOC-00096</t>
  </si>
  <si>
    <t>JE-00096-02</t>
  </si>
  <si>
    <t>JE-00097</t>
  </si>
  <si>
    <t>JE-00097-01</t>
  </si>
  <si>
    <t>DOC-00097</t>
  </si>
  <si>
    <t>JE-00097-02</t>
  </si>
  <si>
    <t>JE-00098</t>
  </si>
  <si>
    <t>JE-00098-01</t>
  </si>
  <si>
    <t>DOC-00098</t>
  </si>
  <si>
    <t>JE-00098-02</t>
  </si>
  <si>
    <t>JE-00099</t>
  </si>
  <si>
    <t>JE-00099-01</t>
  </si>
  <si>
    <t>DOC-00099</t>
  </si>
  <si>
    <t>JE-00099-02</t>
  </si>
  <si>
    <t>JE-00100</t>
  </si>
  <si>
    <t>JE-00100-01</t>
  </si>
  <si>
    <t>DOC-00100</t>
  </si>
  <si>
    <t>JE-00100-02</t>
  </si>
  <si>
    <t>JE-00101</t>
  </si>
  <si>
    <t>JE-00101-01</t>
  </si>
  <si>
    <t>DOC-00101</t>
  </si>
  <si>
    <t>JE-00101-02</t>
  </si>
  <si>
    <t>JE-00102</t>
  </si>
  <si>
    <t>JE-00102-01</t>
  </si>
  <si>
    <t>DOC-00102</t>
  </si>
  <si>
    <t>JE-00102-02</t>
  </si>
  <si>
    <t>JE-00103</t>
  </si>
  <si>
    <t>JE-00103-01</t>
  </si>
  <si>
    <t>DOC-00103</t>
  </si>
  <si>
    <t>JE-00103-02</t>
  </si>
  <si>
    <t>JE-00104</t>
  </si>
  <si>
    <t>JE-00104-01</t>
  </si>
  <si>
    <t>DOC-00104</t>
  </si>
  <si>
    <t>JE-00104-02</t>
  </si>
  <si>
    <t>JE-00105</t>
  </si>
  <si>
    <t>JE-00105-01</t>
  </si>
  <si>
    <t>DOC-00105</t>
  </si>
  <si>
    <t>JE-00105-02</t>
  </si>
  <si>
    <t>JE-00106</t>
  </si>
  <si>
    <t>JE-00106-01</t>
  </si>
  <si>
    <t>DOC-00106</t>
  </si>
  <si>
    <t>JE-00106-02</t>
  </si>
  <si>
    <t>JE-00107</t>
  </si>
  <si>
    <t>JE-00107-01</t>
  </si>
  <si>
    <t>DOC-00107</t>
  </si>
  <si>
    <t>JE-00107-02</t>
  </si>
  <si>
    <t>JE-00108</t>
  </si>
  <si>
    <t>JE-00108-01</t>
  </si>
  <si>
    <t>DOC-00108</t>
  </si>
  <si>
    <t>JE-00108-02</t>
  </si>
  <si>
    <t>JE-00109</t>
  </si>
  <si>
    <t>JE-00109-01</t>
  </si>
  <si>
    <t>DOC-00109</t>
  </si>
  <si>
    <t>JE-00109-02</t>
  </si>
  <si>
    <t>JE-00110</t>
  </si>
  <si>
    <t>JE-00110-01</t>
  </si>
  <si>
    <t>DOC-00110</t>
  </si>
  <si>
    <t>JE-00110-02</t>
  </si>
  <si>
    <t>JE-00111</t>
  </si>
  <si>
    <t>JE-00111-01</t>
  </si>
  <si>
    <t>DOC-00111</t>
  </si>
  <si>
    <t>JE-00111-02</t>
  </si>
  <si>
    <t>JE-00112</t>
  </si>
  <si>
    <t>JE-00112-01</t>
  </si>
  <si>
    <t>DOC-00112</t>
  </si>
  <si>
    <t>JE-00112-02</t>
  </si>
  <si>
    <t>JE-00113</t>
  </si>
  <si>
    <t>JE-00113-01</t>
  </si>
  <si>
    <t>DOC-00113</t>
  </si>
  <si>
    <t>JE-00113-02</t>
  </si>
  <si>
    <t>JE-00114</t>
  </si>
  <si>
    <t>JE-00114-01</t>
  </si>
  <si>
    <t>DOC-00114</t>
  </si>
  <si>
    <t>JE-00114-02</t>
  </si>
  <si>
    <t>JE-00115</t>
  </si>
  <si>
    <t>JE-00115-01</t>
  </si>
  <si>
    <t>DOC-00115</t>
  </si>
  <si>
    <t>JE-00115-02</t>
  </si>
  <si>
    <t>JE-00116</t>
  </si>
  <si>
    <t>JE-00116-01</t>
  </si>
  <si>
    <t>DOC-00116</t>
  </si>
  <si>
    <t>JE-00116-02</t>
  </si>
  <si>
    <t>JE-00117</t>
  </si>
  <si>
    <t>JE-00117-01</t>
  </si>
  <si>
    <t>DOC-00117</t>
  </si>
  <si>
    <t>JE-00117-02</t>
  </si>
  <si>
    <t>JE-00118</t>
  </si>
  <si>
    <t>JE-00118-01</t>
  </si>
  <si>
    <t>DOC-00118</t>
  </si>
  <si>
    <t>JE-00118-02</t>
  </si>
  <si>
    <t>JE-00119</t>
  </si>
  <si>
    <t>JE-00119-01</t>
  </si>
  <si>
    <t>DOC-00119</t>
  </si>
  <si>
    <t>JE-00119-02</t>
  </si>
  <si>
    <t>JE-00120</t>
  </si>
  <si>
    <t>JE-00120-01</t>
  </si>
  <si>
    <t>DOC-00120</t>
  </si>
  <si>
    <t>JE-00120-02</t>
  </si>
  <si>
    <t>JE-00121</t>
  </si>
  <si>
    <t>JE-00121-01</t>
  </si>
  <si>
    <t>DOC-00121</t>
  </si>
  <si>
    <t>JE-00121-02</t>
  </si>
  <si>
    <t>JE-00122</t>
  </si>
  <si>
    <t>JE-00122-01</t>
  </si>
  <si>
    <t>DOC-00122</t>
  </si>
  <si>
    <t>JE-00122-02</t>
  </si>
  <si>
    <t>JE-00123</t>
  </si>
  <si>
    <t>JE-00123-01</t>
  </si>
  <si>
    <t>DOC-00123</t>
  </si>
  <si>
    <t>JE-00123-02</t>
  </si>
  <si>
    <t>JE-00124</t>
  </si>
  <si>
    <t>JE-00124-01</t>
  </si>
  <si>
    <t>DOC-00124</t>
  </si>
  <si>
    <t>JE-00124-02</t>
  </si>
  <si>
    <t>JE-00125</t>
  </si>
  <si>
    <t>JE-00125-01</t>
  </si>
  <si>
    <t>INV-00125</t>
  </si>
  <si>
    <t>JE-00125-02</t>
  </si>
  <si>
    <t>JE-00126</t>
  </si>
  <si>
    <t>JE-00126-01</t>
  </si>
  <si>
    <t>DOC-00126</t>
  </si>
  <si>
    <t>JE-00126-02</t>
  </si>
  <si>
    <t>JE-00127</t>
  </si>
  <si>
    <t>JE-00127-01</t>
  </si>
  <si>
    <t>DOC-00127</t>
  </si>
  <si>
    <t>JE-00127-02</t>
  </si>
  <si>
    <t>JE-00128</t>
  </si>
  <si>
    <t>JE-00128-01</t>
  </si>
  <si>
    <t>DOC-00128</t>
  </si>
  <si>
    <t>JE-00128-02</t>
  </si>
  <si>
    <t>JE-00129</t>
  </si>
  <si>
    <t>JE-00129-01</t>
  </si>
  <si>
    <t>DOC-00129</t>
  </si>
  <si>
    <t>JE-00129-02</t>
  </si>
  <si>
    <t>JE-00130</t>
  </si>
  <si>
    <t>JE-00130-01</t>
  </si>
  <si>
    <t>DOC-00130</t>
  </si>
  <si>
    <t>JE-00130-02</t>
  </si>
  <si>
    <t>JE-00131</t>
  </si>
  <si>
    <t>JE-00131-01</t>
  </si>
  <si>
    <t>INV-00131</t>
  </si>
  <si>
    <t>V008</t>
  </si>
  <si>
    <t>JE-00131-02</t>
  </si>
  <si>
    <t>JE-00132</t>
  </si>
  <si>
    <t>JE-00132-01</t>
  </si>
  <si>
    <t>INV-00132</t>
  </si>
  <si>
    <t>JE-00132-02</t>
  </si>
  <si>
    <t>JE-00133</t>
  </si>
  <si>
    <t>JE-00133-01</t>
  </si>
  <si>
    <t>DOC-00133</t>
  </si>
  <si>
    <t>JE-00133-02</t>
  </si>
  <si>
    <t>JE-00134</t>
  </si>
  <si>
    <t>JE-00134-01</t>
  </si>
  <si>
    <t>DOC-00134</t>
  </si>
  <si>
    <t>JE-00134-02</t>
  </si>
  <si>
    <t>JE-00135</t>
  </si>
  <si>
    <t>JE-00135-01</t>
  </si>
  <si>
    <t>DOC-00135</t>
  </si>
  <si>
    <t>JE-00135-02</t>
  </si>
  <si>
    <t>JE-00136</t>
  </si>
  <si>
    <t>JE-00136-01</t>
  </si>
  <si>
    <t>DOC-00136</t>
  </si>
  <si>
    <t>JE-00136-02</t>
  </si>
  <si>
    <t>JE-00137</t>
  </si>
  <si>
    <t>JE-00137-01</t>
  </si>
  <si>
    <t>DOC-00137</t>
  </si>
  <si>
    <t>JE-00137-02</t>
  </si>
  <si>
    <t>JE-00138</t>
  </si>
  <si>
    <t>JE-00138-01</t>
  </si>
  <si>
    <t>INV-00138</t>
  </si>
  <si>
    <t>JE-00138-02</t>
  </si>
  <si>
    <t>JE-00139</t>
  </si>
  <si>
    <t>JE-00139-01</t>
  </si>
  <si>
    <t>DOC-00139</t>
  </si>
  <si>
    <t>JE-00139-02</t>
  </si>
  <si>
    <t>JE-00140</t>
  </si>
  <si>
    <t>JE-00140-01</t>
  </si>
  <si>
    <t>DOC-00140</t>
  </si>
  <si>
    <t>JE-00140-02</t>
  </si>
  <si>
    <t>JE-00141</t>
  </si>
  <si>
    <t>JE-00141-01</t>
  </si>
  <si>
    <t>DOC-00141</t>
  </si>
  <si>
    <t>JE-00141-02</t>
  </si>
  <si>
    <t>JE-00142</t>
  </si>
  <si>
    <t>JE-00142-01</t>
  </si>
  <si>
    <t>DOC-00142</t>
  </si>
  <si>
    <t>JE-00142-02</t>
  </si>
  <si>
    <t>JE-00143</t>
  </si>
  <si>
    <t>JE-00143-01</t>
  </si>
  <si>
    <t>DOC-00143</t>
  </si>
  <si>
    <t>JE-00143-02</t>
  </si>
  <si>
    <t>JE-00144</t>
  </si>
  <si>
    <t>JE-00144-01</t>
  </si>
  <si>
    <t>DOC-00144</t>
  </si>
  <si>
    <t>JE-00144-02</t>
  </si>
  <si>
    <t>JE-00145</t>
  </si>
  <si>
    <t>JE-00145-01</t>
  </si>
  <si>
    <t>DOC-00145</t>
  </si>
  <si>
    <t>JE-00145-02</t>
  </si>
  <si>
    <t>JE-00146</t>
  </si>
  <si>
    <t>JE-00146-01</t>
  </si>
  <si>
    <t>DOC-00146</t>
  </si>
  <si>
    <t>JE-00146-02</t>
  </si>
  <si>
    <t>JE-00147</t>
  </si>
  <si>
    <t>JE-00147-01</t>
  </si>
  <si>
    <t>DOC-00147</t>
  </si>
  <si>
    <t>JE-00147-02</t>
  </si>
  <si>
    <t>JE-00148</t>
  </si>
  <si>
    <t>JE-00148-01</t>
  </si>
  <si>
    <t>DOC-00148</t>
  </si>
  <si>
    <t>JE-00148-02</t>
  </si>
  <si>
    <t>JE-00149</t>
  </si>
  <si>
    <t>JE-00149-01</t>
  </si>
  <si>
    <t>DOC-00149</t>
  </si>
  <si>
    <t>JE-00149-02</t>
  </si>
  <si>
    <t>JE-00150</t>
  </si>
  <si>
    <t>JE-00150-01</t>
  </si>
  <si>
    <t>INV-00150</t>
  </si>
  <si>
    <t>V009</t>
  </si>
  <si>
    <t>JE-00150-02</t>
  </si>
  <si>
    <t>JE-00151</t>
  </si>
  <si>
    <t>JE-00151-01</t>
  </si>
  <si>
    <t>INV-00151</t>
  </si>
  <si>
    <t>JE-00151-02</t>
  </si>
  <si>
    <t>JE-00152</t>
  </si>
  <si>
    <t>JE-00152-01</t>
  </si>
  <si>
    <t>INV-00152</t>
  </si>
  <si>
    <t>JE-00152-02</t>
  </si>
  <si>
    <t>JE-00153</t>
  </si>
  <si>
    <t>JE-00153-01</t>
  </si>
  <si>
    <t>DOC-00153</t>
  </si>
  <si>
    <t>JE-00153-02</t>
  </si>
  <si>
    <t>JE-00154</t>
  </si>
  <si>
    <t>JE-00154-01</t>
  </si>
  <si>
    <t>DOC-00154</t>
  </si>
  <si>
    <t>JE-00154-02</t>
  </si>
  <si>
    <t>JE-00155</t>
  </si>
  <si>
    <t>JE-00155-01</t>
  </si>
  <si>
    <t>DOC-00155</t>
  </si>
  <si>
    <t>JE-00155-02</t>
  </si>
  <si>
    <t>JE-00156</t>
  </si>
  <si>
    <t>JE-00156-01</t>
  </si>
  <si>
    <t>DOC-00156</t>
  </si>
  <si>
    <t>JE-00156-02</t>
  </si>
  <si>
    <t>JE-00157</t>
  </si>
  <si>
    <t>JE-00157-01</t>
  </si>
  <si>
    <t>DOC-00157</t>
  </si>
  <si>
    <t>JE-00157-02</t>
  </si>
  <si>
    <t>JE-00158</t>
  </si>
  <si>
    <t>JE-00158-01</t>
  </si>
  <si>
    <t>DOC-00158</t>
  </si>
  <si>
    <t>JE-00158-02</t>
  </si>
  <si>
    <t>JE-00159</t>
  </si>
  <si>
    <t>JE-00159-01</t>
  </si>
  <si>
    <t>DOC-00159</t>
  </si>
  <si>
    <t>JE-00159-02</t>
  </si>
  <si>
    <t>JE-00160</t>
  </si>
  <si>
    <t>JE-00160-01</t>
  </si>
  <si>
    <t>DOC-00160</t>
  </si>
  <si>
    <t>JE-00160-02</t>
  </si>
  <si>
    <t>JE-00161</t>
  </si>
  <si>
    <t>JE-00161-01</t>
  </si>
  <si>
    <t>DOC-00161</t>
  </si>
  <si>
    <t>JE-00161-02</t>
  </si>
  <si>
    <t>JE-00162</t>
  </si>
  <si>
    <t>JE-00162-01</t>
  </si>
  <si>
    <t>DOC-00162</t>
  </si>
  <si>
    <t>JE-00162-02</t>
  </si>
  <si>
    <t>JE-00163</t>
  </si>
  <si>
    <t>JE-00163-01</t>
  </si>
  <si>
    <t>DOC-00163</t>
  </si>
  <si>
    <t>JE-00163-02</t>
  </si>
  <si>
    <t>JE-00164</t>
  </si>
  <si>
    <t>JE-00164-01</t>
  </si>
  <si>
    <t>DOC-00164</t>
  </si>
  <si>
    <t>JE-00164-02</t>
  </si>
  <si>
    <t>JE-00165</t>
  </si>
  <si>
    <t>JE-00165-01</t>
  </si>
  <si>
    <t>DOC-00165</t>
  </si>
  <si>
    <t>JE-00165-02</t>
  </si>
  <si>
    <t>JE-00166</t>
  </si>
  <si>
    <t>JE-00166-01</t>
  </si>
  <si>
    <t>DOC-00166</t>
  </si>
  <si>
    <t>JE-00166-02</t>
  </si>
  <si>
    <t>JE-00167</t>
  </si>
  <si>
    <t>JE-00167-01</t>
  </si>
  <si>
    <t>DOC-00167</t>
  </si>
  <si>
    <t>JE-00167-02</t>
  </si>
  <si>
    <t>JE-00168</t>
  </si>
  <si>
    <t>JE-00168-01</t>
  </si>
  <si>
    <t>DOC-00168</t>
  </si>
  <si>
    <t>JE-00168-02</t>
  </si>
  <si>
    <t>JE-00169</t>
  </si>
  <si>
    <t>JE-00169-01</t>
  </si>
  <si>
    <t>INV-00169</t>
  </si>
  <si>
    <t>JE-00169-02</t>
  </si>
  <si>
    <t>JE-00170</t>
  </si>
  <si>
    <t>JE-00170-01</t>
  </si>
  <si>
    <t>DOC-00170</t>
  </si>
  <si>
    <t>JE-00170-02</t>
  </si>
  <si>
    <t>JE-00171</t>
  </si>
  <si>
    <t>JE-00171-01</t>
  </si>
  <si>
    <t>DOC-00171</t>
  </si>
  <si>
    <t>JE-00171-02</t>
  </si>
  <si>
    <t>JE-00172</t>
  </si>
  <si>
    <t>JE-00172-01</t>
  </si>
  <si>
    <t>INV-00172</t>
  </si>
  <si>
    <t>JE-00172-02</t>
  </si>
  <si>
    <t>JE-00173</t>
  </si>
  <si>
    <t>JE-00173-01</t>
  </si>
  <si>
    <t>DOC-00173</t>
  </si>
  <si>
    <t>JE-00173-02</t>
  </si>
  <si>
    <t>JE-00174</t>
  </si>
  <si>
    <t>JE-00174-01</t>
  </si>
  <si>
    <t>DOC-00174</t>
  </si>
  <si>
    <t>JE-00174-02</t>
  </si>
  <si>
    <t>JE-00175</t>
  </si>
  <si>
    <t>JE-00175-01</t>
  </si>
  <si>
    <t>DOC-00175</t>
  </si>
  <si>
    <t>JE-00175-02</t>
  </si>
  <si>
    <t>JE-00176</t>
  </si>
  <si>
    <t>JE-00176-01</t>
  </si>
  <si>
    <t>INV-00176</t>
  </si>
  <si>
    <t>V007</t>
  </si>
  <si>
    <t>JE-00176-02</t>
  </si>
  <si>
    <t>JE-00177</t>
  </si>
  <si>
    <t>JE-00177-01</t>
  </si>
  <si>
    <t>INV-00177</t>
  </si>
  <si>
    <t>JE-00177-02</t>
  </si>
  <si>
    <t>JE-00178</t>
  </si>
  <si>
    <t>JE-00178-01</t>
  </si>
  <si>
    <t>DOC-00178</t>
  </si>
  <si>
    <t>JE-00178-02</t>
  </si>
  <si>
    <t>JE-00179</t>
  </si>
  <si>
    <t>JE-00179-01</t>
  </si>
  <si>
    <t>INV-00179</t>
  </si>
  <si>
    <t>JE-00179-02</t>
  </si>
  <si>
    <t>JE-00180</t>
  </si>
  <si>
    <t>JE-00180-01</t>
  </si>
  <si>
    <t>DOC-00180</t>
  </si>
  <si>
    <t>JE-00180-02</t>
  </si>
  <si>
    <t>JE-00181</t>
  </si>
  <si>
    <t>JE-00181-01</t>
  </si>
  <si>
    <t>INV-00181</t>
  </si>
  <si>
    <t>JE-00181-02</t>
  </si>
  <si>
    <t>JE-00182</t>
  </si>
  <si>
    <t>JE-00182-01</t>
  </si>
  <si>
    <t>DOC-00182</t>
  </si>
  <si>
    <t>JE-00182-02</t>
  </si>
  <si>
    <t>JE-00183</t>
  </si>
  <si>
    <t>JE-00183-01</t>
  </si>
  <si>
    <t>DOC-00183</t>
  </si>
  <si>
    <t>JE-00183-02</t>
  </si>
  <si>
    <t>JE-00184</t>
  </si>
  <si>
    <t>JE-00184-01</t>
  </si>
  <si>
    <t>DOC-00184</t>
  </si>
  <si>
    <t>JE-00184-02</t>
  </si>
  <si>
    <t>JE-00185</t>
  </si>
  <si>
    <t>JE-00185-01</t>
  </si>
  <si>
    <t>DOC-00185</t>
  </si>
  <si>
    <t>JE-00185-02</t>
  </si>
  <si>
    <t>JE-00186</t>
  </si>
  <si>
    <t>JE-00186-01</t>
  </si>
  <si>
    <t>DOC-00186</t>
  </si>
  <si>
    <t>JE-00186-02</t>
  </si>
  <si>
    <t>JE-00187</t>
  </si>
  <si>
    <t>JE-00187-01</t>
  </si>
  <si>
    <t>DOC-00187</t>
  </si>
  <si>
    <t>JE-00187-02</t>
  </si>
  <si>
    <t>JE-00188</t>
  </si>
  <si>
    <t>JE-00188-01</t>
  </si>
  <si>
    <t>DOC-00188</t>
  </si>
  <si>
    <t>JE-00188-02</t>
  </si>
  <si>
    <t>JE-00189</t>
  </si>
  <si>
    <t>JE-00189-01</t>
  </si>
  <si>
    <t>DOC-00189</t>
  </si>
  <si>
    <t>JE-00189-02</t>
  </si>
  <si>
    <t>JE-00190</t>
  </si>
  <si>
    <t>JE-00190-01</t>
  </si>
  <si>
    <t>DOC-00190</t>
  </si>
  <si>
    <t>JE-00190-02</t>
  </si>
  <si>
    <t>JE-00191</t>
  </si>
  <si>
    <t>JE-00191-01</t>
  </si>
  <si>
    <t>DOC-00191</t>
  </si>
  <si>
    <t>JE-00191-02</t>
  </si>
  <si>
    <t>JE-00192</t>
  </si>
  <si>
    <t>JE-00192-01</t>
  </si>
  <si>
    <t>DOC-00192</t>
  </si>
  <si>
    <t>JE-00192-02</t>
  </si>
  <si>
    <t>JE-00193</t>
  </si>
  <si>
    <t>JE-00193-01</t>
  </si>
  <si>
    <t>DOC-00193</t>
  </si>
  <si>
    <t>JE-00193-02</t>
  </si>
  <si>
    <t>JE-00194</t>
  </si>
  <si>
    <t>JE-00194-01</t>
  </si>
  <si>
    <t>INV-00194</t>
  </si>
  <si>
    <t>JE-00194-02</t>
  </si>
  <si>
    <t>JE-00195</t>
  </si>
  <si>
    <t>JE-00195-01</t>
  </si>
  <si>
    <t>INV-00195</t>
  </si>
  <si>
    <t>JE-00195-02</t>
  </si>
  <si>
    <t>JE-00196</t>
  </si>
  <si>
    <t>JE-00196-01</t>
  </si>
  <si>
    <t>DOC-00196</t>
  </si>
  <si>
    <t>JE-00196-02</t>
  </si>
  <si>
    <t>JE-00197</t>
  </si>
  <si>
    <t>JE-00197-01</t>
  </si>
  <si>
    <t>DOC-00197</t>
  </si>
  <si>
    <t>JE-00197-02</t>
  </si>
  <si>
    <t>JE-00198</t>
  </si>
  <si>
    <t>JE-00198-01</t>
  </si>
  <si>
    <t>INV-00198</t>
  </si>
  <si>
    <t>JE-00198-02</t>
  </si>
  <si>
    <t>JE-00199</t>
  </si>
  <si>
    <t>JE-00199-01</t>
  </si>
  <si>
    <t>DOC-00199</t>
  </si>
  <si>
    <t>JE-00199-02</t>
  </si>
  <si>
    <t>JE-00200</t>
  </si>
  <si>
    <t>JE-00200-01</t>
  </si>
  <si>
    <t>DOC-00200</t>
  </si>
  <si>
    <t>JE-00200-02</t>
  </si>
  <si>
    <t>JE-00201</t>
  </si>
  <si>
    <t>JE-00201-01</t>
  </si>
  <si>
    <t>DOC-00201</t>
  </si>
  <si>
    <t>JE-00201-02</t>
  </si>
  <si>
    <t>JE-00202</t>
  </si>
  <si>
    <t>JE-00202-01</t>
  </si>
  <si>
    <t>DOC-00202</t>
  </si>
  <si>
    <t>JE-00202-02</t>
  </si>
  <si>
    <t>JE-00203</t>
  </si>
  <si>
    <t>JE-00203-01</t>
  </si>
  <si>
    <t>INV-00203</t>
  </si>
  <si>
    <t>JE-00203-02</t>
  </si>
  <si>
    <t>JE-00204</t>
  </si>
  <si>
    <t>JE-00204-01</t>
  </si>
  <si>
    <t>DOC-00204</t>
  </si>
  <si>
    <t>JE-00204-02</t>
  </si>
  <si>
    <t>JE-00205</t>
  </si>
  <si>
    <t>JE-00205-01</t>
  </si>
  <si>
    <t>INV-00205</t>
  </si>
  <si>
    <t>JE-00205-02</t>
  </si>
  <si>
    <t>JE-00206</t>
  </si>
  <si>
    <t>JE-00206-01</t>
  </si>
  <si>
    <t>DOC-00206</t>
  </si>
  <si>
    <t>JE-00206-02</t>
  </si>
  <si>
    <t>JE-00207</t>
  </si>
  <si>
    <t>JE-00207-01</t>
  </si>
  <si>
    <t>DOC-00207</t>
  </si>
  <si>
    <t>JE-00207-02</t>
  </si>
  <si>
    <t>JE-00208</t>
  </si>
  <si>
    <t>JE-00208-01</t>
  </si>
  <si>
    <t>INV-00208</t>
  </si>
  <si>
    <t>JE-00208-02</t>
  </si>
  <si>
    <t>JE-00209</t>
  </si>
  <si>
    <t>JE-00209-01</t>
  </si>
  <si>
    <t>DOC-00209</t>
  </si>
  <si>
    <t>JE-00209-02</t>
  </si>
  <si>
    <t>JE-00210</t>
  </si>
  <si>
    <t>JE-00210-01</t>
  </si>
  <si>
    <t>DOC-00210</t>
  </si>
  <si>
    <t>JE-00210-02</t>
  </si>
  <si>
    <t>JE-00211</t>
  </si>
  <si>
    <t>JE-00211-01</t>
  </si>
  <si>
    <t>INV-00211</t>
  </si>
  <si>
    <t>JE-00211-02</t>
  </si>
  <si>
    <t>JE-00212</t>
  </si>
  <si>
    <t>JE-00212-01</t>
  </si>
  <si>
    <t>DOC-00212</t>
  </si>
  <si>
    <t>JE-00212-02</t>
  </si>
  <si>
    <t>JE-00213</t>
  </si>
  <si>
    <t>JE-00213-01</t>
  </si>
  <si>
    <t>DOC-00213</t>
  </si>
  <si>
    <t>JE-00213-02</t>
  </si>
  <si>
    <t>JE-00214</t>
  </si>
  <si>
    <t>JE-00214-01</t>
  </si>
  <si>
    <t>DOC-00214</t>
  </si>
  <si>
    <t>JE-00214-02</t>
  </si>
  <si>
    <t>JE-00215</t>
  </si>
  <si>
    <t>JE-00215-01</t>
  </si>
  <si>
    <t>DOC-00215</t>
  </si>
  <si>
    <t>JE-00215-02</t>
  </si>
  <si>
    <t>JE-00216</t>
  </si>
  <si>
    <t>JE-00216-01</t>
  </si>
  <si>
    <t>DOC-00216</t>
  </si>
  <si>
    <t>JE-00216-02</t>
  </si>
  <si>
    <t>JE-00217</t>
  </si>
  <si>
    <t>JE-00217-01</t>
  </si>
  <si>
    <t>DOC-00217</t>
  </si>
  <si>
    <t>JE-00217-02</t>
  </si>
  <si>
    <t>JE-00218</t>
  </si>
  <si>
    <t>JE-00218-01</t>
  </si>
  <si>
    <t>DOC-00218</t>
  </si>
  <si>
    <t>JE-00218-02</t>
  </si>
  <si>
    <t>JE-00219</t>
  </si>
  <si>
    <t>JE-00219-01</t>
  </si>
  <si>
    <t>DOC-00219</t>
  </si>
  <si>
    <t>JE-00219-02</t>
  </si>
  <si>
    <t>JE-00220</t>
  </si>
  <si>
    <t>JE-00220-01</t>
  </si>
  <si>
    <t>DOC-00220</t>
  </si>
  <si>
    <t>JE-00220-02</t>
  </si>
  <si>
    <t>JE-00221</t>
  </si>
  <si>
    <t>JE-00221-01</t>
  </si>
  <si>
    <t>INV-00221</t>
  </si>
  <si>
    <t>JE-00221-02</t>
  </si>
  <si>
    <t>JE-00222</t>
  </si>
  <si>
    <t>JE-00222-01</t>
  </si>
  <si>
    <t>DOC-00222</t>
  </si>
  <si>
    <t>JE-00222-02</t>
  </si>
  <si>
    <t>JE-00223</t>
  </si>
  <si>
    <t>JE-00223-01</t>
  </si>
  <si>
    <t>DOC-00223</t>
  </si>
  <si>
    <t>JE-00223-02</t>
  </si>
  <si>
    <t>JE-00224</t>
  </si>
  <si>
    <t>JE-00224-01</t>
  </si>
  <si>
    <t>DOC-00224</t>
  </si>
  <si>
    <t>JE-00224-02</t>
  </si>
  <si>
    <t>JE-00225</t>
  </si>
  <si>
    <t>JE-00225-01</t>
  </si>
  <si>
    <t>DOC-00225</t>
  </si>
  <si>
    <t>JE-00225-02</t>
  </si>
  <si>
    <t>JE-00226</t>
  </si>
  <si>
    <t>JE-00226-01</t>
  </si>
  <si>
    <t>INV-00226</t>
  </si>
  <si>
    <t>JE-00226-02</t>
  </si>
  <si>
    <t>JE-00227</t>
  </si>
  <si>
    <t>JE-00227-01</t>
  </si>
  <si>
    <t>DOC-00227</t>
  </si>
  <si>
    <t>JE-00227-02</t>
  </si>
  <si>
    <t>JE-00228</t>
  </si>
  <si>
    <t>JE-00228-01</t>
  </si>
  <si>
    <t>INV-00228</t>
  </si>
  <si>
    <t>JE-00228-02</t>
  </si>
  <si>
    <t>JE-00229</t>
  </si>
  <si>
    <t>JE-00229-01</t>
  </si>
  <si>
    <t>INV-00229</t>
  </si>
  <si>
    <t>JE-00229-02</t>
  </si>
  <si>
    <t>JE-00230</t>
  </si>
  <si>
    <t>JE-00230-01</t>
  </si>
  <si>
    <t>DOC-00230</t>
  </si>
  <si>
    <t>JE-00230-02</t>
  </si>
  <si>
    <t>JE-00231</t>
  </si>
  <si>
    <t>JE-00231-01</t>
  </si>
  <si>
    <t>DOC-00231</t>
  </si>
  <si>
    <t>JE-00231-02</t>
  </si>
  <si>
    <t>JE-00232</t>
  </si>
  <si>
    <t>JE-00232-01</t>
  </si>
  <si>
    <t>DOC-00232</t>
  </si>
  <si>
    <t>JE-00232-02</t>
  </si>
  <si>
    <t>JE-00233</t>
  </si>
  <si>
    <t>JE-00233-01</t>
  </si>
  <si>
    <t>DOC-00233</t>
  </si>
  <si>
    <t>JE-00233-02</t>
  </si>
  <si>
    <t>JE-00234</t>
  </si>
  <si>
    <t>JE-00234-01</t>
  </si>
  <si>
    <t>DOC-00234</t>
  </si>
  <si>
    <t>JE-00234-02</t>
  </si>
  <si>
    <t>JE-00235</t>
  </si>
  <si>
    <t>JE-00235-01</t>
  </si>
  <si>
    <t>DOC-00235</t>
  </si>
  <si>
    <t>JE-00235-02</t>
  </si>
  <si>
    <t>JE-00236</t>
  </si>
  <si>
    <t>JE-00236-01</t>
  </si>
  <si>
    <t>DOC-00236</t>
  </si>
  <si>
    <t>JE-00236-02</t>
  </si>
  <si>
    <t>JE-00237</t>
  </si>
  <si>
    <t>JE-00237-01</t>
  </si>
  <si>
    <t>DOC-00237</t>
  </si>
  <si>
    <t>JE-00237-02</t>
  </si>
  <si>
    <t>JE-00238</t>
  </si>
  <si>
    <t>JE-00238-01</t>
  </si>
  <si>
    <t>DOC-00238</t>
  </si>
  <si>
    <t>JE-00238-02</t>
  </si>
  <si>
    <t>JE-00239</t>
  </si>
  <si>
    <t>JE-00239-01</t>
  </si>
  <si>
    <t>DOC-00239</t>
  </si>
  <si>
    <t>JE-00239-02</t>
  </si>
  <si>
    <t>JE-00240</t>
  </si>
  <si>
    <t>JE-00240-01</t>
  </si>
  <si>
    <t>DOC-00240</t>
  </si>
  <si>
    <t>JE-00240-02</t>
  </si>
  <si>
    <t>JE-00241</t>
  </si>
  <si>
    <t>JE-00241-01</t>
  </si>
  <si>
    <t>DOC-00241</t>
  </si>
  <si>
    <t>JE-00241-02</t>
  </si>
  <si>
    <t>JE-00242</t>
  </si>
  <si>
    <t>JE-00242-01</t>
  </si>
  <si>
    <t>INV-00242</t>
  </si>
  <si>
    <t>JE-00242-02</t>
  </si>
  <si>
    <t>JE-00243</t>
  </si>
  <si>
    <t>JE-00243-01</t>
  </si>
  <si>
    <t>DOC-00243</t>
  </si>
  <si>
    <t>JE-00243-02</t>
  </si>
  <si>
    <t>JE-00244</t>
  </si>
  <si>
    <t>JE-00244-01</t>
  </si>
  <si>
    <t>DOC-00244</t>
  </si>
  <si>
    <t>JE-00244-02</t>
  </si>
  <si>
    <t>JE-00245</t>
  </si>
  <si>
    <t>JE-00245-01</t>
  </si>
  <si>
    <t>DOC-00245</t>
  </si>
  <si>
    <t>JE-00245-02</t>
  </si>
  <si>
    <t>JE-00246</t>
  </si>
  <si>
    <t>JE-00246-01</t>
  </si>
  <si>
    <t>INV-00246</t>
  </si>
  <si>
    <t>JE-00246-02</t>
  </si>
  <si>
    <t>JE-00247</t>
  </si>
  <si>
    <t>JE-00247-01</t>
  </si>
  <si>
    <t>INV-00247</t>
  </si>
  <si>
    <t>JE-00247-02</t>
  </si>
  <si>
    <t>JE-00248</t>
  </si>
  <si>
    <t>JE-00248-01</t>
  </si>
  <si>
    <t>DOC-00248</t>
  </si>
  <si>
    <t>JE-00248-02</t>
  </si>
  <si>
    <t>JE-00249</t>
  </si>
  <si>
    <t>JE-00249-01</t>
  </si>
  <si>
    <t>INV-00249</t>
  </si>
  <si>
    <t>JE-00249-02</t>
  </si>
  <si>
    <t>JE-00250</t>
  </si>
  <si>
    <t>JE-00250-01</t>
  </si>
  <si>
    <t>DOC-00250</t>
  </si>
  <si>
    <t>JE-00250-02</t>
  </si>
  <si>
    <t>JE-00251</t>
  </si>
  <si>
    <t>JE-00251-01</t>
  </si>
  <si>
    <t>DOC-00251</t>
  </si>
  <si>
    <t>JE-00251-02</t>
  </si>
  <si>
    <t>JE-00252</t>
  </si>
  <si>
    <t>JE-00252-01</t>
  </si>
  <si>
    <t>DOC-00252</t>
  </si>
  <si>
    <t>JE-00252-02</t>
  </si>
  <si>
    <t>JE-00253</t>
  </si>
  <si>
    <t>JE-00253-01</t>
  </si>
  <si>
    <t>DOC-00253</t>
  </si>
  <si>
    <t>JE-00253-02</t>
  </si>
  <si>
    <t>JE-00254</t>
  </si>
  <si>
    <t>JE-00254-01</t>
  </si>
  <si>
    <t>DOC-00254</t>
  </si>
  <si>
    <t>JE-00254-02</t>
  </si>
  <si>
    <t>JE-00255</t>
  </si>
  <si>
    <t>JE-00255-01</t>
  </si>
  <si>
    <t>DOC-00255</t>
  </si>
  <si>
    <t>JE-00255-02</t>
  </si>
  <si>
    <t>JE-00256</t>
  </si>
  <si>
    <t>JE-00256-01</t>
  </si>
  <si>
    <t>DOC-00256</t>
  </si>
  <si>
    <t>JE-00256-02</t>
  </si>
  <si>
    <t>JE-00257</t>
  </si>
  <si>
    <t>JE-00257-01</t>
  </si>
  <si>
    <t>DOC-00257</t>
  </si>
  <si>
    <t>JE-00257-02</t>
  </si>
  <si>
    <t>JE-00258</t>
  </si>
  <si>
    <t>JE-00258-01</t>
  </si>
  <si>
    <t>DOC-00258</t>
  </si>
  <si>
    <t>JE-00258-02</t>
  </si>
  <si>
    <t>JE-00259</t>
  </si>
  <si>
    <t>JE-00259-01</t>
  </si>
  <si>
    <t>INV-00259</t>
  </si>
  <si>
    <t>JE-00259-02</t>
  </si>
  <si>
    <t>JE-00260</t>
  </si>
  <si>
    <t>JE-00260-01</t>
  </si>
  <si>
    <t>DOC-00260</t>
  </si>
  <si>
    <t>JE-00260-02</t>
  </si>
  <si>
    <t>JE-00261</t>
  </si>
  <si>
    <t>JE-00261-01</t>
  </si>
  <si>
    <t>DOC-00261</t>
  </si>
  <si>
    <t>JE-00261-02</t>
  </si>
  <si>
    <t>JE-00262</t>
  </si>
  <si>
    <t>JE-00262-01</t>
  </si>
  <si>
    <t>INV-00262</t>
  </si>
  <si>
    <t>JE-00262-02</t>
  </si>
  <si>
    <t>JE-00263</t>
  </si>
  <si>
    <t>JE-00263-01</t>
  </si>
  <si>
    <t>DOC-00263</t>
  </si>
  <si>
    <t>JE-00263-02</t>
  </si>
  <si>
    <t>JE-00264</t>
  </si>
  <si>
    <t>JE-00264-01</t>
  </si>
  <si>
    <t>DOC-00264</t>
  </si>
  <si>
    <t>JE-00264-02</t>
  </si>
  <si>
    <t>JE-00265</t>
  </si>
  <si>
    <t>JE-00265-01</t>
  </si>
  <si>
    <t>DOC-00265</t>
  </si>
  <si>
    <t>JE-00265-02</t>
  </si>
  <si>
    <t>JE-00266</t>
  </si>
  <si>
    <t>JE-00266-01</t>
  </si>
  <si>
    <t>DOC-00266</t>
  </si>
  <si>
    <t>JE-00266-02</t>
  </si>
  <si>
    <t>JE-00267</t>
  </si>
  <si>
    <t>JE-00267-01</t>
  </si>
  <si>
    <t>DOC-00267</t>
  </si>
  <si>
    <t>JE-00267-02</t>
  </si>
  <si>
    <t>JE-00268</t>
  </si>
  <si>
    <t>JE-00268-01</t>
  </si>
  <si>
    <t>DOC-00268</t>
  </si>
  <si>
    <t>JE-00268-02</t>
  </si>
  <si>
    <t>JE-00269</t>
  </si>
  <si>
    <t>JE-00269-01</t>
  </si>
  <si>
    <t>DOC-00269</t>
  </si>
  <si>
    <t>JE-00269-02</t>
  </si>
  <si>
    <t>JE-00270</t>
  </si>
  <si>
    <t>JE-00270-01</t>
  </si>
  <si>
    <t>INV-00270</t>
  </si>
  <si>
    <t>JE-00270-02</t>
  </si>
  <si>
    <t>JE-00271</t>
  </si>
  <si>
    <t>JE-00271-01</t>
  </si>
  <si>
    <t>DOC-00271</t>
  </si>
  <si>
    <t>JE-00271-02</t>
  </si>
  <si>
    <t>JE-00272</t>
  </si>
  <si>
    <t>JE-00272-01</t>
  </si>
  <si>
    <t>INV-00272</t>
  </si>
  <si>
    <t>JE-00272-02</t>
  </si>
  <si>
    <t>JE-00273</t>
  </si>
  <si>
    <t>JE-00273-01</t>
  </si>
  <si>
    <t>DOC-00273</t>
  </si>
  <si>
    <t>JE-00273-02</t>
  </si>
  <si>
    <t>JE-00274</t>
  </si>
  <si>
    <t>JE-00274-01</t>
  </si>
  <si>
    <t>DOC-00274</t>
  </si>
  <si>
    <t>JE-00274-02</t>
  </si>
  <si>
    <t>JE-00275</t>
  </si>
  <si>
    <t>JE-00275-01</t>
  </si>
  <si>
    <t>DOC-00275</t>
  </si>
  <si>
    <t>JE-00275-02</t>
  </si>
  <si>
    <t>JE-00276</t>
  </si>
  <si>
    <t>JE-00276-01</t>
  </si>
  <si>
    <t>INV-00276</t>
  </si>
  <si>
    <t>JE-00276-02</t>
  </si>
  <si>
    <t>JE-00277</t>
  </si>
  <si>
    <t>JE-00277-01</t>
  </si>
  <si>
    <t>INV-00277</t>
  </si>
  <si>
    <t>JE-00277-02</t>
  </si>
  <si>
    <t>JE-00278</t>
  </si>
  <si>
    <t>JE-00278-01</t>
  </si>
  <si>
    <t>DOC-00278</t>
  </si>
  <si>
    <t>JE-00278-02</t>
  </si>
  <si>
    <t>JE-00279</t>
  </si>
  <si>
    <t>JE-00279-01</t>
  </si>
  <si>
    <t>DOC-00279</t>
  </si>
  <si>
    <t>JE-00279-02</t>
  </si>
  <si>
    <t>JE-00280</t>
  </si>
  <si>
    <t>JE-00280-01</t>
  </si>
  <si>
    <t>DOC-00280</t>
  </si>
  <si>
    <t>JE-00280-02</t>
  </si>
  <si>
    <t>JE-00281</t>
  </si>
  <si>
    <t>JE-00281-01</t>
  </si>
  <si>
    <t>INV-00281</t>
  </si>
  <si>
    <t>JE-00281-02</t>
  </si>
  <si>
    <t>JE-00282</t>
  </si>
  <si>
    <t>JE-00282-01</t>
  </si>
  <si>
    <t>DOC-00282</t>
  </si>
  <si>
    <t>JE-00282-02</t>
  </si>
  <si>
    <t>JE-00283</t>
  </si>
  <si>
    <t>JE-00283-01</t>
  </si>
  <si>
    <t>INV-00283</t>
  </si>
  <si>
    <t>JE-00283-02</t>
  </si>
  <si>
    <t>JE-00284</t>
  </si>
  <si>
    <t>JE-00284-01</t>
  </si>
  <si>
    <t>DOC-00284</t>
  </si>
  <si>
    <t>JE-00284-02</t>
  </si>
  <si>
    <t>JE-00285</t>
  </si>
  <si>
    <t>JE-00285-01</t>
  </si>
  <si>
    <t>INV-00285</t>
  </si>
  <si>
    <t>JE-00285-02</t>
  </si>
  <si>
    <t>JE-00286</t>
  </si>
  <si>
    <t>JE-00286-01</t>
  </si>
  <si>
    <t>DOC-00286</t>
  </si>
  <si>
    <t>JE-00286-02</t>
  </si>
  <si>
    <t>JE-00287</t>
  </si>
  <si>
    <t>JE-00287-01</t>
  </si>
  <si>
    <t>INV-00287</t>
  </si>
  <si>
    <t>JE-00287-02</t>
  </si>
  <si>
    <t>JE-00288</t>
  </si>
  <si>
    <t>JE-00288-01</t>
  </si>
  <si>
    <t>DOC-00288</t>
  </si>
  <si>
    <t>JE-00288-02</t>
  </si>
  <si>
    <t>JE-00289</t>
  </si>
  <si>
    <t>JE-00289-01</t>
  </si>
  <si>
    <t>DOC-00289</t>
  </si>
  <si>
    <t>JE-00289-02</t>
  </si>
  <si>
    <t>JE-00290</t>
  </si>
  <si>
    <t>JE-00290-01</t>
  </si>
  <si>
    <t>DOC-00290</t>
  </si>
  <si>
    <t>JE-00290-02</t>
  </si>
  <si>
    <t>JE-00291</t>
  </si>
  <si>
    <t>JE-00291-01</t>
  </si>
  <si>
    <t>INV-00291</t>
  </si>
  <si>
    <t>JE-00291-02</t>
  </si>
  <si>
    <t>JE-00292</t>
  </si>
  <si>
    <t>JE-00292-01</t>
  </si>
  <si>
    <t>DOC-00292</t>
  </si>
  <si>
    <t>JE-00292-02</t>
  </si>
  <si>
    <t>JE-00293</t>
  </si>
  <si>
    <t>JE-00293-01</t>
  </si>
  <si>
    <t>DOC-00293</t>
  </si>
  <si>
    <t>JE-00293-02</t>
  </si>
  <si>
    <t>JE-00294</t>
  </si>
  <si>
    <t>JE-00294-01</t>
  </si>
  <si>
    <t>DOC-00294</t>
  </si>
  <si>
    <t>JE-00294-02</t>
  </si>
  <si>
    <t>JE-00295</t>
  </si>
  <si>
    <t>JE-00295-01</t>
  </si>
  <si>
    <t>INV-00295</t>
  </si>
  <si>
    <t>JE-00295-02</t>
  </si>
  <si>
    <t>JE-00296</t>
  </si>
  <si>
    <t>JE-00296-01</t>
  </si>
  <si>
    <t>DOC-00296</t>
  </si>
  <si>
    <t>JE-00296-02</t>
  </si>
  <si>
    <t>JE-00297</t>
  </si>
  <si>
    <t>JE-00297-01</t>
  </si>
  <si>
    <t>INV-00297</t>
  </si>
  <si>
    <t>JE-00297-02</t>
  </si>
  <si>
    <t>JE-00298</t>
  </si>
  <si>
    <t>JE-00298-01</t>
  </si>
  <si>
    <t>DOC-00298</t>
  </si>
  <si>
    <t>JE-00298-02</t>
  </si>
  <si>
    <t>JE-00299</t>
  </si>
  <si>
    <t>JE-00299-01</t>
  </si>
  <si>
    <t>DOC-00299</t>
  </si>
  <si>
    <t>JE-00299-02</t>
  </si>
  <si>
    <t>JE-00300</t>
  </si>
  <si>
    <t>JE-00300-01</t>
  </si>
  <si>
    <t>DOC-00300</t>
  </si>
  <si>
    <t>JE-00300-02</t>
  </si>
  <si>
    <t>JE-00301</t>
  </si>
  <si>
    <t>JE-00301-01</t>
  </si>
  <si>
    <t>DOC-00301</t>
  </si>
  <si>
    <t>JE-00301-02</t>
  </si>
  <si>
    <t>JE-00302</t>
  </si>
  <si>
    <t>JE-00302-01</t>
  </si>
  <si>
    <t>DOC-00302</t>
  </si>
  <si>
    <t>JE-00302-02</t>
  </si>
  <si>
    <t>JE-00303</t>
  </si>
  <si>
    <t>JE-00303-01</t>
  </si>
  <si>
    <t>INV-00003</t>
  </si>
  <si>
    <t>JE-00303-02</t>
  </si>
  <si>
    <t>JE-00304</t>
  </si>
  <si>
    <t>JE-00304-01</t>
  </si>
  <si>
    <t>DOC-00304</t>
  </si>
  <si>
    <t>JE-00304-02</t>
  </si>
  <si>
    <t>JE-00305</t>
  </si>
  <si>
    <t>JE-00305-01</t>
  </si>
  <si>
    <t>DOC-00305</t>
  </si>
  <si>
    <t>JE-00305-02</t>
  </si>
  <si>
    <t>JE-00306</t>
  </si>
  <si>
    <t>JE-00306-01</t>
  </si>
  <si>
    <t>DOC-00306</t>
  </si>
  <si>
    <t>JE-00306-02</t>
  </si>
  <si>
    <t>JE-00307</t>
  </si>
  <si>
    <t>JE-00307-01</t>
  </si>
  <si>
    <t>INV-00007</t>
  </si>
  <si>
    <t>JE-00307-02</t>
  </si>
  <si>
    <t>JE-00308</t>
  </si>
  <si>
    <t>JE-00308-01</t>
  </si>
  <si>
    <t>DOC-00308</t>
  </si>
  <si>
    <t>JE-00308-02</t>
  </si>
  <si>
    <t>JE-00309</t>
  </si>
  <si>
    <t>JE-00309-01</t>
  </si>
  <si>
    <t>DOC-00309</t>
  </si>
  <si>
    <t>JE-00309-02</t>
  </si>
  <si>
    <t>JE-00310</t>
  </si>
  <si>
    <t>JE-00310-01</t>
  </si>
  <si>
    <t>DOC-00310</t>
  </si>
  <si>
    <t>JE-00310-02</t>
  </si>
  <si>
    <t>JE-00311</t>
  </si>
  <si>
    <t>JE-00311-01</t>
  </si>
  <si>
    <t>DOC-00311</t>
  </si>
  <si>
    <t>JE-00311-02</t>
  </si>
  <si>
    <t>JE-00312</t>
  </si>
  <si>
    <t>JE-00312-01</t>
  </si>
  <si>
    <t>DOC-00312</t>
  </si>
  <si>
    <t>JE-00312-02</t>
  </si>
  <si>
    <t>JE-00313</t>
  </si>
  <si>
    <t>JE-00313-01</t>
  </si>
  <si>
    <t>DOC-00313</t>
  </si>
  <si>
    <t>JE-00313-02</t>
  </si>
  <si>
    <t>JE-00314</t>
  </si>
  <si>
    <t>JE-00314-01</t>
  </si>
  <si>
    <t>DOC-00314</t>
  </si>
  <si>
    <t>JE-00314-02</t>
  </si>
  <si>
    <t>JE-00315</t>
  </si>
  <si>
    <t>JE-00315-01</t>
  </si>
  <si>
    <t>DOC-00315</t>
  </si>
  <si>
    <t>JE-00315-02</t>
  </si>
  <si>
    <t>JE-00316</t>
  </si>
  <si>
    <t>JE-00316-01</t>
  </si>
  <si>
    <t>INV-00016</t>
  </si>
  <si>
    <t>JE-00316-02</t>
  </si>
  <si>
    <t>JE-00317</t>
  </si>
  <si>
    <t>JE-00317-01</t>
  </si>
  <si>
    <t>DOC-00317</t>
  </si>
  <si>
    <t>JE-00317-02</t>
  </si>
  <si>
    <t>JE-00318</t>
  </si>
  <si>
    <t>JE-00318-01</t>
  </si>
  <si>
    <t>DOC-00318</t>
  </si>
  <si>
    <t>JE-00318-02</t>
  </si>
  <si>
    <t>JE-00319</t>
  </si>
  <si>
    <t>JE-00319-01</t>
  </si>
  <si>
    <t>DOC-00319</t>
  </si>
  <si>
    <t>JE-00319-02</t>
  </si>
  <si>
    <t>JE-00320</t>
  </si>
  <si>
    <t>JE-00320-01</t>
  </si>
  <si>
    <t>DOC-00320</t>
  </si>
  <si>
    <t>JE-00320-02</t>
  </si>
  <si>
    <t>JE-00321</t>
  </si>
  <si>
    <t>JE-00321-01</t>
  </si>
  <si>
    <t>DOC-00321</t>
  </si>
  <si>
    <t>JE-00321-02</t>
  </si>
  <si>
    <t>JE-00322</t>
  </si>
  <si>
    <t>JE-00322-01</t>
  </si>
  <si>
    <t>DOC-00322</t>
  </si>
  <si>
    <t>JE-00322-02</t>
  </si>
  <si>
    <t>JE-00323</t>
  </si>
  <si>
    <t>JE-00323-01</t>
  </si>
  <si>
    <t>DOC-00323</t>
  </si>
  <si>
    <t>JE-00323-02</t>
  </si>
  <si>
    <t>JE-00324</t>
  </si>
  <si>
    <t>JE-00324-01</t>
  </si>
  <si>
    <t>DOC-00324</t>
  </si>
  <si>
    <t>JE-00324-02</t>
  </si>
  <si>
    <t>JE-00325</t>
  </si>
  <si>
    <t>JE-00325-01</t>
  </si>
  <si>
    <t>DOC-00325</t>
  </si>
  <si>
    <t>JE-00325-02</t>
  </si>
  <si>
    <t>JE-00326</t>
  </si>
  <si>
    <t>JE-00326-01</t>
  </si>
  <si>
    <t>INV-00026</t>
  </si>
  <si>
    <t>JE-00326-02</t>
  </si>
  <si>
    <t>JE-00327</t>
  </si>
  <si>
    <t>JE-00327-01</t>
  </si>
  <si>
    <t>DOC-00327</t>
  </si>
  <si>
    <t>JE-00327-02</t>
  </si>
  <si>
    <t>JE-00328</t>
  </si>
  <si>
    <t>JE-00328-01</t>
  </si>
  <si>
    <t>DOC-00328</t>
  </si>
  <si>
    <t>JE-00328-02</t>
  </si>
  <si>
    <t>JE-00329</t>
  </si>
  <si>
    <t>JE-00329-01</t>
  </si>
  <si>
    <t>DOC-00329</t>
  </si>
  <si>
    <t>JE-00329-02</t>
  </si>
  <si>
    <t>JE-00330</t>
  </si>
  <si>
    <t>JE-00330-01</t>
  </si>
  <si>
    <t>DOC-00330</t>
  </si>
  <si>
    <t>JE-00330-02</t>
  </si>
  <si>
    <t>JE-00331</t>
  </si>
  <si>
    <t>JE-00331-01</t>
  </si>
  <si>
    <t>DOC-00331</t>
  </si>
  <si>
    <t>JE-00331-02</t>
  </si>
  <si>
    <t>JE-00332</t>
  </si>
  <si>
    <t>JE-00332-01</t>
  </si>
  <si>
    <t>DOC-00332</t>
  </si>
  <si>
    <t>JE-00332-02</t>
  </si>
  <si>
    <t>JE-00333</t>
  </si>
  <si>
    <t>JE-00333-01</t>
  </si>
  <si>
    <t>DOC-00333</t>
  </si>
  <si>
    <t>JE-00333-02</t>
  </si>
  <si>
    <t>JE-00334</t>
  </si>
  <si>
    <t>JE-00334-01</t>
  </si>
  <si>
    <t>DOC-00334</t>
  </si>
  <si>
    <t>JE-00334-02</t>
  </si>
  <si>
    <t>JE-00335</t>
  </si>
  <si>
    <t>JE-00335-01</t>
  </si>
  <si>
    <t>DOC-00335</t>
  </si>
  <si>
    <t>JE-00335-02</t>
  </si>
  <si>
    <t>JE-00336</t>
  </si>
  <si>
    <t>JE-00336-01</t>
  </si>
  <si>
    <t>DOC-00336</t>
  </si>
  <si>
    <t>JE-00336-02</t>
  </si>
  <si>
    <t>JE-00337</t>
  </si>
  <si>
    <t>JE-00337-01</t>
  </si>
  <si>
    <t>DOC-00337</t>
  </si>
  <si>
    <t>JE-00337-02</t>
  </si>
  <si>
    <t>JE-00338</t>
  </si>
  <si>
    <t>JE-00338-01</t>
  </si>
  <si>
    <t>DOC-00338</t>
  </si>
  <si>
    <t>JE-00338-02</t>
  </si>
  <si>
    <t>JE-00339</t>
  </si>
  <si>
    <t>JE-00339-01</t>
  </si>
  <si>
    <t>DOC-00339</t>
  </si>
  <si>
    <t>JE-00339-02</t>
  </si>
  <si>
    <t>JE-00340</t>
  </si>
  <si>
    <t>JE-00340-01</t>
  </si>
  <si>
    <t>DOC-00340</t>
  </si>
  <si>
    <t>JE-00340-02</t>
  </si>
  <si>
    <t>JE-00341</t>
  </si>
  <si>
    <t>JE-00341-01</t>
  </si>
  <si>
    <t>DOC-00341</t>
  </si>
  <si>
    <t>JE-00341-02</t>
  </si>
  <si>
    <t>JE-00342</t>
  </si>
  <si>
    <t>JE-00342-01</t>
  </si>
  <si>
    <t>DOC-00342</t>
  </si>
  <si>
    <t>JE-00342-02</t>
  </si>
  <si>
    <t>JE-00343</t>
  </si>
  <si>
    <t>JE-00343-01</t>
  </si>
  <si>
    <t>DOC-00343</t>
  </si>
  <si>
    <t>JE-00343-02</t>
  </si>
  <si>
    <t>JE-00344</t>
  </si>
  <si>
    <t>JE-00344-01</t>
  </si>
  <si>
    <t>INV-00044</t>
  </si>
  <si>
    <t>JE-00344-02</t>
  </si>
  <si>
    <t>JE-00345</t>
  </si>
  <si>
    <t>JE-00345-01</t>
  </si>
  <si>
    <t>DOC-00345</t>
  </si>
  <si>
    <t>JE-00345-02</t>
  </si>
  <si>
    <t>JE-00346</t>
  </si>
  <si>
    <t>JE-00346-01</t>
  </si>
  <si>
    <t>DOC-00346</t>
  </si>
  <si>
    <t>JE-00346-02</t>
  </si>
  <si>
    <t>JE-00347</t>
  </si>
  <si>
    <t>JE-00347-01</t>
  </si>
  <si>
    <t>DOC-00347</t>
  </si>
  <si>
    <t>JE-00347-02</t>
  </si>
  <si>
    <t>JE-00348</t>
  </si>
  <si>
    <t>JE-00348-01</t>
  </si>
  <si>
    <t>DOC-00348</t>
  </si>
  <si>
    <t>JE-00348-02</t>
  </si>
  <si>
    <t>JE-00349</t>
  </si>
  <si>
    <t>JE-00349-01</t>
  </si>
  <si>
    <t>DOC-00349</t>
  </si>
  <si>
    <t>JE-00349-02</t>
  </si>
  <si>
    <t>JE-00350</t>
  </si>
  <si>
    <t>JE-00350-01</t>
  </si>
  <si>
    <t>INV-00050</t>
  </si>
  <si>
    <t>JE-00350-02</t>
  </si>
  <si>
    <t>JE-00351</t>
  </si>
  <si>
    <t>JE-00351-01</t>
  </si>
  <si>
    <t>INV-00051</t>
  </si>
  <si>
    <t>JE-00351-02</t>
  </si>
  <si>
    <t>JE-00352</t>
  </si>
  <si>
    <t>JE-00352-01</t>
  </si>
  <si>
    <t>INV-00052</t>
  </si>
  <si>
    <t>JE-00352-02</t>
  </si>
  <si>
    <t>JE-00353</t>
  </si>
  <si>
    <t>JE-00353-01</t>
  </si>
  <si>
    <t>DOC-00353</t>
  </si>
  <si>
    <t>JE-00353-02</t>
  </si>
  <si>
    <t>JE-00354</t>
  </si>
  <si>
    <t>JE-00354-01</t>
  </si>
  <si>
    <t>INV-00054</t>
  </si>
  <si>
    <t>JE-00354-02</t>
  </si>
  <si>
    <t>JE-00355</t>
  </si>
  <si>
    <t>JE-00355-01</t>
  </si>
  <si>
    <t>DOC-00355</t>
  </si>
  <si>
    <t>JE-00355-02</t>
  </si>
  <si>
    <t>JE-00356</t>
  </si>
  <si>
    <t>JE-00356-01</t>
  </si>
  <si>
    <t>DOC-00356</t>
  </si>
  <si>
    <t>JE-00356-02</t>
  </si>
  <si>
    <t>JE-00357</t>
  </si>
  <si>
    <t>JE-00357-01</t>
  </si>
  <si>
    <t>DOC-00357</t>
  </si>
  <si>
    <t>JE-00357-02</t>
  </si>
  <si>
    <t>JE-00358</t>
  </si>
  <si>
    <t>JE-00358-01</t>
  </si>
  <si>
    <t>DOC-00358</t>
  </si>
  <si>
    <t>JE-00358-02</t>
  </si>
  <si>
    <t>JE-00359</t>
  </si>
  <si>
    <t>JE-00359-01</t>
  </si>
  <si>
    <t>DOC-00359</t>
  </si>
  <si>
    <t>JE-00359-02</t>
  </si>
  <si>
    <t>JE-00360</t>
  </si>
  <si>
    <t>JE-00360-01</t>
  </si>
  <si>
    <t>INV-00060</t>
  </si>
  <si>
    <t>JE-00360-02</t>
  </si>
  <si>
    <t>JE-00361</t>
  </si>
  <si>
    <t>JE-00361-01</t>
  </si>
  <si>
    <t>INV-00061</t>
  </si>
  <si>
    <t>JE-00361-02</t>
  </si>
  <si>
    <t>JE-00362</t>
  </si>
  <si>
    <t>JE-00362-01</t>
  </si>
  <si>
    <t>DOC-00362</t>
  </si>
  <si>
    <t>JE-00362-02</t>
  </si>
  <si>
    <t>JE-00363</t>
  </si>
  <si>
    <t>JE-00363-01</t>
  </si>
  <si>
    <t>DOC-00363</t>
  </si>
  <si>
    <t>JE-00363-02</t>
  </si>
  <si>
    <t>JE-00364</t>
  </si>
  <si>
    <t>JE-00364-01</t>
  </si>
  <si>
    <t>DOC-00364</t>
  </si>
  <si>
    <t>JE-00364-02</t>
  </si>
  <si>
    <t>JE-00365</t>
  </si>
  <si>
    <t>JE-00365-01</t>
  </si>
  <si>
    <t>JE-00365-02</t>
  </si>
  <si>
    <t>JE-00366</t>
  </si>
  <si>
    <t>JE-00366-01</t>
  </si>
  <si>
    <t>DOC-00366</t>
  </si>
  <si>
    <t>JE-00366-02</t>
  </si>
  <si>
    <t>JE-00367</t>
  </si>
  <si>
    <t>JE-00367-01</t>
  </si>
  <si>
    <t>DOC-00367</t>
  </si>
  <si>
    <t>JE-00367-02</t>
  </si>
  <si>
    <t>JE-00368</t>
  </si>
  <si>
    <t>JE-00368-01</t>
  </si>
  <si>
    <t>INV-00068</t>
  </si>
  <si>
    <t>JE-00368-02</t>
  </si>
  <si>
    <t>JE-00369</t>
  </si>
  <si>
    <t>JE-00369-01</t>
  </si>
  <si>
    <t>DOC-00369</t>
  </si>
  <si>
    <t>JE-00369-02</t>
  </si>
  <si>
    <t>JE-00370</t>
  </si>
  <si>
    <t>JE-00370-01</t>
  </si>
  <si>
    <t>DOC-00370</t>
  </si>
  <si>
    <t>JE-00370-02</t>
  </si>
  <si>
    <t>JE-00371</t>
  </si>
  <si>
    <t>JE-00371-01</t>
  </si>
  <si>
    <t>DOC-00371</t>
  </si>
  <si>
    <t>JE-00371-02</t>
  </si>
  <si>
    <t>JE-00372</t>
  </si>
  <si>
    <t>JE-00372-01</t>
  </si>
  <si>
    <t>DOC-00372</t>
  </si>
  <si>
    <t>JE-00372-02</t>
  </si>
  <si>
    <t>JE-00373</t>
  </si>
  <si>
    <t>JE-00373-01</t>
  </si>
  <si>
    <t>DOC-00373</t>
  </si>
  <si>
    <t>JE-00373-02</t>
  </si>
  <si>
    <t>JE-00374</t>
  </si>
  <si>
    <t>JE-00374-01</t>
  </si>
  <si>
    <t>DOC-00374</t>
  </si>
  <si>
    <t>JE-00374-02</t>
  </si>
  <si>
    <t>JE-00375</t>
  </si>
  <si>
    <t>JE-00375-01</t>
  </si>
  <si>
    <t>DOC-00375</t>
  </si>
  <si>
    <t>JE-00375-02</t>
  </si>
  <si>
    <t>JE-00376</t>
  </si>
  <si>
    <t>JE-00376-01</t>
  </si>
  <si>
    <t>DOC-00376</t>
  </si>
  <si>
    <t>JE-00376-02</t>
  </si>
  <si>
    <t>JE-00377</t>
  </si>
  <si>
    <t>JE-00377-01</t>
  </si>
  <si>
    <t>DOC-00377</t>
  </si>
  <si>
    <t>JE-00377-02</t>
  </si>
  <si>
    <t>JE-00378</t>
  </si>
  <si>
    <t>JE-00378-01</t>
  </si>
  <si>
    <t>DOC-00378</t>
  </si>
  <si>
    <t>JE-00378-02</t>
  </si>
  <si>
    <t>JE-00379</t>
  </si>
  <si>
    <t>JE-00379-01</t>
  </si>
  <si>
    <t>DOC-00379</t>
  </si>
  <si>
    <t>JE-00379-02</t>
  </si>
  <si>
    <t>JE-00380</t>
  </si>
  <si>
    <t>JE-00380-01</t>
  </si>
  <si>
    <t>DOC-00380</t>
  </si>
  <si>
    <t>JE-00380-02</t>
  </si>
  <si>
    <t>JE-00381</t>
  </si>
  <si>
    <t>JE-00381-01</t>
  </si>
  <si>
    <t>DOC-00381</t>
  </si>
  <si>
    <t>JE-00381-02</t>
  </si>
  <si>
    <t>JE-00382</t>
  </si>
  <si>
    <t>JE-00382-01</t>
  </si>
  <si>
    <t>DOC-00382</t>
  </si>
  <si>
    <t>JE-00382-02</t>
  </si>
  <si>
    <t>JE-00383</t>
  </si>
  <si>
    <t>JE-00383-01</t>
  </si>
  <si>
    <t>DOC-00383</t>
  </si>
  <si>
    <t>JE-00383-02</t>
  </si>
  <si>
    <t>JE-00384</t>
  </si>
  <si>
    <t>JE-00384-01</t>
  </si>
  <si>
    <t>DOC-00384</t>
  </si>
  <si>
    <t>JE-00384-02</t>
  </si>
  <si>
    <t>JE-00385</t>
  </si>
  <si>
    <t>JE-00385-01</t>
  </si>
  <si>
    <t>DOC-00385</t>
  </si>
  <si>
    <t>JE-00385-02</t>
  </si>
  <si>
    <t>JE-00386</t>
  </si>
  <si>
    <t>JE-00386-01</t>
  </si>
  <si>
    <t>DOC-00386</t>
  </si>
  <si>
    <t>JE-00386-02</t>
  </si>
  <si>
    <t>JE-00387</t>
  </si>
  <si>
    <t>JE-00387-01</t>
  </si>
  <si>
    <t>DOC-00387</t>
  </si>
  <si>
    <t>JE-00387-02</t>
  </si>
  <si>
    <t>JE-00388</t>
  </si>
  <si>
    <t>JE-00388-01</t>
  </si>
  <si>
    <t>DOC-00388</t>
  </si>
  <si>
    <t>JE-00388-02</t>
  </si>
  <si>
    <t>JE-00389</t>
  </si>
  <si>
    <t>JE-00389-01</t>
  </si>
  <si>
    <t>DOC-00389</t>
  </si>
  <si>
    <t>JE-00389-02</t>
  </si>
  <si>
    <t>JE-00390</t>
  </si>
  <si>
    <t>JE-00390-01</t>
  </si>
  <si>
    <t>DOC-00390</t>
  </si>
  <si>
    <t>JE-00390-02</t>
  </si>
  <si>
    <t>JE-00391</t>
  </si>
  <si>
    <t>JE-00391-01</t>
  </si>
  <si>
    <t>DOC-00391</t>
  </si>
  <si>
    <t>JE-00391-02</t>
  </si>
  <si>
    <t>JE-00392</t>
  </si>
  <si>
    <t>JE-00392-01</t>
  </si>
  <si>
    <t>DOC-00392</t>
  </si>
  <si>
    <t>JE-00392-02</t>
  </si>
  <si>
    <t>JE-00393</t>
  </si>
  <si>
    <t>JE-00393-01</t>
  </si>
  <si>
    <t>DOC-00393</t>
  </si>
  <si>
    <t>JE-00393-02</t>
  </si>
  <si>
    <t>JE-00394</t>
  </si>
  <si>
    <t>JE-00394-01</t>
  </si>
  <si>
    <t>DOC-00394</t>
  </si>
  <si>
    <t>JE-00394-02</t>
  </si>
  <si>
    <t>JE-00395</t>
  </si>
  <si>
    <t>JE-00395-01</t>
  </si>
  <si>
    <t>DOC-00395</t>
  </si>
  <si>
    <t>JE-00395-02</t>
  </si>
  <si>
    <t>JE-00396</t>
  </si>
  <si>
    <t>JE-00396-01</t>
  </si>
  <si>
    <t>DOC-00396</t>
  </si>
  <si>
    <t>JE-00396-02</t>
  </si>
  <si>
    <t>JE-00397</t>
  </si>
  <si>
    <t>JE-00397-01</t>
  </si>
  <si>
    <t>DOC-00397</t>
  </si>
  <si>
    <t>JE-00397-02</t>
  </si>
  <si>
    <t>JE-00398</t>
  </si>
  <si>
    <t>JE-00398-01</t>
  </si>
  <si>
    <t>DOC-00398</t>
  </si>
  <si>
    <t>JE-00398-02</t>
  </si>
  <si>
    <t>JE-00399</t>
  </si>
  <si>
    <t>JE-00399-01</t>
  </si>
  <si>
    <t>INV-00099</t>
  </si>
  <si>
    <t>JE-00399-02</t>
  </si>
  <si>
    <t>JE-00400</t>
  </si>
  <si>
    <t>JE-00400-01</t>
  </si>
  <si>
    <t>DOC-00400</t>
  </si>
  <si>
    <t>JE-00400-02</t>
  </si>
  <si>
    <t>JE-00401</t>
  </si>
  <si>
    <t>JE-00401-01</t>
  </si>
  <si>
    <t>DOC-00401</t>
  </si>
  <si>
    <t>JE-00401-02</t>
  </si>
  <si>
    <t>JE-00402</t>
  </si>
  <si>
    <t>JE-00402-01</t>
  </si>
  <si>
    <t>DOC-00402</t>
  </si>
  <si>
    <t>JE-00402-02</t>
  </si>
  <si>
    <t>JE-00403</t>
  </si>
  <si>
    <t>JE-00403-01</t>
  </si>
  <si>
    <t>DOC-00403</t>
  </si>
  <si>
    <t>JE-00403-02</t>
  </si>
  <si>
    <t>JE-00404</t>
  </si>
  <si>
    <t>JE-00404-01</t>
  </si>
  <si>
    <t>DOC-00404</t>
  </si>
  <si>
    <t>JE-00404-02</t>
  </si>
  <si>
    <t>JE-00405</t>
  </si>
  <si>
    <t>JE-00405-01</t>
  </si>
  <si>
    <t>DOC-00405</t>
  </si>
  <si>
    <t>JE-00405-02</t>
  </si>
  <si>
    <t>JE-00406</t>
  </si>
  <si>
    <t>JE-00406-01</t>
  </si>
  <si>
    <t>DOC-00406</t>
  </si>
  <si>
    <t>JE-00406-02</t>
  </si>
  <si>
    <t>JE-00407</t>
  </si>
  <si>
    <t>JE-00407-01</t>
  </si>
  <si>
    <t>DOC-00407</t>
  </si>
  <si>
    <t>JE-00407-02</t>
  </si>
  <si>
    <t>JE-00408</t>
  </si>
  <si>
    <t>JE-00408-01</t>
  </si>
  <si>
    <t>INV-00108</t>
  </si>
  <si>
    <t>JE-00408-02</t>
  </si>
  <si>
    <t>JE-00409</t>
  </si>
  <si>
    <t>JE-00409-01</t>
  </si>
  <si>
    <t>INV-00109</t>
  </si>
  <si>
    <t>JE-00409-02</t>
  </si>
  <si>
    <t>JE-00410</t>
  </si>
  <si>
    <t>JE-00410-01</t>
  </si>
  <si>
    <t>DOC-00410</t>
  </si>
  <si>
    <t>JE-00410-02</t>
  </si>
  <si>
    <t>JE-00411</t>
  </si>
  <si>
    <t>JE-00411-01</t>
  </si>
  <si>
    <t>DOC-00411</t>
  </si>
  <si>
    <t>JE-00411-02</t>
  </si>
  <si>
    <t>JE-00412</t>
  </si>
  <si>
    <t>JE-00412-01</t>
  </si>
  <si>
    <t>DOC-00412</t>
  </si>
  <si>
    <t>JE-00412-02</t>
  </si>
  <si>
    <t>JE-00413</t>
  </si>
  <si>
    <t>JE-00413-01</t>
  </si>
  <si>
    <t>INV-00113</t>
  </si>
  <si>
    <t>JE-00413-02</t>
  </si>
  <si>
    <t>JE-00414</t>
  </si>
  <si>
    <t>JE-00414-01</t>
  </si>
  <si>
    <t>DOC-00414</t>
  </si>
  <si>
    <t>JE-00414-02</t>
  </si>
  <si>
    <t>JE-00415</t>
  </si>
  <si>
    <t>JE-00415-01</t>
  </si>
  <si>
    <t>DOC-00415</t>
  </si>
  <si>
    <t>JE-00415-02</t>
  </si>
  <si>
    <t>JE-00416</t>
  </si>
  <si>
    <t>JE-00416-01</t>
  </si>
  <si>
    <t>DOC-00416</t>
  </si>
  <si>
    <t>JE-00416-02</t>
  </si>
  <si>
    <t>JE-00417</t>
  </si>
  <si>
    <t>JE-00417-01</t>
  </si>
  <si>
    <t>DOC-00417</t>
  </si>
  <si>
    <t>JE-00417-02</t>
  </si>
  <si>
    <t>JE-00418</t>
  </si>
  <si>
    <t>JE-00418-01</t>
  </si>
  <si>
    <t>DOC-00418</t>
  </si>
  <si>
    <t>JE-00418-02</t>
  </si>
  <si>
    <t>JE-00419</t>
  </si>
  <si>
    <t>JE-00419-01</t>
  </si>
  <si>
    <t>DOC-00419</t>
  </si>
  <si>
    <t>JE-00419-02</t>
  </si>
  <si>
    <t>JE-00420</t>
  </si>
  <si>
    <t>JE-00420-01</t>
  </si>
  <si>
    <t>DOC-00420</t>
  </si>
  <si>
    <t>JE-00420-02</t>
  </si>
  <si>
    <t>JE-00421</t>
  </si>
  <si>
    <t>JE-00421-01</t>
  </si>
  <si>
    <t>DOC-00421</t>
  </si>
  <si>
    <t>JE-00421-02</t>
  </si>
  <si>
    <t>JE-00422</t>
  </si>
  <si>
    <t>JE-00422-01</t>
  </si>
  <si>
    <t>DOC-00422</t>
  </si>
  <si>
    <t>JE-00422-02</t>
  </si>
  <si>
    <t>JE-00423</t>
  </si>
  <si>
    <t>JE-00423-01</t>
  </si>
  <si>
    <t>DOC-00423</t>
  </si>
  <si>
    <t>JE-00423-02</t>
  </si>
  <si>
    <t>JE-00424</t>
  </si>
  <si>
    <t>JE-00424-01</t>
  </si>
  <si>
    <t>DOC-00424</t>
  </si>
  <si>
    <t>JE-00424-02</t>
  </si>
  <si>
    <t>JE-00425</t>
  </si>
  <si>
    <t>JE-00425-01</t>
  </si>
  <si>
    <t>DOC-00425</t>
  </si>
  <si>
    <t>JE-00425-02</t>
  </si>
  <si>
    <t>JE-00426</t>
  </si>
  <si>
    <t>JE-00426-01</t>
  </si>
  <si>
    <t>DOC-00426</t>
  </si>
  <si>
    <t>JE-00426-02</t>
  </si>
  <si>
    <t>JE-00427</t>
  </si>
  <si>
    <t>JE-00427-01</t>
  </si>
  <si>
    <t>DOC-00427</t>
  </si>
  <si>
    <t>JE-00427-02</t>
  </si>
  <si>
    <t>JE-00428</t>
  </si>
  <si>
    <t>JE-00428-01</t>
  </si>
  <si>
    <t>INV-00128</t>
  </si>
  <si>
    <t>JE-00428-02</t>
  </si>
  <si>
    <t>JE-00429</t>
  </si>
  <si>
    <t>JE-00429-01</t>
  </si>
  <si>
    <t>DOC-00429</t>
  </si>
  <si>
    <t>JE-00429-02</t>
  </si>
  <si>
    <t>JE-00430</t>
  </si>
  <si>
    <t>JE-00430-01</t>
  </si>
  <si>
    <t>DOC-00430</t>
  </si>
  <si>
    <t>JE-00430-02</t>
  </si>
  <si>
    <t>JE-00431</t>
  </si>
  <si>
    <t>JE-00431-01</t>
  </si>
  <si>
    <t>JE-00431-02</t>
  </si>
  <si>
    <t>JE-00432</t>
  </si>
  <si>
    <t>JE-00432-01</t>
  </si>
  <si>
    <t>DOC-00432</t>
  </si>
  <si>
    <t>JE-00432-02</t>
  </si>
  <si>
    <t>JE-00433</t>
  </si>
  <si>
    <t>JE-00433-01</t>
  </si>
  <si>
    <t>DOC-00433</t>
  </si>
  <si>
    <t>JE-00433-02</t>
  </si>
  <si>
    <t>JE-00434</t>
  </si>
  <si>
    <t>JE-00434-01</t>
  </si>
  <si>
    <t>DOC-00434</t>
  </si>
  <si>
    <t>JE-00434-02</t>
  </si>
  <si>
    <t>JE-00435</t>
  </si>
  <si>
    <t>JE-00435-01</t>
  </si>
  <si>
    <t>DOC-00435</t>
  </si>
  <si>
    <t>JE-00435-02</t>
  </si>
  <si>
    <t>JE-00436</t>
  </si>
  <si>
    <t>JE-00436-01</t>
  </si>
  <si>
    <t>DOC-00436</t>
  </si>
  <si>
    <t>JE-00436-02</t>
  </si>
  <si>
    <t>JE-00437</t>
  </si>
  <si>
    <t>JE-00437-01</t>
  </si>
  <si>
    <t>DOC-00437</t>
  </si>
  <si>
    <t>JE-00437-02</t>
  </si>
  <si>
    <t>JE-00438</t>
  </si>
  <si>
    <t>JE-00438-01</t>
  </si>
  <si>
    <t>DOC-00438</t>
  </si>
  <si>
    <t>JE-00438-02</t>
  </si>
  <si>
    <t>JE-00439</t>
  </si>
  <si>
    <t>JE-00439-01</t>
  </si>
  <si>
    <t>DOC-00439</t>
  </si>
  <si>
    <t>JE-00439-02</t>
  </si>
  <si>
    <t>JE-00440</t>
  </si>
  <si>
    <t>JE-00440-01</t>
  </si>
  <si>
    <t>INV-00140</t>
  </si>
  <si>
    <t>JE-00440-02</t>
  </si>
  <si>
    <t>JE-00441</t>
  </si>
  <si>
    <t>JE-00441-01</t>
  </si>
  <si>
    <t>DOC-00441</t>
  </si>
  <si>
    <t>JE-00441-02</t>
  </si>
  <si>
    <t>JE-00442</t>
  </si>
  <si>
    <t>JE-00442-01</t>
  </si>
  <si>
    <t>DOC-00442</t>
  </si>
  <si>
    <t>JE-00442-02</t>
  </si>
  <si>
    <t>JE-00443</t>
  </si>
  <si>
    <t>JE-00443-01</t>
  </si>
  <si>
    <t>DOC-00443</t>
  </si>
  <si>
    <t>JE-00443-02</t>
  </si>
  <si>
    <t>JE-00444</t>
  </si>
  <si>
    <t>JE-00444-01</t>
  </si>
  <si>
    <t>INV-00144</t>
  </si>
  <si>
    <t>JE-00444-02</t>
  </si>
  <si>
    <t>JE-00445</t>
  </si>
  <si>
    <t>JE-00445-01</t>
  </si>
  <si>
    <t>DOC-00445</t>
  </si>
  <si>
    <t>JE-00445-02</t>
  </si>
  <si>
    <t>JE-00446</t>
  </si>
  <si>
    <t>JE-00446-01</t>
  </si>
  <si>
    <t>DOC-00446</t>
  </si>
  <si>
    <t>JE-00446-02</t>
  </si>
  <si>
    <t>JE-00447</t>
  </si>
  <si>
    <t>JE-00447-01</t>
  </si>
  <si>
    <t>DOC-00447</t>
  </si>
  <si>
    <t>JE-00447-02</t>
  </si>
  <si>
    <t>JE-00448</t>
  </si>
  <si>
    <t>JE-00448-01</t>
  </si>
  <si>
    <t>DOC-00448</t>
  </si>
  <si>
    <t>JE-00448-02</t>
  </si>
  <si>
    <t>JE-00449</t>
  </si>
  <si>
    <t>JE-00449-01</t>
  </si>
  <si>
    <t>INV-00149</t>
  </si>
  <si>
    <t>JE-00449-02</t>
  </si>
  <si>
    <t>JE-00450</t>
  </si>
  <si>
    <t>JE-00450-01</t>
  </si>
  <si>
    <t>DOC-00450</t>
  </si>
  <si>
    <t>JE-00450-02</t>
  </si>
  <si>
    <t>JE-00451</t>
  </si>
  <si>
    <t>JE-00451-01</t>
  </si>
  <si>
    <t>JE-00451-02</t>
  </si>
  <si>
    <t>JE-00452</t>
  </si>
  <si>
    <t>JE-00452-01</t>
  </si>
  <si>
    <t>DOC-00452</t>
  </si>
  <si>
    <t>JE-00452-02</t>
  </si>
  <si>
    <t>JE-00453</t>
  </si>
  <si>
    <t>JE-00453-01</t>
  </si>
  <si>
    <t>DOC-00453</t>
  </si>
  <si>
    <t>JE-00453-02</t>
  </si>
  <si>
    <t>JE-00454</t>
  </si>
  <si>
    <t>JE-00454-01</t>
  </si>
  <si>
    <t>DOC-00454</t>
  </si>
  <si>
    <t>JE-00454-02</t>
  </si>
  <si>
    <t>JE-00455</t>
  </si>
  <si>
    <t>JE-00455-01</t>
  </si>
  <si>
    <t>INV-00155</t>
  </si>
  <si>
    <t>JE-00455-02</t>
  </si>
  <si>
    <t>JE-00456</t>
  </si>
  <si>
    <t>JE-00456-01</t>
  </si>
  <si>
    <t>DOC-00456</t>
  </si>
  <si>
    <t>JE-00456-02</t>
  </si>
  <si>
    <t>JE-00457</t>
  </si>
  <si>
    <t>JE-00457-01</t>
  </si>
  <si>
    <t>DOC-00457</t>
  </si>
  <si>
    <t>JE-00457-02</t>
  </si>
  <si>
    <t>JE-00458</t>
  </si>
  <si>
    <t>JE-00458-01</t>
  </si>
  <si>
    <t>INV-00158</t>
  </si>
  <si>
    <t>JE-00458-02</t>
  </si>
  <si>
    <t>JE-00459</t>
  </si>
  <si>
    <t>JE-00459-01</t>
  </si>
  <si>
    <t>DOC-00459</t>
  </si>
  <si>
    <t>JE-00459-02</t>
  </si>
  <si>
    <t>JE-00460</t>
  </si>
  <si>
    <t>JE-00460-01</t>
  </si>
  <si>
    <t>DOC-00460</t>
  </si>
  <si>
    <t>JE-00460-02</t>
  </si>
  <si>
    <t>JE-00461</t>
  </si>
  <si>
    <t>JE-00461-01</t>
  </si>
  <si>
    <t>DOC-00461</t>
  </si>
  <si>
    <t>JE-00461-02</t>
  </si>
  <si>
    <t>JE-00462</t>
  </si>
  <si>
    <t>JE-00462-01</t>
  </si>
  <si>
    <t>DOC-00462</t>
  </si>
  <si>
    <t>JE-00462-02</t>
  </si>
  <si>
    <t>JE-00463</t>
  </si>
  <si>
    <t>JE-00463-01</t>
  </si>
  <si>
    <t>DOC-00463</t>
  </si>
  <si>
    <t>JE-00463-02</t>
  </si>
  <si>
    <t>JE-00464</t>
  </si>
  <si>
    <t>JE-00464-01</t>
  </si>
  <si>
    <t>INV-00164</t>
  </si>
  <si>
    <t>JE-00464-02</t>
  </si>
  <si>
    <t>JE-00465</t>
  </si>
  <si>
    <t>JE-00465-01</t>
  </si>
  <si>
    <t>DOC-00465</t>
  </si>
  <si>
    <t>JE-00465-02</t>
  </si>
  <si>
    <t>JE-00466</t>
  </si>
  <si>
    <t>JE-00466-01</t>
  </si>
  <si>
    <t>DOC-00466</t>
  </si>
  <si>
    <t>JE-00466-02</t>
  </si>
  <si>
    <t>JE-00467</t>
  </si>
  <si>
    <t>JE-00467-01</t>
  </si>
  <si>
    <t>DOC-00467</t>
  </si>
  <si>
    <t>JE-00467-02</t>
  </si>
  <si>
    <t>JE-00468</t>
  </si>
  <si>
    <t>JE-00468-01</t>
  </si>
  <si>
    <t>DOC-00468</t>
  </si>
  <si>
    <t>JE-00468-02</t>
  </si>
  <si>
    <t>JE-00469</t>
  </si>
  <si>
    <t>JE-00469-01</t>
  </si>
  <si>
    <t>DOC-00469</t>
  </si>
  <si>
    <t>JE-00469-02</t>
  </si>
  <si>
    <t>JE-00470</t>
  </si>
  <si>
    <t>JE-00470-01</t>
  </si>
  <si>
    <t>DOC-00470</t>
  </si>
  <si>
    <t>JE-00470-02</t>
  </si>
  <si>
    <t>JE-00471</t>
  </si>
  <si>
    <t>JE-00471-01</t>
  </si>
  <si>
    <t>INV-00171</t>
  </si>
  <si>
    <t>JE-00471-02</t>
  </si>
  <si>
    <t>JE-00472</t>
  </si>
  <si>
    <t>JE-00472-01</t>
  </si>
  <si>
    <t>DOC-00472</t>
  </si>
  <si>
    <t>JE-00472-02</t>
  </si>
  <si>
    <t>JE-00473</t>
  </si>
  <si>
    <t>JE-00473-01</t>
  </si>
  <si>
    <t>DOC-00473</t>
  </si>
  <si>
    <t>JE-00473-02</t>
  </si>
  <si>
    <t>JE-00474</t>
  </si>
  <si>
    <t>JE-00474-01</t>
  </si>
  <si>
    <t>DOC-00474</t>
  </si>
  <si>
    <t>JE-00474-02</t>
  </si>
  <si>
    <t>JE-00475</t>
  </si>
  <si>
    <t>JE-00475-01</t>
  </si>
  <si>
    <t>DOC-00475</t>
  </si>
  <si>
    <t>JE-00475-02</t>
  </si>
  <si>
    <t>JE-00476</t>
  </si>
  <si>
    <t>JE-00476-01</t>
  </si>
  <si>
    <t>JE-00476-02</t>
  </si>
  <si>
    <t>JE-00477</t>
  </si>
  <si>
    <t>JE-00477-01</t>
  </si>
  <si>
    <t>DOC-00477</t>
  </si>
  <si>
    <t>JE-00477-02</t>
  </si>
  <si>
    <t>JE-00478</t>
  </si>
  <si>
    <t>JE-00478-01</t>
  </si>
  <si>
    <t>DOC-00478</t>
  </si>
  <si>
    <t>JE-00478-02</t>
  </si>
  <si>
    <t>JE-00479</t>
  </si>
  <si>
    <t>JE-00479-01</t>
  </si>
  <si>
    <t>DOC-00479</t>
  </si>
  <si>
    <t>JE-00479-02</t>
  </si>
  <si>
    <t>JE-00480</t>
  </si>
  <si>
    <t>JE-00480-01</t>
  </si>
  <si>
    <t>Period-end revenue adjustment</t>
  </si>
  <si>
    <t>DOC-00480</t>
  </si>
  <si>
    <t>JE-00480-02</t>
  </si>
  <si>
    <t>JE-00481</t>
  </si>
  <si>
    <t>JE-00481-01</t>
  </si>
  <si>
    <t>JE-00481-02</t>
  </si>
  <si>
    <t>JE-00482</t>
  </si>
  <si>
    <t>JE-00482-01</t>
  </si>
  <si>
    <t>INV-00182</t>
  </si>
  <si>
    <t>JE-00482-02</t>
  </si>
  <si>
    <t>JE-00483</t>
  </si>
  <si>
    <t>JE-00483-01</t>
  </si>
  <si>
    <t>DOC-00483</t>
  </si>
  <si>
    <t>JE-00483-02</t>
  </si>
  <si>
    <t>JE-00484</t>
  </si>
  <si>
    <t>JE-00484-01</t>
  </si>
  <si>
    <t>DOC-00484</t>
  </si>
  <si>
    <t>JE-00484-02</t>
  </si>
  <si>
    <t>JE-00485</t>
  </si>
  <si>
    <t>JE-00485-01</t>
  </si>
  <si>
    <t>DOC-00485</t>
  </si>
  <si>
    <t>JE-00485-02</t>
  </si>
  <si>
    <t>JE-00486</t>
  </si>
  <si>
    <t>JE-00486-01</t>
  </si>
  <si>
    <t>DOC-00486</t>
  </si>
  <si>
    <t>JE-00486-02</t>
  </si>
  <si>
    <t>JE-00487</t>
  </si>
  <si>
    <t>JE-00487-01</t>
  </si>
  <si>
    <t>DOC-00487</t>
  </si>
  <si>
    <t>JE-00487-02</t>
  </si>
  <si>
    <t>JE-00488</t>
  </si>
  <si>
    <t>JE-00488-01</t>
  </si>
  <si>
    <t>DOC-00488</t>
  </si>
  <si>
    <t>JE-00488-02</t>
  </si>
  <si>
    <t>JE-00489</t>
  </si>
  <si>
    <t>JE-00489-01</t>
  </si>
  <si>
    <t>INV-00189</t>
  </si>
  <si>
    <t>JE-00489-02</t>
  </si>
  <si>
    <t>JE-00490</t>
  </si>
  <si>
    <t>JE-00490-01</t>
  </si>
  <si>
    <t>DOC-00490</t>
  </si>
  <si>
    <t>JE-00490-02</t>
  </si>
  <si>
    <t>JE-00491</t>
  </si>
  <si>
    <t>JE-00491-01</t>
  </si>
  <si>
    <t>DOC-00491</t>
  </si>
  <si>
    <t>JE-00491-02</t>
  </si>
  <si>
    <t>JE-00492</t>
  </si>
  <si>
    <t>JE-00492-01</t>
  </si>
  <si>
    <t>INV-00192</t>
  </si>
  <si>
    <t>JE-00492-02</t>
  </si>
  <si>
    <t>JE-00493</t>
  </si>
  <si>
    <t>JE-00493-01</t>
  </si>
  <si>
    <t>DOC-00493</t>
  </si>
  <si>
    <t>JE-00493-02</t>
  </si>
  <si>
    <t>JE-00494</t>
  </si>
  <si>
    <t>JE-00494-01</t>
  </si>
  <si>
    <t>DOC-00494</t>
  </si>
  <si>
    <t>JE-00494-02</t>
  </si>
  <si>
    <t>JE-00495</t>
  </si>
  <si>
    <t>JE-00495-01</t>
  </si>
  <si>
    <t>DOC-00495</t>
  </si>
  <si>
    <t>JE-00495-02</t>
  </si>
  <si>
    <t>JE-00496</t>
  </si>
  <si>
    <t>JE-00496-01</t>
  </si>
  <si>
    <t>DOC-00496</t>
  </si>
  <si>
    <t>JE-00496-02</t>
  </si>
  <si>
    <t>JE-00497</t>
  </si>
  <si>
    <t>JE-00497-01</t>
  </si>
  <si>
    <t>INV-00197</t>
  </si>
  <si>
    <t>JE-00497-02</t>
  </si>
  <si>
    <t>JE-00498</t>
  </si>
  <si>
    <t>JE-00498-01</t>
  </si>
  <si>
    <t>DOC-00498</t>
  </si>
  <si>
    <t>JE-00498-02</t>
  </si>
  <si>
    <t>JE-00499</t>
  </si>
  <si>
    <t>JE-00499-01</t>
  </si>
  <si>
    <t>DOC-00499</t>
  </si>
  <si>
    <t>JE-00499-02</t>
  </si>
  <si>
    <t>JE-00500</t>
  </si>
  <si>
    <t>JE-00500-01</t>
  </si>
  <si>
    <t>DOC-00500</t>
  </si>
  <si>
    <t>JE-00500-02</t>
  </si>
  <si>
    <t>03_AP_Data — Synthetic Accounts Payable Population</t>
  </si>
  <si>
    <t>Approximately 300 fictional supplier invoices. Amount convention: Gross = Net + VAT (illustrative 15% VAT).</t>
  </si>
  <si>
    <t>Vendor_Name</t>
  </si>
  <si>
    <t>Vendor_Invoice_Number</t>
  </si>
  <si>
    <t>Invoice_Date</t>
  </si>
  <si>
    <t>Due_Date</t>
  </si>
  <si>
    <t>Gross_Amount</t>
  </si>
  <si>
    <t>VAT_Amount</t>
  </si>
  <si>
    <t>Net_Amount</t>
  </si>
  <si>
    <t>Purchase_Order_ID</t>
  </si>
  <si>
    <t>Goods_Receipt_ID</t>
  </si>
  <si>
    <t>Payment_Reference</t>
  </si>
  <si>
    <t>Payment_Date</t>
  </si>
  <si>
    <t>Payment_Status</t>
  </si>
  <si>
    <t>Invoice_Description</t>
  </si>
  <si>
    <t>Entered_By</t>
  </si>
  <si>
    <t>Supporting_Document_Status</t>
  </si>
  <si>
    <t>Days_Invoice_to_Posting</t>
  </si>
  <si>
    <t>Is_Potential_Duplicate</t>
  </si>
  <si>
    <t>Is_Missing_PO</t>
  </si>
  <si>
    <t>Is_Missing_Receipt</t>
  </si>
  <si>
    <t>Is_Potential_Cutoff</t>
  </si>
  <si>
    <t>Exception_Notes</t>
  </si>
  <si>
    <t>INV-00001</t>
  </si>
  <si>
    <t>Afaq Professional Services</t>
  </si>
  <si>
    <t>009-2025-0001</t>
  </si>
  <si>
    <t>PO-00001</t>
  </si>
  <si>
    <t>PAY-00001</t>
  </si>
  <si>
    <t>Paid</t>
  </si>
  <si>
    <t>Utility service</t>
  </si>
  <si>
    <t>Partial</t>
  </si>
  <si>
    <t>INV-00002</t>
  </si>
  <si>
    <t>Red Sand Facilities LLC</t>
  </si>
  <si>
    <t>002-2025-0002</t>
  </si>
  <si>
    <t>PO-00002</t>
  </si>
  <si>
    <t>PAY-00002</t>
  </si>
  <si>
    <t>Campaign services</t>
  </si>
  <si>
    <t>Wadi Marketing Studio</t>
  </si>
  <si>
    <t>004-2025-0003</t>
  </si>
  <si>
    <t>PO-00003</t>
  </si>
  <si>
    <t>GR-00003</t>
  </si>
  <si>
    <t>PAY-00003</t>
  </si>
  <si>
    <t>Transport and logistics</t>
  </si>
  <si>
    <t>Complete</t>
  </si>
  <si>
    <t>INV-00004</t>
  </si>
  <si>
    <t>Thuraya Packaging</t>
  </si>
  <si>
    <t>010-2025-0004</t>
  </si>
  <si>
    <t>PO-00004</t>
  </si>
  <si>
    <t>GR-00004</t>
  </si>
  <si>
    <t>PAY-00004</t>
  </si>
  <si>
    <t>Merchandise replenishment</t>
  </si>
  <si>
    <t>INV-00005</t>
  </si>
  <si>
    <t>002-2025-0005</t>
  </si>
  <si>
    <t>PO-00005</t>
  </si>
  <si>
    <t>PAY-00005</t>
  </si>
  <si>
    <t>INV-00006</t>
  </si>
  <si>
    <t>Desert Star Maintenance</t>
  </si>
  <si>
    <t>008-2025-0006</t>
  </si>
  <si>
    <t>PO-00006</t>
  </si>
  <si>
    <t>PAY-00006</t>
  </si>
  <si>
    <t>009-2025-0007</t>
  </si>
  <si>
    <t>PO-00007</t>
  </si>
  <si>
    <t>Cloud support services</t>
  </si>
  <si>
    <t>INV-00008</t>
  </si>
  <si>
    <t>Sahab IT Services</t>
  </si>
  <si>
    <t>003-2025-0008</t>
  </si>
  <si>
    <t>PO-00008</t>
  </si>
  <si>
    <t>PAY-00008</t>
  </si>
  <si>
    <t>INV-00009</t>
  </si>
  <si>
    <t>010-2025-0009</t>
  </si>
  <si>
    <t>Missing</t>
  </si>
  <si>
    <t>INV-00010</t>
  </si>
  <si>
    <t>Najd Merchandising Co.</t>
  </si>
  <si>
    <t>001-2025-0010</t>
  </si>
  <si>
    <t>PO-00010</t>
  </si>
  <si>
    <t>PAY-00010</t>
  </si>
  <si>
    <t>Store maintenance</t>
  </si>
  <si>
    <t>010-2025-0011</t>
  </si>
  <si>
    <t>PO-00011</t>
  </si>
  <si>
    <t>GR-00011</t>
  </si>
  <si>
    <t>PAY-00011</t>
  </si>
  <si>
    <t>INV-00012</t>
  </si>
  <si>
    <t>Rimal Utilities Provider</t>
  </si>
  <si>
    <t>005-2025-0012</t>
  </si>
  <si>
    <t>PO-00012</t>
  </si>
  <si>
    <t>INV-00013</t>
  </si>
  <si>
    <t>004-2025-0013</t>
  </si>
  <si>
    <t>PO-00013</t>
  </si>
  <si>
    <t>GR-00013</t>
  </si>
  <si>
    <t>PAY-00013</t>
  </si>
  <si>
    <t>INV-00014</t>
  </si>
  <si>
    <t>010-2025-0014</t>
  </si>
  <si>
    <t>PO-00014</t>
  </si>
  <si>
    <t>GR-00014</t>
  </si>
  <si>
    <t>005-2025-0015</t>
  </si>
  <si>
    <t>PO-00015</t>
  </si>
  <si>
    <t>PAY-00015</t>
  </si>
  <si>
    <t>002-2025-0016</t>
  </si>
  <si>
    <t>PO-00016</t>
  </si>
  <si>
    <t>PAY-00016</t>
  </si>
  <si>
    <t>INV-00017</t>
  </si>
  <si>
    <t>003-2025-0017</t>
  </si>
  <si>
    <t>PO-00017</t>
  </si>
  <si>
    <t>GR-00017</t>
  </si>
  <si>
    <t>INV-00018</t>
  </si>
  <si>
    <t>001-2025-0018</t>
  </si>
  <si>
    <t>PO-00018</t>
  </si>
  <si>
    <t>INV-00019</t>
  </si>
  <si>
    <t>010-2025-0019</t>
  </si>
  <si>
    <t>PO-00019</t>
  </si>
  <si>
    <t>GR-00019</t>
  </si>
  <si>
    <t>PAY-00019</t>
  </si>
  <si>
    <t>Office supplies</t>
  </si>
  <si>
    <t>004-2025-0020</t>
  </si>
  <si>
    <t>PO-00020</t>
  </si>
  <si>
    <t>GR-00020</t>
  </si>
  <si>
    <t>PAY-00020</t>
  </si>
  <si>
    <t>INV-00021</t>
  </si>
  <si>
    <t>010-2025-0021</t>
  </si>
  <si>
    <t>PO-00021</t>
  </si>
  <si>
    <t>GR-00021</t>
  </si>
  <si>
    <t>PAY-00021</t>
  </si>
  <si>
    <t>INV-00022</t>
  </si>
  <si>
    <t>002-2025-0022</t>
  </si>
  <si>
    <t>PO-00022</t>
  </si>
  <si>
    <t>INV-00023</t>
  </si>
  <si>
    <t>Palm Office Supplies</t>
  </si>
  <si>
    <t>006-2025-0023</t>
  </si>
  <si>
    <t>PO-00023</t>
  </si>
  <si>
    <t>PAY-00023</t>
  </si>
  <si>
    <t>INV-00024</t>
  </si>
  <si>
    <t>002-2025-0024</t>
  </si>
  <si>
    <t>PO-00024</t>
  </si>
  <si>
    <t>INV-00025</t>
  </si>
  <si>
    <t>001-2025-0025</t>
  </si>
  <si>
    <t>PO-00025</t>
  </si>
  <si>
    <t>GR-00025</t>
  </si>
  <si>
    <t>003-2025-0026</t>
  </si>
  <si>
    <t>PO-00026</t>
  </si>
  <si>
    <t>INV-00027</t>
  </si>
  <si>
    <t>008-2025-0027</t>
  </si>
  <si>
    <t>PO-00027</t>
  </si>
  <si>
    <t>GR-00027</t>
  </si>
  <si>
    <t>PAY-00027</t>
  </si>
  <si>
    <t>INV-00028</t>
  </si>
  <si>
    <t>005-2025-0028</t>
  </si>
  <si>
    <t>PO-00028</t>
  </si>
  <si>
    <t>PAY-00028</t>
  </si>
  <si>
    <t>INV-00029</t>
  </si>
  <si>
    <t>009-2025-0029</t>
  </si>
  <si>
    <t>PO-00029</t>
  </si>
  <si>
    <t>PAY-00029</t>
  </si>
  <si>
    <t>INV-00030</t>
  </si>
  <si>
    <t>004-2025-0030</t>
  </si>
  <si>
    <t>PO-00030</t>
  </si>
  <si>
    <t>GR-00030</t>
  </si>
  <si>
    <t>PAY-00030</t>
  </si>
  <si>
    <t>INV-00031</t>
  </si>
  <si>
    <t>003-2025-0031</t>
  </si>
  <si>
    <t>PO-00031</t>
  </si>
  <si>
    <t>PAY-00031</t>
  </si>
  <si>
    <t>INV-00032</t>
  </si>
  <si>
    <t>009-2025-0032</t>
  </si>
  <si>
    <t>PO-00032</t>
  </si>
  <si>
    <t>PAY-00032</t>
  </si>
  <si>
    <t>INV-00033</t>
  </si>
  <si>
    <t>Oasis Logistics</t>
  </si>
  <si>
    <t>007-2025-0033</t>
  </si>
  <si>
    <t>PO-00033</t>
  </si>
  <si>
    <t>GR-00033</t>
  </si>
  <si>
    <t>PAY-00033</t>
  </si>
  <si>
    <t>INV-00034</t>
  </si>
  <si>
    <t>003-2025-0034</t>
  </si>
  <si>
    <t>PO-00034</t>
  </si>
  <si>
    <t>PAY-00034</t>
  </si>
  <si>
    <t>001-2025-0035</t>
  </si>
  <si>
    <t>PO-00035</t>
  </si>
  <si>
    <t>PAY-00035</t>
  </si>
  <si>
    <t>010-2025-0036</t>
  </si>
  <si>
    <t>PO-00036</t>
  </si>
  <si>
    <t>GR-00036</t>
  </si>
  <si>
    <t>PAY-00036</t>
  </si>
  <si>
    <t>002-2025-0037</t>
  </si>
  <si>
    <t>PO-00037</t>
  </si>
  <si>
    <t>GR-00037</t>
  </si>
  <si>
    <t>005-2025-0038</t>
  </si>
  <si>
    <t>PO-00038</t>
  </si>
  <si>
    <t>PAY-00038</t>
  </si>
  <si>
    <t>INV-00039</t>
  </si>
  <si>
    <t>003-2025-0039</t>
  </si>
  <si>
    <t>PO-00039</t>
  </si>
  <si>
    <t>GR-00039</t>
  </si>
  <si>
    <t>INV-00040</t>
  </si>
  <si>
    <t>002-2025-0040</t>
  </si>
  <si>
    <t>004-2025-0041</t>
  </si>
  <si>
    <t>PAY-00041</t>
  </si>
  <si>
    <t>004-2025-0042</t>
  </si>
  <si>
    <t>PO-00042</t>
  </si>
  <si>
    <t>GR-00042</t>
  </si>
  <si>
    <t>PAY-00042</t>
  </si>
  <si>
    <t>003-2025-0043</t>
  </si>
  <si>
    <t>PO-00043</t>
  </si>
  <si>
    <t>PAY-00043</t>
  </si>
  <si>
    <t>006-2025-0044</t>
  </si>
  <si>
    <t>PO-00044</t>
  </si>
  <si>
    <t>005-2025-0045</t>
  </si>
  <si>
    <t>PO-00045</t>
  </si>
  <si>
    <t>GR-00045</t>
  </si>
  <si>
    <t>PAY-00045</t>
  </si>
  <si>
    <t>INV-00046</t>
  </si>
  <si>
    <t>001-2025-0046</t>
  </si>
  <si>
    <t>PO-00046</t>
  </si>
  <si>
    <t>GR-00046</t>
  </si>
  <si>
    <t>PAY-00046</t>
  </si>
  <si>
    <t>INV-00047</t>
  </si>
  <si>
    <t>005-2025-0047</t>
  </si>
  <si>
    <t>PO-00047</t>
  </si>
  <si>
    <t>GR-00047</t>
  </si>
  <si>
    <t>PAY-00047</t>
  </si>
  <si>
    <t>INV-00048</t>
  </si>
  <si>
    <t>007-2025-0048</t>
  </si>
  <si>
    <t>PO-00048</t>
  </si>
  <si>
    <t>PAY-00048</t>
  </si>
  <si>
    <t>INV-00049</t>
  </si>
  <si>
    <t>003-2025-0049</t>
  </si>
  <si>
    <t>PO-00049</t>
  </si>
  <si>
    <t>PAY-00049</t>
  </si>
  <si>
    <t>010-2025-0050</t>
  </si>
  <si>
    <t>PO-00050</t>
  </si>
  <si>
    <t>PAY-00050</t>
  </si>
  <si>
    <t>009-2025-0051</t>
  </si>
  <si>
    <t>PO-00051</t>
  </si>
  <si>
    <t>PAY-00051</t>
  </si>
  <si>
    <t>004-2025-0052</t>
  </si>
  <si>
    <t>PO-00052</t>
  </si>
  <si>
    <t>INV-00053</t>
  </si>
  <si>
    <t>003-2025-0053</t>
  </si>
  <si>
    <t>PAY-00053</t>
  </si>
  <si>
    <t>006-2025-0054</t>
  </si>
  <si>
    <t>PAY-00054</t>
  </si>
  <si>
    <t>INV-00055</t>
  </si>
  <si>
    <t>007-2025-0055</t>
  </si>
  <si>
    <t>PO-00055</t>
  </si>
  <si>
    <t>PAY-00055</t>
  </si>
  <si>
    <t>INV-00056</t>
  </si>
  <si>
    <t>007-2025-0056</t>
  </si>
  <si>
    <t>PO-00056</t>
  </si>
  <si>
    <t>GR-00056</t>
  </si>
  <si>
    <t>PAY-00056</t>
  </si>
  <si>
    <t>INV-00057</t>
  </si>
  <si>
    <t>010-2025-0057</t>
  </si>
  <si>
    <t>PO-00057</t>
  </si>
  <si>
    <t>PAY-00057</t>
  </si>
  <si>
    <t>INV-00058</t>
  </si>
  <si>
    <t>PO-00058</t>
  </si>
  <si>
    <t>GR-00058</t>
  </si>
  <si>
    <t>INV-00059</t>
  </si>
  <si>
    <t>007-2025-0059</t>
  </si>
  <si>
    <t>PO-00059</t>
  </si>
  <si>
    <t>006-2025-0060</t>
  </si>
  <si>
    <t>PO-00060</t>
  </si>
  <si>
    <t>PAY-00060</t>
  </si>
  <si>
    <t>007-2025-0061</t>
  </si>
  <si>
    <t>PO-00061</t>
  </si>
  <si>
    <t>GR-00061</t>
  </si>
  <si>
    <t>PAY-00061</t>
  </si>
  <si>
    <t>INV-00062</t>
  </si>
  <si>
    <t>006-2025-0062</t>
  </si>
  <si>
    <t>PO-00062</t>
  </si>
  <si>
    <t>PAY-00062</t>
  </si>
  <si>
    <t>INV-00063</t>
  </si>
  <si>
    <t>003-2025-0063</t>
  </si>
  <si>
    <t>PO-00063</t>
  </si>
  <si>
    <t>PAY-00063</t>
  </si>
  <si>
    <t>INV-00064</t>
  </si>
  <si>
    <t>006-2025-0064</t>
  </si>
  <si>
    <t>PO-00064</t>
  </si>
  <si>
    <t>GR-00064</t>
  </si>
  <si>
    <t>006-2025-0065</t>
  </si>
  <si>
    <t>PO-00065</t>
  </si>
  <si>
    <t>INV-00066</t>
  </si>
  <si>
    <t>010-2025-0066</t>
  </si>
  <si>
    <t>PO-00066</t>
  </si>
  <si>
    <t>PAY-00066</t>
  </si>
  <si>
    <t>006-2025-0067</t>
  </si>
  <si>
    <t>PO-00067</t>
  </si>
  <si>
    <t>GR-00067</t>
  </si>
  <si>
    <t>PAY-00067</t>
  </si>
  <si>
    <t>009-2025-0068</t>
  </si>
  <si>
    <t>PO-00068</t>
  </si>
  <si>
    <t>PAY-00068</t>
  </si>
  <si>
    <t>INV-00069</t>
  </si>
  <si>
    <t>002-2025-0069</t>
  </si>
  <si>
    <t>PO-00069</t>
  </si>
  <si>
    <t>PAY-00069</t>
  </si>
  <si>
    <t>INV-00070</t>
  </si>
  <si>
    <t>007-2025-0070</t>
  </si>
  <si>
    <t>PO-00070</t>
  </si>
  <si>
    <t>GR-00070</t>
  </si>
  <si>
    <t>PAY-00070</t>
  </si>
  <si>
    <t>INV-00071</t>
  </si>
  <si>
    <t>005-2025-0071</t>
  </si>
  <si>
    <t>PO-00071</t>
  </si>
  <si>
    <t>GR-00071</t>
  </si>
  <si>
    <t>PAY-00071</t>
  </si>
  <si>
    <t>INV-00072</t>
  </si>
  <si>
    <t>003-2025-0072</t>
  </si>
  <si>
    <t>PO-00072</t>
  </si>
  <si>
    <t>GR-00072</t>
  </si>
  <si>
    <t>PAY-00072</t>
  </si>
  <si>
    <t>INV-00073</t>
  </si>
  <si>
    <t>001-2025-0073</t>
  </si>
  <si>
    <t>PAY-00073</t>
  </si>
  <si>
    <t>INV-00074</t>
  </si>
  <si>
    <t>010-2025-0074</t>
  </si>
  <si>
    <t>PO-00074</t>
  </si>
  <si>
    <t>PAY-00074</t>
  </si>
  <si>
    <t>INV-00075</t>
  </si>
  <si>
    <t>010-2025-0075</t>
  </si>
  <si>
    <t>PO-00075</t>
  </si>
  <si>
    <t>INV-00076</t>
  </si>
  <si>
    <t>010-2025-0076</t>
  </si>
  <si>
    <t>PO-00076</t>
  </si>
  <si>
    <t>GR-00076</t>
  </si>
  <si>
    <t>INV-00077</t>
  </si>
  <si>
    <t>008-2025-0077</t>
  </si>
  <si>
    <t>PO-00077</t>
  </si>
  <si>
    <t>PAY-00077</t>
  </si>
  <si>
    <t>INV-00078</t>
  </si>
  <si>
    <t>005-2025-0078</t>
  </si>
  <si>
    <t>PAY-00078</t>
  </si>
  <si>
    <t>003-2025-0079</t>
  </si>
  <si>
    <t>PO-00079</t>
  </si>
  <si>
    <t>INV-00080</t>
  </si>
  <si>
    <t>004-2025-0080</t>
  </si>
  <si>
    <t>PO-00080</t>
  </si>
  <si>
    <t>PAY-00080</t>
  </si>
  <si>
    <t>INV-00081</t>
  </si>
  <si>
    <t>010-2025-0081</t>
  </si>
  <si>
    <t>PO-00081</t>
  </si>
  <si>
    <t>PAY-00081</t>
  </si>
  <si>
    <t>INV-00082</t>
  </si>
  <si>
    <t>010-2025-0082</t>
  </si>
  <si>
    <t>PO-00082</t>
  </si>
  <si>
    <t>PAY-00082</t>
  </si>
  <si>
    <t>INV-00083</t>
  </si>
  <si>
    <t>003-2025-0083</t>
  </si>
  <si>
    <t>PO-00083</t>
  </si>
  <si>
    <t>PAY-00083</t>
  </si>
  <si>
    <t>INV-00084</t>
  </si>
  <si>
    <t>003-2025-0084</t>
  </si>
  <si>
    <t>PO-00084</t>
  </si>
  <si>
    <t>GR-00084</t>
  </si>
  <si>
    <t>PAY-00084</t>
  </si>
  <si>
    <t>INV-00085</t>
  </si>
  <si>
    <t>006-2025-0085</t>
  </si>
  <si>
    <t>PO-00085</t>
  </si>
  <si>
    <t>INV-00086</t>
  </si>
  <si>
    <t>009-2025-0086</t>
  </si>
  <si>
    <t>PO-00086</t>
  </si>
  <si>
    <t>PAY-00086</t>
  </si>
  <si>
    <t>INV-00087</t>
  </si>
  <si>
    <t>006-2025-0087</t>
  </si>
  <si>
    <t>PO-00087</t>
  </si>
  <si>
    <t>INV-00088</t>
  </si>
  <si>
    <t>007-2025-0088</t>
  </si>
  <si>
    <t>PO-00088</t>
  </si>
  <si>
    <t>PAY-00088</t>
  </si>
  <si>
    <t>INV-00089</t>
  </si>
  <si>
    <t>004-2025-0089</t>
  </si>
  <si>
    <t>PO-00089</t>
  </si>
  <si>
    <t>PAY-00089</t>
  </si>
  <si>
    <t>INV-00090</t>
  </si>
  <si>
    <t>001-2025-0090</t>
  </si>
  <si>
    <t>PO-00090</t>
  </si>
  <si>
    <t>GR-00090</t>
  </si>
  <si>
    <t>PAY-00090</t>
  </si>
  <si>
    <t>INV-00091</t>
  </si>
  <si>
    <t>004-2025-0091</t>
  </si>
  <si>
    <t>PO-00091</t>
  </si>
  <si>
    <t>PAY-00091</t>
  </si>
  <si>
    <t>INV-00092</t>
  </si>
  <si>
    <t>008-2025-0092</t>
  </si>
  <si>
    <t>PO-00092</t>
  </si>
  <si>
    <t>GR-00092</t>
  </si>
  <si>
    <t>INV-00093</t>
  </si>
  <si>
    <t>010-2025-0093</t>
  </si>
  <si>
    <t>PO-00093</t>
  </si>
  <si>
    <t>GR-00093</t>
  </si>
  <si>
    <t>INV-00094</t>
  </si>
  <si>
    <t>004-2025-0094</t>
  </si>
  <si>
    <t>PO-00094</t>
  </si>
  <si>
    <t>PAY-00094</t>
  </si>
  <si>
    <t>INV-00095</t>
  </si>
  <si>
    <t>008-2025-0095</t>
  </si>
  <si>
    <t>PO-00095</t>
  </si>
  <si>
    <t>PAY-00095</t>
  </si>
  <si>
    <t>INV-00096</t>
  </si>
  <si>
    <t>005-2025-0096</t>
  </si>
  <si>
    <t>PO-00096</t>
  </si>
  <si>
    <t>GR-00096</t>
  </si>
  <si>
    <t>PAY-00096</t>
  </si>
  <si>
    <t>INV-00097</t>
  </si>
  <si>
    <t>001-2025-0097</t>
  </si>
  <si>
    <t>PO-00097</t>
  </si>
  <si>
    <t>GR-00097</t>
  </si>
  <si>
    <t>PAY-00097</t>
  </si>
  <si>
    <t>INV-00098</t>
  </si>
  <si>
    <t>008-2025-0098</t>
  </si>
  <si>
    <t>PO-00098</t>
  </si>
  <si>
    <t>PAY-00098</t>
  </si>
  <si>
    <t>006-2025-0099</t>
  </si>
  <si>
    <t>PO-00099</t>
  </si>
  <si>
    <t>PAY-00099</t>
  </si>
  <si>
    <t>INV-00100</t>
  </si>
  <si>
    <t>002-2025-0100</t>
  </si>
  <si>
    <t>PO-00100</t>
  </si>
  <si>
    <t>PAY-00100</t>
  </si>
  <si>
    <t>INV-00101</t>
  </si>
  <si>
    <t>008-2025-0101</t>
  </si>
  <si>
    <t>PO-00101</t>
  </si>
  <si>
    <t>GR-00101</t>
  </si>
  <si>
    <t>INV-00102</t>
  </si>
  <si>
    <t>007-2025-0102</t>
  </si>
  <si>
    <t>PAY-00102</t>
  </si>
  <si>
    <t>INV-00103</t>
  </si>
  <si>
    <t>010-2025-0103</t>
  </si>
  <si>
    <t>PO-00103</t>
  </si>
  <si>
    <t>GR-00103</t>
  </si>
  <si>
    <t>PAY-00103</t>
  </si>
  <si>
    <t>INV-00104</t>
  </si>
  <si>
    <t>001-2025-0104</t>
  </si>
  <si>
    <t>PO-00104</t>
  </si>
  <si>
    <t>INV-00105</t>
  </si>
  <si>
    <t>006-2025-0105</t>
  </si>
  <si>
    <t>PO-00105</t>
  </si>
  <si>
    <t>INV-00106</t>
  </si>
  <si>
    <t>005-2025-0106</t>
  </si>
  <si>
    <t>PO-00106</t>
  </si>
  <si>
    <t>PAY-00106</t>
  </si>
  <si>
    <t>INV-00107</t>
  </si>
  <si>
    <t>010-2025-0107</t>
  </si>
  <si>
    <t>PO-00107</t>
  </si>
  <si>
    <t>GR-00107</t>
  </si>
  <si>
    <t>PAY-00107</t>
  </si>
  <si>
    <t>010-2025-0108</t>
  </si>
  <si>
    <t>PO-00108</t>
  </si>
  <si>
    <t>GR-00108</t>
  </si>
  <si>
    <t>006-2025-0109</t>
  </si>
  <si>
    <t>PO-00109</t>
  </si>
  <si>
    <t>PAY-00109</t>
  </si>
  <si>
    <t>INV-00110</t>
  </si>
  <si>
    <t>007-2025-0110</t>
  </si>
  <si>
    <t>PO-00110</t>
  </si>
  <si>
    <t>PAY-00110</t>
  </si>
  <si>
    <t>INV-00111</t>
  </si>
  <si>
    <t>002-2025-0111</t>
  </si>
  <si>
    <t>PO-00111</t>
  </si>
  <si>
    <t>GR-00111</t>
  </si>
  <si>
    <t>PAY-00111</t>
  </si>
  <si>
    <t>INV-00112</t>
  </si>
  <si>
    <t>006-2025-0112</t>
  </si>
  <si>
    <t>PO-00112</t>
  </si>
  <si>
    <t>GR-00112</t>
  </si>
  <si>
    <t>PAY-00112</t>
  </si>
  <si>
    <t>002-2025-0113</t>
  </si>
  <si>
    <t>PO-00113</t>
  </si>
  <si>
    <t>PAY-00113</t>
  </si>
  <si>
    <t>INV-00114</t>
  </si>
  <si>
    <t>007-2025-0114</t>
  </si>
  <si>
    <t>PO-00114</t>
  </si>
  <si>
    <t>GR-00114</t>
  </si>
  <si>
    <t>INV-00115</t>
  </si>
  <si>
    <t>008-2025-0115</t>
  </si>
  <si>
    <t>PO-00115</t>
  </si>
  <si>
    <t>PAY-00115</t>
  </si>
  <si>
    <t>INV-00116</t>
  </si>
  <si>
    <t>002-2025-0116</t>
  </si>
  <si>
    <t>PO-00116</t>
  </si>
  <si>
    <t>PAY-00116</t>
  </si>
  <si>
    <t>INV-00117</t>
  </si>
  <si>
    <t>003-2025-0117</t>
  </si>
  <si>
    <t>PO-00117</t>
  </si>
  <si>
    <t>GR-00117</t>
  </si>
  <si>
    <t>PAY-00117</t>
  </si>
  <si>
    <t>INV-00118</t>
  </si>
  <si>
    <t>006-2025-0118</t>
  </si>
  <si>
    <t>PO-00118</t>
  </si>
  <si>
    <t>GR-00118</t>
  </si>
  <si>
    <t>PAY-00118</t>
  </si>
  <si>
    <t>INV-00119</t>
  </si>
  <si>
    <t>007-2025-0119</t>
  </si>
  <si>
    <t>PO-00119</t>
  </si>
  <si>
    <t>PAY-00119</t>
  </si>
  <si>
    <t>INV-00120</t>
  </si>
  <si>
    <t>007-2025-0120</t>
  </si>
  <si>
    <t>PO-00120</t>
  </si>
  <si>
    <t>GR-00120</t>
  </si>
  <si>
    <t>PAY-00120</t>
  </si>
  <si>
    <t>INV-00121</t>
  </si>
  <si>
    <t>009-2025-0121</t>
  </si>
  <si>
    <t>PO-00121</t>
  </si>
  <si>
    <t>GR-00121</t>
  </si>
  <si>
    <t>PAY-00121</t>
  </si>
  <si>
    <t>INV-00122</t>
  </si>
  <si>
    <t>007-2025-0122</t>
  </si>
  <si>
    <t>PO-00122</t>
  </si>
  <si>
    <t>GR-00122</t>
  </si>
  <si>
    <t>PAY-00122</t>
  </si>
  <si>
    <t>INV-00123</t>
  </si>
  <si>
    <t>008-2025-0123</t>
  </si>
  <si>
    <t>PO-00123</t>
  </si>
  <si>
    <t>GR-00123</t>
  </si>
  <si>
    <t>INV-00124</t>
  </si>
  <si>
    <t>002-2025-0124</t>
  </si>
  <si>
    <t>PO-00124</t>
  </si>
  <si>
    <t>PAY-00124</t>
  </si>
  <si>
    <t>005-2025-0125</t>
  </si>
  <si>
    <t>PO-00125</t>
  </si>
  <si>
    <t>GR-00125</t>
  </si>
  <si>
    <t>PAY-00125</t>
  </si>
  <si>
    <t>INV-00126</t>
  </si>
  <si>
    <t>002-2025-0126</t>
  </si>
  <si>
    <t>PO-00126</t>
  </si>
  <si>
    <t>PAY-00126</t>
  </si>
  <si>
    <t>INV-00127</t>
  </si>
  <si>
    <t>004-2025-0127</t>
  </si>
  <si>
    <t>PO-00127</t>
  </si>
  <si>
    <t>010-2025-0128</t>
  </si>
  <si>
    <t>PO-00128</t>
  </si>
  <si>
    <t>PAY-00128</t>
  </si>
  <si>
    <t>INV-00129</t>
  </si>
  <si>
    <t>010-2025-0129</t>
  </si>
  <si>
    <t>PO-00129</t>
  </si>
  <si>
    <t>INV-00130</t>
  </si>
  <si>
    <t>009-2025-0130</t>
  </si>
  <si>
    <t>PO-00130</t>
  </si>
  <si>
    <t>GR-00130</t>
  </si>
  <si>
    <t>PAY-00130</t>
  </si>
  <si>
    <t>008-2025-0131</t>
  </si>
  <si>
    <t>PAY-00131</t>
  </si>
  <si>
    <t>005-2025-0132</t>
  </si>
  <si>
    <t>PO-00132</t>
  </si>
  <si>
    <t>PAY-00132</t>
  </si>
  <si>
    <t>INV-00133</t>
  </si>
  <si>
    <t>005-2025-0133</t>
  </si>
  <si>
    <t>PO-00133</t>
  </si>
  <si>
    <t>GR-00133</t>
  </si>
  <si>
    <t>PAY-00133</t>
  </si>
  <si>
    <t>INV-00134</t>
  </si>
  <si>
    <t>008-2025-0134</t>
  </si>
  <si>
    <t>PO-00134</t>
  </si>
  <si>
    <t>GR-00134</t>
  </si>
  <si>
    <t>PAY-00134</t>
  </si>
  <si>
    <t>INV-00135</t>
  </si>
  <si>
    <t>010-2025-0135</t>
  </si>
  <si>
    <t>PO-00135</t>
  </si>
  <si>
    <t>GR-00135</t>
  </si>
  <si>
    <t>PAY-00135</t>
  </si>
  <si>
    <t>INV-00136</t>
  </si>
  <si>
    <t>007-2025-0136</t>
  </si>
  <si>
    <t>PO-00136</t>
  </si>
  <si>
    <t>GR-00136</t>
  </si>
  <si>
    <t>INV-00137</t>
  </si>
  <si>
    <t>005-2025-0137</t>
  </si>
  <si>
    <t>PO-00137</t>
  </si>
  <si>
    <t>PAY-00137</t>
  </si>
  <si>
    <t>008-2025-0138</t>
  </si>
  <si>
    <t>PO-00138</t>
  </si>
  <si>
    <t>GR-00138</t>
  </si>
  <si>
    <t>PAY-00138</t>
  </si>
  <si>
    <t>INV-00139</t>
  </si>
  <si>
    <t>003-2025-0139</t>
  </si>
  <si>
    <t>PO-00139</t>
  </si>
  <si>
    <t>PAY-00139</t>
  </si>
  <si>
    <t>007-2025-0140</t>
  </si>
  <si>
    <t>PO-00140</t>
  </si>
  <si>
    <t>PAY-00140</t>
  </si>
  <si>
    <t>INV-00141</t>
  </si>
  <si>
    <t>008-2025-0141</t>
  </si>
  <si>
    <t>PO-00141</t>
  </si>
  <si>
    <t>GR-00141</t>
  </si>
  <si>
    <t>PAY-00141</t>
  </si>
  <si>
    <t>INV-00142</t>
  </si>
  <si>
    <t>010-2025-0142</t>
  </si>
  <si>
    <t>PO-00142</t>
  </si>
  <si>
    <t>PAY-00142</t>
  </si>
  <si>
    <t>INV-00143</t>
  </si>
  <si>
    <t>005-2025-0143</t>
  </si>
  <si>
    <t>PO-00143</t>
  </si>
  <si>
    <t>PAY-00143</t>
  </si>
  <si>
    <t>009-2025-0144</t>
  </si>
  <si>
    <t>PO-00144</t>
  </si>
  <si>
    <t>PAY-00144</t>
  </si>
  <si>
    <t>INV-00145</t>
  </si>
  <si>
    <t>006-2025-0145</t>
  </si>
  <si>
    <t>PO-00145</t>
  </si>
  <si>
    <t>GR-00145</t>
  </si>
  <si>
    <t>INV-00146</t>
  </si>
  <si>
    <t>005-2025-0146</t>
  </si>
  <si>
    <t>PO-00146</t>
  </si>
  <si>
    <t>INV-00147</t>
  </si>
  <si>
    <t>007-2025-0147</t>
  </si>
  <si>
    <t>PO-00147</t>
  </si>
  <si>
    <t>GR-00147</t>
  </si>
  <si>
    <t>PAY-00147</t>
  </si>
  <si>
    <t>INV-00148</t>
  </si>
  <si>
    <t>008-2025-0148</t>
  </si>
  <si>
    <t>PO-00148</t>
  </si>
  <si>
    <t>GR-00148</t>
  </si>
  <si>
    <t>PAY-00148</t>
  </si>
  <si>
    <t>004-2025-0149</t>
  </si>
  <si>
    <t>PO-00149</t>
  </si>
  <si>
    <t>GR-00149</t>
  </si>
  <si>
    <t>PAY-00149</t>
  </si>
  <si>
    <t>009-2025-0150</t>
  </si>
  <si>
    <t>PO-00150</t>
  </si>
  <si>
    <t>PAY-00150</t>
  </si>
  <si>
    <t>003-2025-0151</t>
  </si>
  <si>
    <t>PO-00151</t>
  </si>
  <si>
    <t>010-2025-0152</t>
  </si>
  <si>
    <t>PO-00152</t>
  </si>
  <si>
    <t>GR-00152</t>
  </si>
  <si>
    <t>PAY-00152</t>
  </si>
  <si>
    <t>INV-00153</t>
  </si>
  <si>
    <t>005-2025-0153</t>
  </si>
  <si>
    <t>PO-00153</t>
  </si>
  <si>
    <t>GR-00153</t>
  </si>
  <si>
    <t>INV-00154</t>
  </si>
  <si>
    <t>009-2025-0154</t>
  </si>
  <si>
    <t>PO-00154</t>
  </si>
  <si>
    <t>GR-00154</t>
  </si>
  <si>
    <t>PAY-00154</t>
  </si>
  <si>
    <t>007-2025-0155</t>
  </si>
  <si>
    <t>PO-00155</t>
  </si>
  <si>
    <t>PAY-00155</t>
  </si>
  <si>
    <t>INV-00156</t>
  </si>
  <si>
    <t>002-2025-0156</t>
  </si>
  <si>
    <t>PO-00156</t>
  </si>
  <si>
    <t>GR-00156</t>
  </si>
  <si>
    <t>PAY-00156</t>
  </si>
  <si>
    <t>INV-00157</t>
  </si>
  <si>
    <t>004-2025-0157</t>
  </si>
  <si>
    <t>PO-00157</t>
  </si>
  <si>
    <t>PAY-00157</t>
  </si>
  <si>
    <t>001-2025-0158</t>
  </si>
  <si>
    <t>PO-00158</t>
  </si>
  <si>
    <t>GR-00158</t>
  </si>
  <si>
    <t>INV-00159</t>
  </si>
  <si>
    <t>010-2025-0159</t>
  </si>
  <si>
    <t>PO-00159</t>
  </si>
  <si>
    <t>PAY-00159</t>
  </si>
  <si>
    <t>INV-00160</t>
  </si>
  <si>
    <t>006-2025-0160</t>
  </si>
  <si>
    <t>PO-00160</t>
  </si>
  <si>
    <t>GR-00160</t>
  </si>
  <si>
    <t>INV-00161</t>
  </si>
  <si>
    <t>003-2025-0161</t>
  </si>
  <si>
    <t>PO-00161</t>
  </si>
  <si>
    <t>GR-00161</t>
  </si>
  <si>
    <t>PAY-00161</t>
  </si>
  <si>
    <t>INV-00162</t>
  </si>
  <si>
    <t>009-2025-0162</t>
  </si>
  <si>
    <t>PO-00162</t>
  </si>
  <si>
    <t>GR-00162</t>
  </si>
  <si>
    <t>PAY-00162</t>
  </si>
  <si>
    <t>INV-00163</t>
  </si>
  <si>
    <t>007-2025-0163</t>
  </si>
  <si>
    <t>PO-00163</t>
  </si>
  <si>
    <t>007-2025-0164</t>
  </si>
  <si>
    <t>PO-00164</t>
  </si>
  <si>
    <t>GR-00164</t>
  </si>
  <si>
    <t>PAY-00164</t>
  </si>
  <si>
    <t>INV-00165</t>
  </si>
  <si>
    <t>003-2025-0165</t>
  </si>
  <si>
    <t>PO-00165</t>
  </si>
  <si>
    <t>GR-00165</t>
  </si>
  <si>
    <t>PAY-00165</t>
  </si>
  <si>
    <t>INV-00166</t>
  </si>
  <si>
    <t>004-2025-0166</t>
  </si>
  <si>
    <t>PO-00166</t>
  </si>
  <si>
    <t>GR-00166</t>
  </si>
  <si>
    <t>INV-00167</t>
  </si>
  <si>
    <t>006-2025-0167</t>
  </si>
  <si>
    <t>PO-00167</t>
  </si>
  <si>
    <t>INV-00168</t>
  </si>
  <si>
    <t>006-2025-0168</t>
  </si>
  <si>
    <t>PO-00168</t>
  </si>
  <si>
    <t>PAY-00168</t>
  </si>
  <si>
    <t>004-2025-0169</t>
  </si>
  <si>
    <t>PO-00169</t>
  </si>
  <si>
    <t>GR-00169</t>
  </si>
  <si>
    <t>PAY-00169</t>
  </si>
  <si>
    <t>INV-00170</t>
  </si>
  <si>
    <t>006-2025-0170</t>
  </si>
  <si>
    <t>PO-00170</t>
  </si>
  <si>
    <t>PAY-00170</t>
  </si>
  <si>
    <t>001-2025-0171</t>
  </si>
  <si>
    <t>PO-00171</t>
  </si>
  <si>
    <t>006-2025-0172</t>
  </si>
  <si>
    <t>PO-00172</t>
  </si>
  <si>
    <t>PAY-00172</t>
  </si>
  <si>
    <t>INV-00173</t>
  </si>
  <si>
    <t>004-2025-0173</t>
  </si>
  <si>
    <t>PO-00173</t>
  </si>
  <si>
    <t>PAY-00173</t>
  </si>
  <si>
    <t>INV-00174</t>
  </si>
  <si>
    <t>010-2025-0174</t>
  </si>
  <si>
    <t>PO-00174</t>
  </si>
  <si>
    <t>GR-00174</t>
  </si>
  <si>
    <t>INV-00175</t>
  </si>
  <si>
    <t>006-2025-0175</t>
  </si>
  <si>
    <t>PO-00175</t>
  </si>
  <si>
    <t>007-2025-0176</t>
  </si>
  <si>
    <t>PO-00176</t>
  </si>
  <si>
    <t>GR-00176</t>
  </si>
  <si>
    <t>PAY-00176</t>
  </si>
  <si>
    <t>007-2025-0177</t>
  </si>
  <si>
    <t>PO-00177</t>
  </si>
  <si>
    <t>GR-00177</t>
  </si>
  <si>
    <t>PAY-00177</t>
  </si>
  <si>
    <t>INV-00178</t>
  </si>
  <si>
    <t>001-2025-0178</t>
  </si>
  <si>
    <t>PO-00178</t>
  </si>
  <si>
    <t>PAY-00178</t>
  </si>
  <si>
    <t>010-2025-0179</t>
  </si>
  <si>
    <t>PAY-00179</t>
  </si>
  <si>
    <t>INV-00180</t>
  </si>
  <si>
    <t>004-2025-0180</t>
  </si>
  <si>
    <t>PO-00180</t>
  </si>
  <si>
    <t>PAY-00180</t>
  </si>
  <si>
    <t>004-2025-0181</t>
  </si>
  <si>
    <t>PO-00181</t>
  </si>
  <si>
    <t>PAY-00181</t>
  </si>
  <si>
    <t>001-2025-0182</t>
  </si>
  <si>
    <t>PO-00182</t>
  </si>
  <si>
    <t>PAY-00182</t>
  </si>
  <si>
    <t>INV-00183</t>
  </si>
  <si>
    <t>009-2025-0183</t>
  </si>
  <si>
    <t>PO-00183</t>
  </si>
  <si>
    <t>PAY-00183</t>
  </si>
  <si>
    <t>INV-00184</t>
  </si>
  <si>
    <t>007-2025-0184</t>
  </si>
  <si>
    <t>PO-00184</t>
  </si>
  <si>
    <t>GR-00184</t>
  </si>
  <si>
    <t>PAY-00184</t>
  </si>
  <si>
    <t>INV-00185</t>
  </si>
  <si>
    <t>002-2025-0185</t>
  </si>
  <si>
    <t>PO-00185</t>
  </si>
  <si>
    <t>GR-00185</t>
  </si>
  <si>
    <t>PAY-00185</t>
  </si>
  <si>
    <t>INV-00186</t>
  </si>
  <si>
    <t>003-2025-0186</t>
  </si>
  <si>
    <t>PO-00186</t>
  </si>
  <si>
    <t>GR-00186</t>
  </si>
  <si>
    <t>INV-00187</t>
  </si>
  <si>
    <t>002-2025-0187</t>
  </si>
  <si>
    <t>PO-00187</t>
  </si>
  <si>
    <t>GR-00187</t>
  </si>
  <si>
    <t>PAY-00187</t>
  </si>
  <si>
    <t>INV-00188</t>
  </si>
  <si>
    <t>006-2025-0188</t>
  </si>
  <si>
    <t>PO-00188</t>
  </si>
  <si>
    <t>005-2025-0189</t>
  </si>
  <si>
    <t>PO-00189</t>
  </si>
  <si>
    <t>GR-00189</t>
  </si>
  <si>
    <t>PAY-00189</t>
  </si>
  <si>
    <t>INV-00190</t>
  </si>
  <si>
    <t>001-2025-0190</t>
  </si>
  <si>
    <t>PO-00190</t>
  </si>
  <si>
    <t>PAY-00190</t>
  </si>
  <si>
    <t>INV-00191</t>
  </si>
  <si>
    <t>010-2025-0191</t>
  </si>
  <si>
    <t>PO-00191</t>
  </si>
  <si>
    <t>PAY-00191</t>
  </si>
  <si>
    <t>001-2025-0192</t>
  </si>
  <si>
    <t>PO-00192</t>
  </si>
  <si>
    <t>GR-00192</t>
  </si>
  <si>
    <t>INV-00193</t>
  </si>
  <si>
    <t>009-2025-0193</t>
  </si>
  <si>
    <t>PO-00193</t>
  </si>
  <si>
    <t>PAY-00193</t>
  </si>
  <si>
    <t>003-2025-0194</t>
  </si>
  <si>
    <t>PO-00194</t>
  </si>
  <si>
    <t>GR-00194</t>
  </si>
  <si>
    <t>PAY-00194</t>
  </si>
  <si>
    <t>005-2025-0195</t>
  </si>
  <si>
    <t>PO-00195</t>
  </si>
  <si>
    <t>GR-00195</t>
  </si>
  <si>
    <t>INV-00196</t>
  </si>
  <si>
    <t>010-2025-0196</t>
  </si>
  <si>
    <t>PO-00196</t>
  </si>
  <si>
    <t>GR-00196</t>
  </si>
  <si>
    <t>004-2025-0197</t>
  </si>
  <si>
    <t>PO-00197</t>
  </si>
  <si>
    <t>PAY-00197</t>
  </si>
  <si>
    <t>003-2025-0198</t>
  </si>
  <si>
    <t>PO-00198</t>
  </si>
  <si>
    <t>GR-00198</t>
  </si>
  <si>
    <t>PAY-00198</t>
  </si>
  <si>
    <t>INV-00199</t>
  </si>
  <si>
    <t>008-2025-0199</t>
  </si>
  <si>
    <t>PO-00199</t>
  </si>
  <si>
    <t>PAY-00199</t>
  </si>
  <si>
    <t>INV-00200</t>
  </si>
  <si>
    <t>004-2025-0200</t>
  </si>
  <si>
    <t>PAY-00200</t>
  </si>
  <si>
    <t>INV-00201</t>
  </si>
  <si>
    <t>008-2025-0201</t>
  </si>
  <si>
    <t>PO-00201</t>
  </si>
  <si>
    <t>PAY-00201</t>
  </si>
  <si>
    <t>INV-00202</t>
  </si>
  <si>
    <t>010-2025-0202</t>
  </si>
  <si>
    <t>PO-00202</t>
  </si>
  <si>
    <t>PAY-00202</t>
  </si>
  <si>
    <t>001-2025-0203</t>
  </si>
  <si>
    <t>PO-00203</t>
  </si>
  <si>
    <t>GR-00203</t>
  </si>
  <si>
    <t>PAY-00203</t>
  </si>
  <si>
    <t>INV-00204</t>
  </si>
  <si>
    <t>006-2025-0204</t>
  </si>
  <si>
    <t>PO-00204</t>
  </si>
  <si>
    <t>GR-00204</t>
  </si>
  <si>
    <t>PAY-00204</t>
  </si>
  <si>
    <t>008-2025-0205</t>
  </si>
  <si>
    <t>PO-00205</t>
  </si>
  <si>
    <t>GR-00205</t>
  </si>
  <si>
    <t>PAY-00205</t>
  </si>
  <si>
    <t>INV-00206</t>
  </si>
  <si>
    <t>001-2025-0206</t>
  </si>
  <si>
    <t>INV-00207</t>
  </si>
  <si>
    <t>003-2025-0207</t>
  </si>
  <si>
    <t>PO-00207</t>
  </si>
  <si>
    <t>PAY-00207</t>
  </si>
  <si>
    <t>005-2025-0208</t>
  </si>
  <si>
    <t>PAY-00208</t>
  </si>
  <si>
    <t>INV-00209</t>
  </si>
  <si>
    <t>003-2025-0209</t>
  </si>
  <si>
    <t>PO-00209</t>
  </si>
  <si>
    <t>GR-00209</t>
  </si>
  <si>
    <t>INV-00210</t>
  </si>
  <si>
    <t>005-2025-0210</t>
  </si>
  <si>
    <t>PO-00210</t>
  </si>
  <si>
    <t>PAY-00210</t>
  </si>
  <si>
    <t>007-2025-0211</t>
  </si>
  <si>
    <t>PO-00211</t>
  </si>
  <si>
    <t>GR-00211</t>
  </si>
  <si>
    <t>PAY-00211</t>
  </si>
  <si>
    <t>INV-00212</t>
  </si>
  <si>
    <t>010-2025-0212</t>
  </si>
  <si>
    <t>PO-00212</t>
  </si>
  <si>
    <t>GR-00212</t>
  </si>
  <si>
    <t>PAY-00212</t>
  </si>
  <si>
    <t>INV-00213</t>
  </si>
  <si>
    <t>008-2025-0213</t>
  </si>
  <si>
    <t>PO-00213</t>
  </si>
  <si>
    <t>PAY-00213</t>
  </si>
  <si>
    <t>INV-00214</t>
  </si>
  <si>
    <t>006-2025-0214</t>
  </si>
  <si>
    <t>PO-00214</t>
  </si>
  <si>
    <t>PAY-00214</t>
  </si>
  <si>
    <t>INV-00215</t>
  </si>
  <si>
    <t>006-2025-0215</t>
  </si>
  <si>
    <t>PO-00215</t>
  </si>
  <si>
    <t>PAY-00215</t>
  </si>
  <si>
    <t>INV-00216</t>
  </si>
  <si>
    <t>008-2025-0216</t>
  </si>
  <si>
    <t>PO-00216</t>
  </si>
  <si>
    <t>PAY-00216</t>
  </si>
  <si>
    <t>INV-00217</t>
  </si>
  <si>
    <t>008-2025-0217</t>
  </si>
  <si>
    <t>PO-00217</t>
  </si>
  <si>
    <t>GR-00217</t>
  </si>
  <si>
    <t>PAY-00217</t>
  </si>
  <si>
    <t>INV-00218</t>
  </si>
  <si>
    <t>001-2025-0218</t>
  </si>
  <si>
    <t>PO-00218</t>
  </si>
  <si>
    <t>GR-00218</t>
  </si>
  <si>
    <t>PAY-00218</t>
  </si>
  <si>
    <t>INV-00219</t>
  </si>
  <si>
    <t>006-2025-0219</t>
  </si>
  <si>
    <t>PO-00219</t>
  </si>
  <si>
    <t>GR-00219</t>
  </si>
  <si>
    <t>PAY-00219</t>
  </si>
  <si>
    <t>INV-00220</t>
  </si>
  <si>
    <t>003-2025-0220</t>
  </si>
  <si>
    <t>PO-00220</t>
  </si>
  <si>
    <t>006-2025-0221</t>
  </si>
  <si>
    <t>PO-00221</t>
  </si>
  <si>
    <t>PAY-00221</t>
  </si>
  <si>
    <t>INV-00222</t>
  </si>
  <si>
    <t>010-2025-0222</t>
  </si>
  <si>
    <t>PO-00222</t>
  </si>
  <si>
    <t>PAY-00222</t>
  </si>
  <si>
    <t>INV-00223</t>
  </si>
  <si>
    <t>003-2025-0223</t>
  </si>
  <si>
    <t>PO-00223</t>
  </si>
  <si>
    <t>PAY-00223</t>
  </si>
  <si>
    <t>INV-00224</t>
  </si>
  <si>
    <t>008-2025-0224</t>
  </si>
  <si>
    <t>PO-00224</t>
  </si>
  <si>
    <t>GR-00224</t>
  </si>
  <si>
    <t>PAY-00224</t>
  </si>
  <si>
    <t>INV-00225</t>
  </si>
  <si>
    <t>007-2025-0225</t>
  </si>
  <si>
    <t>PO-00225</t>
  </si>
  <si>
    <t>GR-00225</t>
  </si>
  <si>
    <t>PAY-00225</t>
  </si>
  <si>
    <t>001-2025-0226</t>
  </si>
  <si>
    <t>PO-00226</t>
  </si>
  <si>
    <t>INV-00227</t>
  </si>
  <si>
    <t>001-2025-0227</t>
  </si>
  <si>
    <t>PO-00227</t>
  </si>
  <si>
    <t>PAY-00227</t>
  </si>
  <si>
    <t>006-2025-0228</t>
  </si>
  <si>
    <t>PO-00228</t>
  </si>
  <si>
    <t>GR-00228</t>
  </si>
  <si>
    <t>PAY-00228</t>
  </si>
  <si>
    <t>008-2025-0229</t>
  </si>
  <si>
    <t>PO-00229</t>
  </si>
  <si>
    <t>GR-00229</t>
  </si>
  <si>
    <t>INV-00230</t>
  </si>
  <si>
    <t>009-2025-0230</t>
  </si>
  <si>
    <t>PO-00230</t>
  </si>
  <si>
    <t>GR-00230</t>
  </si>
  <si>
    <t>PAY-00230</t>
  </si>
  <si>
    <t>INV-00231</t>
  </si>
  <si>
    <t>003-2025-0231</t>
  </si>
  <si>
    <t>PO-00231</t>
  </si>
  <si>
    <t>PAY-00231</t>
  </si>
  <si>
    <t>INV-00232</t>
  </si>
  <si>
    <t>007-2025-0232</t>
  </si>
  <si>
    <t>PO-00232</t>
  </si>
  <si>
    <t>PAY-00232</t>
  </si>
  <si>
    <t>INV-00233</t>
  </si>
  <si>
    <t>008-2025-0233</t>
  </si>
  <si>
    <t>PO-00233</t>
  </si>
  <si>
    <t>GR-00233</t>
  </si>
  <si>
    <t>INV-00234</t>
  </si>
  <si>
    <t>007-2025-0234</t>
  </si>
  <si>
    <t>PO-00234</t>
  </si>
  <si>
    <t>PAY-00234</t>
  </si>
  <si>
    <t>INV-00235</t>
  </si>
  <si>
    <t>007-2025-0235</t>
  </si>
  <si>
    <t>PO-00235</t>
  </si>
  <si>
    <t>GR-00235</t>
  </si>
  <si>
    <t>INV-00236</t>
  </si>
  <si>
    <t>010-2025-0236</t>
  </si>
  <si>
    <t>PO-00236</t>
  </si>
  <si>
    <t>INV-00237</t>
  </si>
  <si>
    <t>001-2025-0237</t>
  </si>
  <si>
    <t>PO-00237</t>
  </si>
  <si>
    <t>GR-00237</t>
  </si>
  <si>
    <t>INV-00238</t>
  </si>
  <si>
    <t>009-2025-0238</t>
  </si>
  <si>
    <t>PO-00238</t>
  </si>
  <si>
    <t>INV-00239</t>
  </si>
  <si>
    <t>004-2025-0239</t>
  </si>
  <si>
    <t>PO-00239</t>
  </si>
  <si>
    <t>GR-00239</t>
  </si>
  <si>
    <t>INV-00240</t>
  </si>
  <si>
    <t>005-2025-0240</t>
  </si>
  <si>
    <t>PO-00240</t>
  </si>
  <si>
    <t>GR-00240</t>
  </si>
  <si>
    <t>INV-00241</t>
  </si>
  <si>
    <t>001-2025-0241</t>
  </si>
  <si>
    <t>PO-00241</t>
  </si>
  <si>
    <t>PAY-00241</t>
  </si>
  <si>
    <t>004-2025-0242</t>
  </si>
  <si>
    <t>PO-00242</t>
  </si>
  <si>
    <t>INV-00243</t>
  </si>
  <si>
    <t>007-2025-0243</t>
  </si>
  <si>
    <t>PO-00243</t>
  </si>
  <si>
    <t>PAY-00243</t>
  </si>
  <si>
    <t>INV-00244</t>
  </si>
  <si>
    <t>005-2025-0244</t>
  </si>
  <si>
    <t>PO-00244</t>
  </si>
  <si>
    <t>PAY-00244</t>
  </si>
  <si>
    <t>INV-00245</t>
  </si>
  <si>
    <t>010-2025-0245</t>
  </si>
  <si>
    <t>PO-00245</t>
  </si>
  <si>
    <t>GR-00245</t>
  </si>
  <si>
    <t>009-2025-0246</t>
  </si>
  <si>
    <t>PO-00246</t>
  </si>
  <si>
    <t>GR-00246</t>
  </si>
  <si>
    <t>004-2025-0247</t>
  </si>
  <si>
    <t>PO-00247</t>
  </si>
  <si>
    <t>PAY-00247</t>
  </si>
  <si>
    <t>INV-00248</t>
  </si>
  <si>
    <t>008-2025-0248</t>
  </si>
  <si>
    <t>PO-00248</t>
  </si>
  <si>
    <t>GR-00248</t>
  </si>
  <si>
    <t>PAY-00248</t>
  </si>
  <si>
    <t>008-2025-0249</t>
  </si>
  <si>
    <t>PO-00249</t>
  </si>
  <si>
    <t>PAY-00249</t>
  </si>
  <si>
    <t>INV-00250</t>
  </si>
  <si>
    <t>002-2025-0250</t>
  </si>
  <si>
    <t>PO-00250</t>
  </si>
  <si>
    <t>GR-00250</t>
  </si>
  <si>
    <t>PAY-00250</t>
  </si>
  <si>
    <t>INV-00251</t>
  </si>
  <si>
    <t>003-2025-0251</t>
  </si>
  <si>
    <t>PO-00251</t>
  </si>
  <si>
    <t>PAY-00251</t>
  </si>
  <si>
    <t>INV-00252</t>
  </si>
  <si>
    <t>003-2025-0252</t>
  </si>
  <si>
    <t>PO-00252</t>
  </si>
  <si>
    <t>PAY-00252</t>
  </si>
  <si>
    <t>INV-00253</t>
  </si>
  <si>
    <t>010-2025-0253</t>
  </si>
  <si>
    <t>PO-00253</t>
  </si>
  <si>
    <t>PAY-00253</t>
  </si>
  <si>
    <t>INV-00254</t>
  </si>
  <si>
    <t>009-2025-0254</t>
  </si>
  <si>
    <t>PO-00254</t>
  </si>
  <si>
    <t>GR-00254</t>
  </si>
  <si>
    <t>PAY-00254</t>
  </si>
  <si>
    <t>INV-00255</t>
  </si>
  <si>
    <t>001-2025-0255</t>
  </si>
  <si>
    <t>PO-00255</t>
  </si>
  <si>
    <t>GR-00255</t>
  </si>
  <si>
    <t>INV-00256</t>
  </si>
  <si>
    <t>008-2025-0256</t>
  </si>
  <si>
    <t>PO-00256</t>
  </si>
  <si>
    <t>GR-00256</t>
  </si>
  <si>
    <t>PAY-00256</t>
  </si>
  <si>
    <t>INV-00257</t>
  </si>
  <si>
    <t>008-2025-0257</t>
  </si>
  <si>
    <t>PO-00257</t>
  </si>
  <si>
    <t>PAY-00257</t>
  </si>
  <si>
    <t>INV-00258</t>
  </si>
  <si>
    <t>009-2025-0258</t>
  </si>
  <si>
    <t>PO-00258</t>
  </si>
  <si>
    <t>GR-00258</t>
  </si>
  <si>
    <t>PAY-00258</t>
  </si>
  <si>
    <t>008-2025-0259</t>
  </si>
  <si>
    <t>PO-00259</t>
  </si>
  <si>
    <t>GR-00259</t>
  </si>
  <si>
    <t>PAY-00259</t>
  </si>
  <si>
    <t>INV-00260</t>
  </si>
  <si>
    <t>004-2025-0260</t>
  </si>
  <si>
    <t>PO-00260</t>
  </si>
  <si>
    <t>PAY-00260</t>
  </si>
  <si>
    <t>INV-00261</t>
  </si>
  <si>
    <t>004-2025-0261</t>
  </si>
  <si>
    <t>PO-00261</t>
  </si>
  <si>
    <t>GR-00261</t>
  </si>
  <si>
    <t>PAY-00261</t>
  </si>
  <si>
    <t>006-2025-0262</t>
  </si>
  <si>
    <t>PO-00262</t>
  </si>
  <si>
    <t>PAY-00262</t>
  </si>
  <si>
    <t>INV-00263</t>
  </si>
  <si>
    <t>002-2025-0263</t>
  </si>
  <si>
    <t>PO-00263</t>
  </si>
  <si>
    <t>GR-00263</t>
  </si>
  <si>
    <t>INV-00264</t>
  </si>
  <si>
    <t>007-2025-0264</t>
  </si>
  <si>
    <t>PO-00264</t>
  </si>
  <si>
    <t>GR-00264</t>
  </si>
  <si>
    <t>INV-00265</t>
  </si>
  <si>
    <t>002-2025-0265</t>
  </si>
  <si>
    <t>PAY-00265</t>
  </si>
  <si>
    <t>INV-00266</t>
  </si>
  <si>
    <t>004-2025-0266</t>
  </si>
  <si>
    <t>PO-00266</t>
  </si>
  <si>
    <t>PAY-00266</t>
  </si>
  <si>
    <t>INV-00267</t>
  </si>
  <si>
    <t>003-2025-0267</t>
  </si>
  <si>
    <t>PO-00267</t>
  </si>
  <si>
    <t>GR-00267</t>
  </si>
  <si>
    <t>PAY-00267</t>
  </si>
  <si>
    <t>INV-00268</t>
  </si>
  <si>
    <t>010-2025-0268</t>
  </si>
  <si>
    <t>PO-00268</t>
  </si>
  <si>
    <t>INV-00269</t>
  </si>
  <si>
    <t>003-2025-0269</t>
  </si>
  <si>
    <t>PO-00269</t>
  </si>
  <si>
    <t>GR-00269</t>
  </si>
  <si>
    <t>PAY-00269</t>
  </si>
  <si>
    <t>002-2025-0270</t>
  </si>
  <si>
    <t>PO-00270</t>
  </si>
  <si>
    <t>INV-00271</t>
  </si>
  <si>
    <t>004-2025-0271</t>
  </si>
  <si>
    <t>PO-00271</t>
  </si>
  <si>
    <t>GR-00271</t>
  </si>
  <si>
    <t>PAY-00271</t>
  </si>
  <si>
    <t>003-2025-0272</t>
  </si>
  <si>
    <t>PO-00272</t>
  </si>
  <si>
    <t>INV-00273</t>
  </si>
  <si>
    <t>009-2025-0273</t>
  </si>
  <si>
    <t>PO-00273</t>
  </si>
  <si>
    <t>GR-00273</t>
  </si>
  <si>
    <t>PAY-00273</t>
  </si>
  <si>
    <t>INV-00274</t>
  </si>
  <si>
    <t>009-2025-0274</t>
  </si>
  <si>
    <t>INV-00275</t>
  </si>
  <si>
    <t>001-2025-0275</t>
  </si>
  <si>
    <t>PO-00275</t>
  </si>
  <si>
    <t>PAY-00275</t>
  </si>
  <si>
    <t>010-2025-0276</t>
  </si>
  <si>
    <t>PO-00276</t>
  </si>
  <si>
    <t>GR-00276</t>
  </si>
  <si>
    <t>PAY-00276</t>
  </si>
  <si>
    <t>007-2025-0277</t>
  </si>
  <si>
    <t>PAY-00277</t>
  </si>
  <si>
    <t>INV-00278</t>
  </si>
  <si>
    <t>010-2025-0278</t>
  </si>
  <si>
    <t>PO-00278</t>
  </si>
  <si>
    <t>GR-00278</t>
  </si>
  <si>
    <t>PAY-00278</t>
  </si>
  <si>
    <t>INV-00279</t>
  </si>
  <si>
    <t>010-2025-0279</t>
  </si>
  <si>
    <t>INV-00280</t>
  </si>
  <si>
    <t>006-2025-0280</t>
  </si>
  <si>
    <t>PO-00280</t>
  </si>
  <si>
    <t>PAY-00280</t>
  </si>
  <si>
    <t>007-2025-0281</t>
  </si>
  <si>
    <t>PO-00281</t>
  </si>
  <si>
    <t>PAY-00281</t>
  </si>
  <si>
    <t>INV-00282</t>
  </si>
  <si>
    <t>004-2025-0282</t>
  </si>
  <si>
    <t>PO-00282</t>
  </si>
  <si>
    <t>GR-00282</t>
  </si>
  <si>
    <t>PAY-00282</t>
  </si>
  <si>
    <t>005-2025-0283</t>
  </si>
  <si>
    <t>PO-00283</t>
  </si>
  <si>
    <t>GR-00283</t>
  </si>
  <si>
    <t>PAY-00283</t>
  </si>
  <si>
    <t>INV-00284</t>
  </si>
  <si>
    <t>009-2025-0284</t>
  </si>
  <si>
    <t>PO-00284</t>
  </si>
  <si>
    <t>GR-00284</t>
  </si>
  <si>
    <t>009-2025-0285</t>
  </si>
  <si>
    <t>PO-00285</t>
  </si>
  <si>
    <t>GR-00285</t>
  </si>
  <si>
    <t>PAY-00285</t>
  </si>
  <si>
    <t>INV-00286</t>
  </si>
  <si>
    <t>001-2025-0286</t>
  </si>
  <si>
    <t>PO-00286</t>
  </si>
  <si>
    <t>PAY-00286</t>
  </si>
  <si>
    <t>004-2025-0287</t>
  </si>
  <si>
    <t>PO-00287</t>
  </si>
  <si>
    <t>INV-00288</t>
  </si>
  <si>
    <t>002-2025-0288</t>
  </si>
  <si>
    <t>PO-00288</t>
  </si>
  <si>
    <t>PAY-00288</t>
  </si>
  <si>
    <t>INV-00289</t>
  </si>
  <si>
    <t>004-2025-0289</t>
  </si>
  <si>
    <t>PO-00289</t>
  </si>
  <si>
    <t>PAY-00289</t>
  </si>
  <si>
    <t>INV-00290</t>
  </si>
  <si>
    <t>009-2025-0290</t>
  </si>
  <si>
    <t>PAY-00290</t>
  </si>
  <si>
    <t>008-2025-0291</t>
  </si>
  <si>
    <t>PO-00291</t>
  </si>
  <si>
    <t>INV-00292</t>
  </si>
  <si>
    <t>008-2025-0292</t>
  </si>
  <si>
    <t>PAY-00292</t>
  </si>
  <si>
    <t>INV-00293</t>
  </si>
  <si>
    <t>008-2025-0293</t>
  </si>
  <si>
    <t>PO-00293</t>
  </si>
  <si>
    <t>GR-00293</t>
  </si>
  <si>
    <t>INV-00294</t>
  </si>
  <si>
    <t>005-2025-0294</t>
  </si>
  <si>
    <t>PO-00294</t>
  </si>
  <si>
    <t>PAY-00294</t>
  </si>
  <si>
    <t>009-2025-0295</t>
  </si>
  <si>
    <t>PO-00295</t>
  </si>
  <si>
    <t>PAY-00295</t>
  </si>
  <si>
    <t>INV-00296</t>
  </si>
  <si>
    <t>007-2025-0296</t>
  </si>
  <si>
    <t>PO-00296</t>
  </si>
  <si>
    <t>PAY-00296</t>
  </si>
  <si>
    <t>009-2025-0297</t>
  </si>
  <si>
    <t>PO-00297</t>
  </si>
  <si>
    <t>PAY-00297</t>
  </si>
  <si>
    <t>INV-00298</t>
  </si>
  <si>
    <t>008-2025-0298</t>
  </si>
  <si>
    <t>PO-00298</t>
  </si>
  <si>
    <t>GR-00298</t>
  </si>
  <si>
    <t>INV-00299</t>
  </si>
  <si>
    <t>009-2025-0299</t>
  </si>
  <si>
    <t>PO-00299</t>
  </si>
  <si>
    <t>INV-00300</t>
  </si>
  <si>
    <t>010-2025-0300</t>
  </si>
  <si>
    <t>PO-00300</t>
  </si>
  <si>
    <t>GR-00300</t>
  </si>
  <si>
    <t>PAY-00300</t>
  </si>
  <si>
    <t>04_Analytics_Tests — Test Catalog &amp; Results</t>
  </si>
  <si>
    <t>Counts are screening flags, not confirmed misstatements. A transaction may trigger more than one test.</t>
  </si>
  <si>
    <t>Test_ID</t>
  </si>
  <si>
    <t>Test_Name</t>
  </si>
  <si>
    <t>Risk_Addressed</t>
  </si>
  <si>
    <t>Relevant_Assertion</t>
  </si>
  <si>
    <t>Data_Source</t>
  </si>
  <si>
    <t>Test_Logic</t>
  </si>
  <si>
    <t>Threshold</t>
  </si>
  <si>
    <t>Formula_or_Method</t>
  </si>
  <si>
    <t>Flagged_Transaction_Count</t>
  </si>
  <si>
    <t>Potential_Amount</t>
  </si>
  <si>
    <t>Interpretation</t>
  </si>
  <si>
    <t>Recommended_Follow_Up</t>
  </si>
  <si>
    <t>Test_Status</t>
  </si>
  <si>
    <t>AP-01</t>
  </si>
  <si>
    <t>Duplicate supplier invoice numbers</t>
  </si>
  <si>
    <t>Duplicate recording or payment</t>
  </si>
  <si>
    <t>Accuracy / Occurrence</t>
  </si>
  <si>
    <t>03_AP_Data</t>
  </si>
  <si>
    <t>Repeated Vendor_ID + Vendor_Invoice_Number</t>
  </si>
  <si>
    <t>Exact match</t>
  </si>
  <si>
    <t>COUNTIFS Vendor_ID + Vendor_Invoice_Number</t>
  </si>
  <si>
    <t>Repeated values may be legitimate credit notes or split allocations.</t>
  </si>
  <si>
    <t>Inspect invoice image, PO, receipt, payment evidence and vendor statement.</t>
  </si>
  <si>
    <t>Completed</t>
  </si>
  <si>
    <t>AP-02</t>
  </si>
  <si>
    <t>Potential duplicate amounts</t>
  </si>
  <si>
    <t>Duplicate or erroneous invoice entry</t>
  </si>
  <si>
    <t>Same vendor, equal amount, close invoice dates</t>
  </si>
  <si>
    <t>90 days / SAR 0.01</t>
  </si>
  <si>
    <t>Vendor + amount + date-window screening</t>
  </si>
  <si>
    <t>Preliminary similarity screen; recurring monthly payments may be legitimate.</t>
  </si>
  <si>
    <t>Compare invoice references, services received and payment records.</t>
  </si>
  <si>
    <t>GL-01</t>
  </si>
  <si>
    <t>High-value transactions</t>
  </si>
  <si>
    <t>Large or unusual posting risk</t>
  </si>
  <si>
    <t>Accuracy / Valuation</t>
  </si>
  <si>
    <t>02_GL_Data + 03_AP_Data</t>
  </si>
  <si>
    <t>Absolute signed amount exceeds configured screen</t>
  </si>
  <si>
    <t>GL SAR 100,000 / AP SAR 75,000</t>
  </si>
  <si>
    <t>ABS(Signed_Amount)&gt;threshold or Gross_Amount&gt;threshold</t>
  </si>
  <si>
    <t>Screening threshold is not audit materiality.</t>
  </si>
  <si>
    <t>Vouch approval, contract, receipt, calculation and posting.</t>
  </si>
  <si>
    <t>GL-02</t>
  </si>
  <si>
    <t>Year-end journal entries</t>
  </si>
  <si>
    <t>Cut-off or management override risk</t>
  </si>
  <si>
    <t>Cut-off / Occurrence</t>
  </si>
  <si>
    <t>02_GL_Data</t>
  </si>
  <si>
    <t>Posting date in 16–31 Dec 2025</t>
  </si>
  <si>
    <t>16-Dec to 31-Dec</t>
  </si>
  <si>
    <t>AND(Posting_Date&gt;=start,&lt;=end)</t>
  </si>
  <si>
    <t>Year-end timing alone does not prove error.</t>
  </si>
  <si>
    <t>Inspect support and subsequent reversal / settlement.</t>
  </si>
  <si>
    <t>GL-03</t>
  </si>
  <si>
    <t>Weekend postings</t>
  </si>
  <si>
    <t>Unauthorized or unusual timing</t>
  </si>
  <si>
    <t>Occurrence / Authorization</t>
  </si>
  <si>
    <t>Posting on Friday or Saturday</t>
  </si>
  <si>
    <t>Friday–Saturday</t>
  </si>
  <si>
    <t>WEEKDAY(Posting_Date,2) in {5,6}</t>
  </si>
  <si>
    <t>Legitimate postings can occur on weekends.</t>
  </si>
  <si>
    <t>Review workflow logs, business rationale and approvals.</t>
  </si>
  <si>
    <t>GL-04</t>
  </si>
  <si>
    <t>After-hours journal entries</t>
  </si>
  <si>
    <t>Access, authorization or override risk</t>
  </si>
  <si>
    <t>Created outside 08:00–18:00</t>
  </si>
  <si>
    <t>08:00–18:00</t>
  </si>
  <si>
    <t>HOUR(Creation_Timestamp) outside window</t>
  </si>
  <si>
    <t>Timestamp is a review indicator and may reflect batch processing.</t>
  </si>
  <si>
    <t>Inspect system logs, user activity and approval trail.</t>
  </si>
  <si>
    <t>GL-05</t>
  </si>
  <si>
    <t>Round-number transactions</t>
  </si>
  <si>
    <t>Estimate or unsupported posting risk</t>
  </si>
  <si>
    <t>Absolute amount is threshold multiple</t>
  </si>
  <si>
    <t>SAR 10,000 multiple</t>
  </si>
  <si>
    <t>MOD(ABS(Signed_Amount),threshold)=0</t>
  </si>
  <si>
    <t>Round values are common in legitimate entries.</t>
  </si>
  <si>
    <t>Trace to contract, calculation and evidence of review.</t>
  </si>
  <si>
    <t>AP-03</t>
  </si>
  <si>
    <t>Missing supporting documentation</t>
  </si>
  <si>
    <t>Unrecorded or unsupported purchases</t>
  </si>
  <si>
    <t>Occurrence / Completeness</t>
  </si>
  <si>
    <t>Missing required PO, receipt or support by transaction type</t>
  </si>
  <si>
    <t>Rule-based</t>
  </si>
  <si>
    <t>Missing PO / receipt / support indicators</t>
  </si>
  <si>
    <t>Some service types legitimately lack a PO or receipt.</t>
  </si>
  <si>
    <t>Obtain invoice, PO, receipt, approval and service evidence.</t>
  </si>
  <si>
    <t>AP-04</t>
  </si>
  <si>
    <t>Invoice and posting-date differences</t>
  </si>
  <si>
    <t>Period or processing delay risk</t>
  </si>
  <si>
    <t>Cut-off / Accuracy</t>
  </si>
  <si>
    <t>Invoice-to-posting days outside review limit</t>
  </si>
  <si>
    <t>&gt;30 days</t>
  </si>
  <si>
    <t>Posting_Date - Invoice_Date</t>
  </si>
  <si>
    <t>Date differences may have valid operational explanations.</t>
  </si>
  <si>
    <t>Inspect receipt/service period and posting rationale.</t>
  </si>
  <si>
    <t>AP-05</t>
  </si>
  <si>
    <t>Potential cut-off exceptions</t>
  </si>
  <si>
    <t>Liability / expense cut-off risk</t>
  </si>
  <si>
    <t>Completeness / Cut-off</t>
  </si>
  <si>
    <t>Invoices around reporting date or posted after year-end</t>
  </si>
  <si>
    <t>16–31 Dec plus post-year-end</t>
  </si>
  <si>
    <t>Not a complete subsequent-period test because no full Jan-2026 register is provided.</t>
  </si>
  <si>
    <t>Inspect goods receipt, service period and subsequent posting.</t>
  </si>
  <si>
    <t>GL-06</t>
  </si>
  <si>
    <t>Unusual account combinations</t>
  </si>
  <si>
    <t>Posting to wrong or sensitive account</t>
  </si>
  <si>
    <t>Classification / Accuracy</t>
  </si>
  <si>
    <t>Selected manual revenue-to-equipment combination</t>
  </si>
  <si>
    <t>Rule matrix</t>
  </si>
  <si>
    <t>Manual JE with revenue and PPE combination</t>
  </si>
  <si>
    <t>Uncommon combinations require context, not automatic error classification.</t>
  </si>
  <si>
    <t>Review business purpose, authorization and account mapping.</t>
  </si>
  <si>
    <t>GL-07</t>
  </si>
  <si>
    <t>Unbalanced journal entries</t>
  </si>
  <si>
    <t>Data integrity / posting completeness</t>
  </si>
  <si>
    <t>Accuracy / Completeness</t>
  </si>
  <si>
    <t>Debit total differs from credit total by tolerance</t>
  </si>
  <si>
    <t>SAR 0.01</t>
  </si>
  <si>
    <t>Grouped journal balance validation</t>
  </si>
  <si>
    <t>Primary GL population is designed to be balanced.</t>
  </si>
  <si>
    <t>Investigate source export and posting completeness if any.</t>
  </si>
  <si>
    <t>GL-08</t>
  </si>
  <si>
    <t>Potential segregation-of-duties conflicts</t>
  </si>
  <si>
    <t>Inadequate review separation</t>
  </si>
  <si>
    <t>Authorization</t>
  </si>
  <si>
    <t>Creator equals approver</t>
  </si>
  <si>
    <t>Same user</t>
  </si>
  <si>
    <t>Created_By=Approved_By</t>
  </si>
  <si>
    <t>Control-review indicator; not proof of fraud.</t>
  </si>
  <si>
    <t>Inspect role design, compensating review and access logs.</t>
  </si>
  <si>
    <t>GL-09</t>
  </si>
  <si>
    <t>Large or unusual manual entries</t>
  </si>
  <si>
    <t>Management override / manual posting risk</t>
  </si>
  <si>
    <t>Manual + high value, year-end, after-hours or sensitive combination</t>
  </si>
  <si>
    <t>Combined indicators</t>
  </si>
  <si>
    <t>Filter MANUAL_JE and intersect indicators</t>
  </si>
  <si>
    <t>Combined indicators reduce noise but may overlap with other tests.</t>
  </si>
  <si>
    <t>Inspect journal support, approval and rationale.</t>
  </si>
  <si>
    <t>AP-06</t>
  </si>
  <si>
    <t>Potential duplicate payments</t>
  </si>
  <si>
    <t>Repeated settlement risk</t>
  </si>
  <si>
    <t>Occurrence / Accuracy</t>
  </si>
  <si>
    <t>Preliminary invoice/payment reference screen only</t>
  </si>
  <si>
    <t>No separate payment register</t>
  </si>
  <si>
    <t>Not performed as a full payment test</t>
  </si>
  <si>
    <t>No separate payment register is provided; invoice/payment references support only preliminary screening.</t>
  </si>
  <si>
    <t>Obtain payment register or bank export for a full duplicate-payment test.</t>
  </si>
  <si>
    <t>Limited</t>
  </si>
  <si>
    <t>05_Exception_Register — Consolidated Screening Exceptions</t>
  </si>
  <si>
    <t>Each row is a traceable transaction-test instance. Overlapping flags are not summed as confirmed misstatement.</t>
  </si>
  <si>
    <t>Exception_ID</t>
  </si>
  <si>
    <t>Source_Dataset</t>
  </si>
  <si>
    <t>Transaction_Date</t>
  </si>
  <si>
    <t>Amount</t>
  </si>
  <si>
    <t>Threshold_or_Rule</t>
  </si>
  <si>
    <t>Exception_Reason</t>
  </si>
  <si>
    <t>Risk_Category</t>
  </si>
  <si>
    <t>Priority</t>
  </si>
  <si>
    <t>Evidence_Required</t>
  </si>
  <si>
    <t>Recommended_Procedure</t>
  </si>
  <si>
    <t>Investigation_Status</t>
  </si>
  <si>
    <t>Investigation_Outcome</t>
  </si>
  <si>
    <t>Potential_Misstatement_Amount</t>
  </si>
  <si>
    <t>Adjustment_Required</t>
  </si>
  <si>
    <t>Reviewer_Notes</t>
  </si>
  <si>
    <t>EXC-0001</t>
  </si>
  <si>
    <t>AP</t>
  </si>
  <si>
    <t>Required documentation indicators</t>
  </si>
  <si>
    <t>Missing support</t>
  </si>
  <si>
    <t>Unsupported purchase</t>
  </si>
  <si>
    <t>Medium</t>
  </si>
  <si>
    <t>PO; goods receipt; invoice; approval</t>
  </si>
  <si>
    <t>Obtain and inspect missing supporting evidence</t>
  </si>
  <si>
    <t>Not Reviewed</t>
  </si>
  <si>
    <t>No</t>
  </si>
  <si>
    <t>EXC-0002</t>
  </si>
  <si>
    <t>Repeated supplier invoice number detected</t>
  </si>
  <si>
    <t>Duplicate recording</t>
  </si>
  <si>
    <t>Invoice image; vendor statement; payment support</t>
  </si>
  <si>
    <t>Compare invoice number, date, amount and payment evidence</t>
  </si>
  <si>
    <t>EXC-0003</t>
  </si>
  <si>
    <t>EXC-0004</t>
  </si>
  <si>
    <t>EXC-0005</t>
  </si>
  <si>
    <t>EXC-0006</t>
  </si>
  <si>
    <t>EXC-0007</t>
  </si>
  <si>
    <t>EXC-0008</t>
  </si>
  <si>
    <t>EXC-0009</t>
  </si>
  <si>
    <t>EXC-0010</t>
  </si>
  <si>
    <t>EXC-0011</t>
  </si>
  <si>
    <t>EXC-0012</t>
  </si>
  <si>
    <t>EXC-0013</t>
  </si>
  <si>
    <t>EXC-0014</t>
  </si>
  <si>
    <t>Gross amount &gt; SAR 75,000</t>
  </si>
  <si>
    <t>High-value AP invoice</t>
  </si>
  <si>
    <t>Valuation / authorization</t>
  </si>
  <si>
    <t>High</t>
  </si>
  <si>
    <t>PO; receipt; invoice; approval</t>
  </si>
  <si>
    <t>Vouch invoice and authorization</t>
  </si>
  <si>
    <t>EXC-0015</t>
  </si>
  <si>
    <t>Missing goods receipt</t>
  </si>
  <si>
    <t>EXC-0016</t>
  </si>
  <si>
    <t>Missing PO</t>
  </si>
  <si>
    <t>EXC-0017</t>
  </si>
  <si>
    <t>EXC-0018</t>
  </si>
  <si>
    <t>Missing PO; Missing goods receipt; Missing support</t>
  </si>
  <si>
    <t>EXC-0019</t>
  </si>
  <si>
    <t>EXC-0020</t>
  </si>
  <si>
    <t>EXC-0021</t>
  </si>
  <si>
    <t>Invoice-to-posting days &gt; 30</t>
  </si>
  <si>
    <t>Posting lag of 75 days</t>
  </si>
  <si>
    <t>Cut-off / processing</t>
  </si>
  <si>
    <t>Receipt date; service period; posting rationale</t>
  </si>
  <si>
    <t>Assess accounting period and processing delay</t>
  </si>
  <si>
    <t>EXC-0022</t>
  </si>
  <si>
    <t>EXC-0023</t>
  </si>
  <si>
    <t>EXC-0024</t>
  </si>
  <si>
    <t>EXC-0025</t>
  </si>
  <si>
    <t>EXC-0026</t>
  </si>
  <si>
    <t>EXC-0027</t>
  </si>
  <si>
    <t>EXC-0028</t>
  </si>
  <si>
    <t>EXC-0029</t>
  </si>
  <si>
    <t>Year-end window / post-year-end posting</t>
  </si>
  <si>
    <t>Invoice or posting falls around reporting date</t>
  </si>
  <si>
    <t>Cut-off</t>
  </si>
  <si>
    <t>Goods receipt; service period; subsequent posting</t>
  </si>
  <si>
    <t>Perform cut-off procedure around 31-Dec-2025</t>
  </si>
  <si>
    <t>EXC-0030</t>
  </si>
  <si>
    <t>EXC-0031</t>
  </si>
  <si>
    <t>EXC-0032</t>
  </si>
  <si>
    <t>EXC-0033</t>
  </si>
  <si>
    <t>EXC-0034</t>
  </si>
  <si>
    <t>EXC-0035</t>
  </si>
  <si>
    <t>GL</t>
  </si>
  <si>
    <t>Configured screening rule</t>
  </si>
  <si>
    <t>Friday/Saturday posting</t>
  </si>
  <si>
    <t>Timing / authorization</t>
  </si>
  <si>
    <t>Workflow logs; approval; rationale</t>
  </si>
  <si>
    <t>Review supporting evidence and control context</t>
  </si>
  <si>
    <t>EXC-0036</t>
  </si>
  <si>
    <t>EXC-0037</t>
  </si>
  <si>
    <t>Exact round-number amount</t>
  </si>
  <si>
    <t>EXC-0038</t>
  </si>
  <si>
    <t>Creator and approver are identical</t>
  </si>
  <si>
    <t>EXC-0039</t>
  </si>
  <si>
    <t>Unusual manual account combination</t>
  </si>
  <si>
    <t>EXC-0040</t>
  </si>
  <si>
    <t>ABS(Signed_Amount) &gt; SAR 100,000</t>
  </si>
  <si>
    <t>High-value GL line</t>
  </si>
  <si>
    <t>Journal support; approval; contract</t>
  </si>
  <si>
    <t>Vouch the journal and assess authorization</t>
  </si>
  <si>
    <t>EXC-0041</t>
  </si>
  <si>
    <t>Posting date 16–31 Dec 2025</t>
  </si>
  <si>
    <t>Manual year-end journal entry</t>
  </si>
  <si>
    <t>Cut-off / override</t>
  </si>
  <si>
    <t>Support; reversal; approval</t>
  </si>
  <si>
    <t>Inspect support and subsequent reversal</t>
  </si>
  <si>
    <t>06_Dashboard — Executive Analytics Overview</t>
  </si>
  <si>
    <t>Namaa Retail Company (fictional) | Reporting period: 2025 | All values are screening indicators from synthetic data</t>
  </si>
  <si>
    <t>Total GL journal entries</t>
  </si>
  <si>
    <t>Total GL lines</t>
  </si>
  <si>
    <t>Total AP invoices</t>
  </si>
  <si>
    <t>Analytics tests completed</t>
  </si>
  <si>
    <t>Total exception instances</t>
  </si>
  <si>
    <t>Unique transactions flagged (QA key)</t>
  </si>
  <si>
    <t>High-priority exceptions</t>
  </si>
  <si>
    <t>Exceptions awaiting review</t>
  </si>
  <si>
    <t>Confirmed simulated errors</t>
  </si>
  <si>
    <t>Confirmed simulated misstatement amount</t>
  </si>
  <si>
    <t>Chart 1 — Exceptions by Test</t>
  </si>
  <si>
    <t>Flagged Count</t>
  </si>
  <si>
    <t>Count</t>
  </si>
  <si>
    <t>Account Type</t>
  </si>
  <si>
    <t>Month</t>
  </si>
  <si>
    <t>Low</t>
  </si>
  <si>
    <t>Other Income</t>
  </si>
  <si>
    <t>Interpretation note: exception instances may overlap across tests. They identify items for investigation and are not aggregated as total misstatement. Confirmed simulated errors are reported separately and may be zero.</t>
  </si>
  <si>
    <t>07_Audit_Memo — Audit Analytics Memorandum Summary</t>
  </si>
  <si>
    <t>This worksheet summarizes the accompanying PDF memorandum; it is not an audit opinion.</t>
  </si>
  <si>
    <t>To</t>
  </si>
  <si>
    <t>Portfolio reviewer / interview audience</t>
  </si>
  <si>
    <t>From</t>
  </si>
  <si>
    <t>Subject</t>
  </si>
  <si>
    <t>Audit data analytics simulation — GL and AP exception screening</t>
  </si>
  <si>
    <t>Executive Summary</t>
  </si>
  <si>
    <t>The analysis screened 1,000 synthetic GL lines and 300 synthetic AP invoices using 15 documented tests. The screening identified traceable anomalies involving duplicate invoice numbers, high-value items, timing, documentation, cut-off, manual journals and approval indicators. These are potential exceptions requiring evidence-based follow-up, not confirmed fraud or misstatement conclusions.</t>
  </si>
  <si>
    <t>Scope and Methodology</t>
  </si>
  <si>
    <t>The simulation covers 01-Jan-2025 to 31-Dec-2025. GL entries were generated as balanced two-line journal entries and AP records use Gross = Net + illustrative VAT. Formula-driven indicators reference centralized parameters. Exceptions are consolidated by transaction-test instance to preserve traceability and avoid presenting overlapping flags as one misstatement.</t>
  </si>
  <si>
    <t>Data Quality Results</t>
  </si>
  <si>
    <t>The internal QA build checks confirm unique journal and line identifiers, balanced GL entries, valid account mappings, AP amount reconciliation and consistent vendor references. The workbook includes a hidden internal QA key documenting designed scenarios and detection coverage.</t>
  </si>
  <si>
    <t>Key Limitations</t>
  </si>
  <si>
    <t>All records are synthetic and fictional. No real ledger, invoice, bank register, confirmation or external evidence was accessed. There is no complete subsequent-period AP population, so AP-05 is an illustrative cut-off screen rather than a complete subsequent-disbursements test. Analytics flags require investigation.</t>
  </si>
  <si>
    <t>Recommended Actions</t>
  </si>
  <si>
    <t>For the fictional scenario: strengthen duplicate invoice controls, retain supporting documentation, review manual journal approval and segregation-of-duties design, and formalize period-end cut-off procedures.</t>
  </si>
  <si>
    <t>Conclusion</t>
  </si>
  <si>
    <t>The tests demonstrate how full-population screening can prioritize audit follow-up. Appropriate next steps would be to obtain and inspect supporting evidence, evaluate explanations, determine whether any error exists, and document a conclusion for each exception. The work does not provide an audit opinion or assurance conclusion.</t>
  </si>
  <si>
    <t>Internal QA Validation Key</t>
  </si>
  <si>
    <t>Build log / validation support — not an audit working paper.</t>
  </si>
  <si>
    <t>Scenario</t>
  </si>
  <si>
    <t>QA_Status</t>
  </si>
  <si>
    <t>Amount_or_Count</t>
  </si>
  <si>
    <t>Intended_Detection</t>
  </si>
  <si>
    <t>Notes</t>
  </si>
  <si>
    <t>Unique_Transaction_Key</t>
  </si>
  <si>
    <t>GL journal balance</t>
  </si>
  <si>
    <t>Balanced</t>
  </si>
  <si>
    <t>All 500 journal IDs balance exactly.</t>
  </si>
  <si>
    <t>|INV-00009</t>
  </si>
  <si>
    <t>GL identifiers</t>
  </si>
  <si>
    <t>Pass</t>
  </si>
  <si>
    <t>Data validation</t>
  </si>
  <si>
    <t>Journal line IDs unique.</t>
  </si>
  <si>
    <t>|INV-00013</t>
  </si>
  <si>
    <t>AP amount reconciliation</t>
  </si>
  <si>
    <t>Gross = Net + VAT across all AP records.</t>
  </si>
  <si>
    <t>|INV-00040</t>
  </si>
  <si>
    <t>Duplicate invoice scenario</t>
  </si>
  <si>
    <t>Designed</t>
  </si>
  <si>
    <t>Two records share vendor invoice number.</t>
  </si>
  <si>
    <t>|INV-00041</t>
  </si>
  <si>
    <t>High-value GL scenario</t>
  </si>
  <si>
    <t>JE-00045 contains SAR 145,000 line.</t>
  </si>
  <si>
    <t>|INV-00053</t>
  </si>
  <si>
    <t>Year-end manual scenario</t>
  </si>
  <si>
    <t>JE-00480 posted 29-Dec-2025.</t>
  </si>
  <si>
    <t>|INV-00054</t>
  </si>
  <si>
    <t>Weekend scenario</t>
  </si>
  <si>
    <t>JE-00012 posted Friday.</t>
  </si>
  <si>
    <t>|INV-00058</t>
  </si>
  <si>
    <t>After-hours scenario</t>
  </si>
  <si>
    <t>JE-00013 created 23:30.</t>
  </si>
  <si>
    <t>|INV-00073</t>
  </si>
  <si>
    <t>Round-number scenario</t>
  </si>
  <si>
    <t>JE-00014 contains SAR 50,000.</t>
  </si>
  <si>
    <t>|INV-00078</t>
  </si>
  <si>
    <t>SOD scenario</t>
  </si>
  <si>
    <t>JE-00015 creator equals approver.</t>
  </si>
  <si>
    <t>|INV-00101</t>
  </si>
  <si>
    <t>Unusual combination scenario</t>
  </si>
  <si>
    <t>JE-00016 manual revenue/equipment transfer.</t>
  </si>
  <si>
    <t>|INV-00102</t>
  </si>
  <si>
    <t>AP documentation scenarios</t>
  </si>
  <si>
    <t>Missing PO/receipt/support examples.</t>
  </si>
  <si>
    <t>|INV-00131</t>
  </si>
  <si>
    <t>AP posting lag scenario</t>
  </si>
  <si>
    <t>75-day invoice-to-posting lag.</t>
  </si>
  <si>
    <t>|INV-00150</t>
  </si>
  <si>
    <t>AP cut-off scenarios</t>
  </si>
  <si>
    <t>Records around and after 31-Dec-2025.</t>
  </si>
  <si>
    <t>|INV-00173</t>
  </si>
  <si>
    <t>|INV-00179</t>
  </si>
  <si>
    <t>|INV-00190</t>
  </si>
  <si>
    <t>|INV-00200</t>
  </si>
  <si>
    <t>|INV-00206</t>
  </si>
  <si>
    <t>|INV-00208</t>
  </si>
  <si>
    <t>|INV-00220</t>
  </si>
  <si>
    <t>|INV-00252</t>
  </si>
  <si>
    <t>|INV-00265</t>
  </si>
  <si>
    <t>|INV-00270</t>
  </si>
  <si>
    <t>|INV-00274</t>
  </si>
  <si>
    <t>|INV-00277</t>
  </si>
  <si>
    <t>|INV-00279</t>
  </si>
  <si>
    <t>|INV-00286</t>
  </si>
  <si>
    <t>|INV-00289</t>
  </si>
  <si>
    <t>|INV-00290</t>
  </si>
  <si>
    <t>|INV-00291</t>
  </si>
  <si>
    <t>|INV-00292</t>
  </si>
  <si>
    <t>JE-00012|</t>
  </si>
  <si>
    <t>JE-00013|</t>
  </si>
  <si>
    <t>JE-00014|</t>
  </si>
  <si>
    <t>JE-00015|</t>
  </si>
  <si>
    <t>JE-00016|</t>
  </si>
  <si>
    <t>JE-00045|</t>
  </si>
  <si>
    <t>JE-00480|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</si>
</sst>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\-mmm\-yyyy"/>
    <numFmt numFmtId="165" formatCode="yyyy\-mm\-dd"/>
    <numFmt numFmtId="166" formatCode="#,##0.00;\(#,##0.00\);\-"/>
    <numFmt numFmtId="167" formatCode="dd\-mmm\-yyyy\ hh:mm"/>
    <numFmt numFmtId="168" formatCode="mmm"/>
  </numFmts>
  <fonts count="6">
    <font>
      <sz val="11"/>
      <color theme="1"/>
      <name val="Calibri"/>
      <family val="2"/>
      <charset val="1"/>
    </font>
    <font>
      <b/>
      <sz val="18"/>
      <color rgb="FFFFFFFF"/>
      <name val="Calibri"/>
      <charset val="1"/>
    </font>
    <font>
      <sz val="10"/>
      <name val="Calibri"/>
      <charset val="1"/>
    </font>
    <font>
      <sz val="10"/>
      <name val="Lohit Devanagari"/>
      <family val="2"/>
    </font>
    <font>
      <sz val="11"/>
      <color theme="1"/>
      <name val="Lohit Devanagari"/>
      <family val="2"/>
    </font>
    <font>
      <b/>
      <sz val="11"/>
      <color rgb="FFFFFFFF"/>
      <name val="Cambria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CE4D6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3" borderId="0" xfId="0" applyFont="1" applyFill="1" applyAlignment="1">
      <alignment vertical="top" wrapText="1"/>
    </xf>
    <xf numFmtId="166" fontId="2" fillId="0" borderId="0" xfId="0" applyNumberFormat="1" applyFont="1" applyAlignment="1">
      <alignment horizontal="center"/>
    </xf>
    <xf numFmtId="3" fontId="2" fillId="0" borderId="0" xfId="0" applyNumberFormat="1" applyFont="1" applyAlignment="1">
      <alignment horizontal="center"/>
    </xf>
    <xf numFmtId="0" fontId="2" fillId="2" borderId="0" xfId="0" applyFont="1" applyFill="1" applyAlignment="1">
      <alignment horizontal="center" wrapText="1"/>
    </xf>
    <xf numFmtId="0" fontId="2" fillId="0" borderId="0" xfId="0" applyFont="1" applyAlignment="1">
      <alignment wrapText="1"/>
    </xf>
    <xf numFmtId="0" fontId="1" fillId="2" borderId="0" xfId="0" applyFont="1" applyFill="1" applyAlignment="1">
      <alignment horizontal="left"/>
    </xf>
    <xf numFmtId="0" fontId="2" fillId="0" borderId="0" xfId="0" applyFont="1"/>
    <xf numFmtId="0" fontId="0" fillId="0" borderId="0" xfId="0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164" fontId="2" fillId="0" borderId="0" xfId="0" applyNumberFormat="1" applyFont="1" applyAlignment="1">
      <alignment vertical="top" wrapText="1"/>
    </xf>
    <xf numFmtId="165" fontId="0" fillId="0" borderId="0" xfId="0" applyNumberFormat="1" applyAlignment="1">
      <alignment vertical="top" wrapText="1"/>
    </xf>
    <xf numFmtId="166" fontId="2" fillId="0" borderId="0" xfId="0" applyNumberFormat="1" applyFont="1" applyAlignment="1">
      <alignment vertical="top" wrapText="1"/>
    </xf>
    <xf numFmtId="0" fontId="2" fillId="0" borderId="0" xfId="0" applyFont="1" applyAlignment="1">
      <alignment vertical="top" wrapText="1"/>
    </xf>
    <xf numFmtId="164" fontId="0" fillId="0" borderId="0" xfId="0" applyNumberFormat="1"/>
    <xf numFmtId="166" fontId="0" fillId="0" borderId="0" xfId="0" applyNumberFormat="1"/>
    <xf numFmtId="167" fontId="0" fillId="0" borderId="0" xfId="0" applyNumberFormat="1"/>
    <xf numFmtId="166" fontId="0" fillId="0" borderId="0" xfId="0" applyNumberFormat="1" applyAlignment="1">
      <alignment vertical="top" wrapText="1"/>
    </xf>
    <xf numFmtId="164" fontId="0" fillId="0" borderId="0" xfId="0" applyNumberFormat="1" applyAlignment="1">
      <alignment vertical="top" wrapText="1"/>
    </xf>
    <xf numFmtId="168" fontId="0" fillId="0" borderId="0" xfId="0" applyNumberFormat="1"/>
    <xf numFmtId="0" fontId="5" fillId="2" borderId="0" xfId="0" applyFont="1" applyFill="1"/>
  </cellXfs>
  <cellStyles count="1">
    <cellStyle name="Normal" xfId="0" builtinId="0"/>
  </cellStyles>
  <dxfs count="2">
    <dxf>
      <fill>
        <patternFill>
          <bgColor rgb="FFFFF2CC"/>
        </patternFill>
      </fill>
    </dxf>
    <dxf>
      <fill>
        <patternFill>
          <bgColor rgb="FFFCE4D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FF2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9BBB59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Exceptions by Test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'06_Dashboard'!$B$21</c:f>
              <c:strCache>
                <c:ptCount val="1"/>
                <c:pt idx="0">
                  <c:v>Flagged 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'06_Dashboard'!$A$22:$A$36</c:f>
              <c:strCache>
                <c:ptCount val="15"/>
                <c:pt idx="0">
                  <c:v>AP-01</c:v>
                </c:pt>
                <c:pt idx="1">
                  <c:v>AP-02</c:v>
                </c:pt>
                <c:pt idx="2">
                  <c:v>GL-01</c:v>
                </c:pt>
                <c:pt idx="3">
                  <c:v>GL-02</c:v>
                </c:pt>
                <c:pt idx="4">
                  <c:v>GL-03</c:v>
                </c:pt>
                <c:pt idx="5">
                  <c:v>GL-04</c:v>
                </c:pt>
                <c:pt idx="6">
                  <c:v>GL-05</c:v>
                </c:pt>
                <c:pt idx="7">
                  <c:v>AP-03</c:v>
                </c:pt>
                <c:pt idx="8">
                  <c:v>AP-04</c:v>
                </c:pt>
                <c:pt idx="9">
                  <c:v>AP-05</c:v>
                </c:pt>
                <c:pt idx="10">
                  <c:v>GL-06</c:v>
                </c:pt>
                <c:pt idx="11">
                  <c:v>GL-07</c:v>
                </c:pt>
                <c:pt idx="12">
                  <c:v>GL-08</c:v>
                </c:pt>
                <c:pt idx="13">
                  <c:v>GL-09</c:v>
                </c:pt>
                <c:pt idx="14">
                  <c:v>AP-06</c:v>
                </c:pt>
              </c:strCache>
            </c:strRef>
          </c:cat>
          <c:val>
            <c:numRef>
              <c:f>'06_Dashboard'!$B$22:$B$36</c:f>
              <c:numCache>
                <c:formatCode>General</c:formatCode>
                <c:ptCount val="15"/>
                <c:pt idx="0">
                  <c:v>4</c:v>
                </c:pt>
                <c:pt idx="1">
                  <c:v>0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25</c:v>
                </c:pt>
                <c:pt idx="8">
                  <c:v>1</c:v>
                </c:pt>
                <c:pt idx="9">
                  <c:v>3</c:v>
                </c:pt>
                <c:pt idx="10">
                  <c:v>1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73-4DF0-B0FB-8AD3E3DD6B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5664414"/>
        <c:axId val="74025602"/>
      </c:barChart>
      <c:catAx>
        <c:axId val="3566441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Test ID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4025602"/>
        <c:crosses val="autoZero"/>
        <c:auto val="1"/>
        <c:lblAlgn val="ctr"/>
        <c:lblOffset val="100"/>
        <c:noMultiLvlLbl val="0"/>
      </c:catAx>
      <c:valAx>
        <c:axId val="7402560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Exception instances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566441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Exceptions by Priority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'06_Dashboard'!$E$21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4F81B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6FB9-4DDB-973F-F30D714DF840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6FB9-4DDB-973F-F30D714DF840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6FB9-4DDB-973F-F30D714DF840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6FB9-4DDB-973F-F30D714DF840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6FB9-4DDB-973F-F30D714DF840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6FB9-4DDB-973F-F30D714DF84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'06_Dashboard'!$D$22:$D$24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'06_Dashboard'!$E$22:$E$24</c:f>
              <c:numCache>
                <c:formatCode>General</c:formatCode>
                <c:ptCount val="3"/>
                <c:pt idx="0">
                  <c:v>5</c:v>
                </c:pt>
                <c:pt idx="1">
                  <c:v>36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FB9-4DDB-973F-F30D714DF8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Exceptions by Risk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'06_Dashboard'!$H$21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'06_Dashboard'!$G$22:$G$26</c:f>
              <c:strCache>
                <c:ptCount val="5"/>
                <c:pt idx="0">
                  <c:v>Asset</c:v>
                </c:pt>
                <c:pt idx="1">
                  <c:v>Liability</c:v>
                </c:pt>
                <c:pt idx="2">
                  <c:v>Expense</c:v>
                </c:pt>
                <c:pt idx="3">
                  <c:v>Revenue</c:v>
                </c:pt>
                <c:pt idx="4">
                  <c:v>Other Income</c:v>
                </c:pt>
              </c:strCache>
            </c:strRef>
          </c:cat>
          <c:val>
            <c:numRef>
              <c:f>'06_Dashboard'!$H$22:$H$26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07-4F52-837B-D58B38598F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575127"/>
        <c:axId val="54163207"/>
      </c:barChart>
      <c:catAx>
        <c:axId val="557512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4163207"/>
        <c:crosses val="autoZero"/>
        <c:auto val="1"/>
        <c:lblAlgn val="ctr"/>
        <c:lblOffset val="100"/>
        <c:noMultiLvlLbl val="0"/>
      </c:catAx>
      <c:valAx>
        <c:axId val="5416320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57512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Exceptions by Month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'06_Dashboard'!$K$21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'06_Dashboard'!$J$22:$J$33</c:f>
              <c:numCache>
                <c:formatCode>mmm</c:formatCode>
                <c:ptCount val="12"/>
                <c:pt idx="0">
                  <c:v>45658</c:v>
                </c:pt>
                <c:pt idx="1">
                  <c:v>45689</c:v>
                </c:pt>
                <c:pt idx="2">
                  <c:v>45717</c:v>
                </c:pt>
                <c:pt idx="3">
                  <c:v>45748</c:v>
                </c:pt>
                <c:pt idx="4">
                  <c:v>45778</c:v>
                </c:pt>
                <c:pt idx="5">
                  <c:v>45809</c:v>
                </c:pt>
                <c:pt idx="6">
                  <c:v>45839</c:v>
                </c:pt>
                <c:pt idx="7">
                  <c:v>45870</c:v>
                </c:pt>
                <c:pt idx="8">
                  <c:v>45901</c:v>
                </c:pt>
                <c:pt idx="9">
                  <c:v>45931</c:v>
                </c:pt>
                <c:pt idx="10">
                  <c:v>45962</c:v>
                </c:pt>
                <c:pt idx="11">
                  <c:v>45992</c:v>
                </c:pt>
              </c:numCache>
            </c:numRef>
          </c:cat>
          <c:val>
            <c:numRef>
              <c:f>'06_Dashboard'!$K$22:$K$33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4</c:v>
                </c:pt>
                <c:pt idx="3">
                  <c:v>2</c:v>
                </c:pt>
                <c:pt idx="4">
                  <c:v>4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3</c:v>
                </c:pt>
                <c:pt idx="9">
                  <c:v>6</c:v>
                </c:pt>
                <c:pt idx="10">
                  <c:v>3</c:v>
                </c:pt>
                <c:pt idx="1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79-4702-932E-705973BD93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4563489"/>
        <c:axId val="99158296"/>
      </c:barChart>
      <c:dateAx>
        <c:axId val="54563489"/>
        <c:scaling>
          <c:orientation val="minMax"/>
        </c:scaling>
        <c:delete val="0"/>
        <c:axPos val="b"/>
        <c:numFmt formatCode="m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9158296"/>
        <c:crosses val="autoZero"/>
        <c:auto val="1"/>
        <c:lblOffset val="100"/>
        <c:baseTimeUnit val="months"/>
      </c:dateAx>
      <c:valAx>
        <c:axId val="9915829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456348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37</xdr:row>
      <xdr:rowOff>100800</xdr:rowOff>
    </xdr:from>
    <xdr:to>
      <xdr:col>3</xdr:col>
      <xdr:colOff>678240</xdr:colOff>
      <xdr:row>50</xdr:row>
      <xdr:rowOff>143280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37</xdr:row>
      <xdr:rowOff>100800</xdr:rowOff>
    </xdr:from>
    <xdr:to>
      <xdr:col>10</xdr:col>
      <xdr:colOff>238680</xdr:colOff>
      <xdr:row>50</xdr:row>
      <xdr:rowOff>143280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53</xdr:row>
      <xdr:rowOff>100800</xdr:rowOff>
    </xdr:from>
    <xdr:to>
      <xdr:col>3</xdr:col>
      <xdr:colOff>678240</xdr:colOff>
      <xdr:row>66</xdr:row>
      <xdr:rowOff>143280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53</xdr:row>
      <xdr:rowOff>100800</xdr:rowOff>
    </xdr:from>
    <xdr:to>
      <xdr:col>11</xdr:col>
      <xdr:colOff>38520</xdr:colOff>
      <xdr:row>66</xdr:row>
      <xdr:rowOff>143280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tblParameters" displayName="tblParameters" ref="A4:G19" totalsRowShown="0">
  <autoFilter ref="A4:G19" xr:uid="{00000000-0009-0000-0100-000004000000}"/>
  <tableColumns count="7">
    <tableColumn id="1" xr3:uid="{00000000-0010-0000-0000-000001000000}" name="Parameter_ID"/>
    <tableColumn id="2" xr3:uid="{00000000-0010-0000-0000-000002000000}" name="Parameter_Name"/>
    <tableColumn id="3" xr3:uid="{00000000-0010-0000-0000-000003000000}" name="Parameter_Value"/>
    <tableColumn id="4" xr3:uid="{00000000-0010-0000-0000-000004000000}" name="Unit"/>
    <tableColumn id="5" xr3:uid="{00000000-0010-0000-0000-000005000000}" name="Rationale"/>
    <tableColumn id="6" xr3:uid="{00000000-0010-0000-0000-000006000000}" name="Source_Type"/>
    <tableColumn id="7" xr3:uid="{00000000-0010-0000-0000-000007000000}" name="Last_Updated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2000000}" name="tblAP" displayName="tblAP" ref="A4:AA304" totalsRowShown="0">
  <autoFilter ref="A4:AA304" xr:uid="{00000000-0009-0000-0100-000001000000}"/>
  <tableColumns count="27">
    <tableColumn id="1" xr3:uid="{00000000-0010-0000-0200-000001000000}" name="Invoice_ID"/>
    <tableColumn id="2" xr3:uid="{00000000-0010-0000-0200-000002000000}" name="Vendor_ID"/>
    <tableColumn id="3" xr3:uid="{00000000-0010-0000-0200-000003000000}" name="Vendor_Name"/>
    <tableColumn id="4" xr3:uid="{00000000-0010-0000-0200-000004000000}" name="Vendor_Invoice_Number"/>
    <tableColumn id="5" xr3:uid="{00000000-0010-0000-0200-000005000000}" name="Invoice_Date"/>
    <tableColumn id="6" xr3:uid="{00000000-0010-0000-0200-000006000000}" name="Posting_Date"/>
    <tableColumn id="7" xr3:uid="{00000000-0010-0000-0200-000007000000}" name="Due_Date"/>
    <tableColumn id="8" xr3:uid="{00000000-0010-0000-0200-000008000000}" name="Gross_Amount"/>
    <tableColumn id="9" xr3:uid="{00000000-0010-0000-0200-000009000000}" name="VAT_Amount"/>
    <tableColumn id="10" xr3:uid="{00000000-0010-0000-0200-00000A000000}" name="Net_Amount"/>
    <tableColumn id="11" xr3:uid="{00000000-0010-0000-0200-00000B000000}" name="Purchase_Order_ID"/>
    <tableColumn id="12" xr3:uid="{00000000-0010-0000-0200-00000C000000}" name="Goods_Receipt_ID"/>
    <tableColumn id="13" xr3:uid="{00000000-0010-0000-0200-00000D000000}" name="Payment_Reference"/>
    <tableColumn id="14" xr3:uid="{00000000-0010-0000-0200-00000E000000}" name="Payment_Date"/>
    <tableColumn id="15" xr3:uid="{00000000-0010-0000-0200-00000F000000}" name="Payment_Status"/>
    <tableColumn id="16" xr3:uid="{00000000-0010-0000-0200-000010000000}" name="Invoice_Description"/>
    <tableColumn id="17" xr3:uid="{00000000-0010-0000-0200-000011000000}" name="Entered_By"/>
    <tableColumn id="18" xr3:uid="{00000000-0010-0000-0200-000012000000}" name="Approved_By"/>
    <tableColumn id="19" xr3:uid="{00000000-0010-0000-0200-000013000000}" name="Approval_Status"/>
    <tableColumn id="20" xr3:uid="{00000000-0010-0000-0200-000014000000}" name="Supporting_Document_Status"/>
    <tableColumn id="21" xr3:uid="{00000000-0010-0000-0200-000015000000}" name="Days_Invoice_to_Posting"/>
    <tableColumn id="22" xr3:uid="{00000000-0010-0000-0200-000016000000}" name="Is_High_Value"/>
    <tableColumn id="23" xr3:uid="{00000000-0010-0000-0200-000017000000}" name="Is_Potential_Duplicate"/>
    <tableColumn id="24" xr3:uid="{00000000-0010-0000-0200-000018000000}" name="Is_Missing_PO"/>
    <tableColumn id="25" xr3:uid="{00000000-0010-0000-0200-000019000000}" name="Is_Missing_Receipt"/>
    <tableColumn id="26" xr3:uid="{00000000-0010-0000-0200-00001A000000}" name="Is_Potential_Cutoff"/>
    <tableColumn id="27" xr3:uid="{00000000-0010-0000-0200-00001B000000}" name="Exception_Notes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tblTests" displayName="tblTests" ref="A4:M19" totalsRowShown="0">
  <autoFilter ref="A4:M19" xr:uid="{00000000-0009-0000-0100-000006000000}"/>
  <tableColumns count="13">
    <tableColumn id="1" xr3:uid="{00000000-0010-0000-0300-000001000000}" name="Test_ID"/>
    <tableColumn id="2" xr3:uid="{00000000-0010-0000-0300-000002000000}" name="Test_Name"/>
    <tableColumn id="3" xr3:uid="{00000000-0010-0000-0300-000003000000}" name="Risk_Addressed"/>
    <tableColumn id="4" xr3:uid="{00000000-0010-0000-0300-000004000000}" name="Relevant_Assertion"/>
    <tableColumn id="5" xr3:uid="{00000000-0010-0000-0300-000005000000}" name="Data_Source"/>
    <tableColumn id="6" xr3:uid="{00000000-0010-0000-0300-000006000000}" name="Test_Logic"/>
    <tableColumn id="7" xr3:uid="{00000000-0010-0000-0300-000007000000}" name="Threshold"/>
    <tableColumn id="8" xr3:uid="{00000000-0010-0000-0300-000008000000}" name="Formula_or_Method"/>
    <tableColumn id="9" xr3:uid="{00000000-0010-0000-0300-000009000000}" name="Flagged_Transaction_Count"/>
    <tableColumn id="10" xr3:uid="{00000000-0010-0000-0300-00000A000000}" name="Potential_Amount"/>
    <tableColumn id="11" xr3:uid="{00000000-0010-0000-0300-00000B000000}" name="Interpretation"/>
    <tableColumn id="12" xr3:uid="{00000000-0010-0000-0300-00000C000000}" name="Recommended_Follow_Up"/>
    <tableColumn id="13" xr3:uid="{00000000-0010-0000-0300-00000D000000}" name="Test_Status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4000000}" name="tblExceptions" displayName="tblExceptions" ref="A4:W45" totalsRowShown="0">
  <autoFilter ref="A4:W45" xr:uid="{00000000-0009-0000-0100-000002000000}"/>
  <tableColumns count="23">
    <tableColumn id="1" xr3:uid="{00000000-0010-0000-0400-000001000000}" name="Exception_ID"/>
    <tableColumn id="2" xr3:uid="{00000000-0010-0000-0400-000002000000}" name="Test_ID"/>
    <tableColumn id="3" xr3:uid="{00000000-0010-0000-0400-000003000000}" name="Source_Dataset"/>
    <tableColumn id="4" xr3:uid="{00000000-0010-0000-0400-000004000000}" name="Journal_ID"/>
    <tableColumn id="5" xr3:uid="{00000000-0010-0000-0400-000005000000}" name="Journal_Line_ID"/>
    <tableColumn id="6" xr3:uid="{00000000-0010-0000-0400-000006000000}" name="Invoice_ID"/>
    <tableColumn id="7" xr3:uid="{00000000-0010-0000-0400-000007000000}" name="Vendor_ID"/>
    <tableColumn id="8" xr3:uid="{00000000-0010-0000-0400-000008000000}" name="Transaction_Date"/>
    <tableColumn id="9" xr3:uid="{00000000-0010-0000-0400-000009000000}" name="Account_Code"/>
    <tableColumn id="10" xr3:uid="{00000000-0010-0000-0400-00000A000000}" name="Account_Name"/>
    <tableColumn id="11" xr3:uid="{00000000-0010-0000-0400-00000B000000}" name="Amount"/>
    <tableColumn id="12" xr3:uid="{00000000-0010-0000-0400-00000C000000}" name="Threshold_or_Rule"/>
    <tableColumn id="13" xr3:uid="{00000000-0010-0000-0400-00000D000000}" name="Exception_Reason"/>
    <tableColumn id="14" xr3:uid="{00000000-0010-0000-0400-00000E000000}" name="Risk_Category"/>
    <tableColumn id="15" xr3:uid="{00000000-0010-0000-0400-00000F000000}" name="Relevant_Assertion"/>
    <tableColumn id="16" xr3:uid="{00000000-0010-0000-0400-000010000000}" name="Priority"/>
    <tableColumn id="17" xr3:uid="{00000000-0010-0000-0400-000011000000}" name="Evidence_Required"/>
    <tableColumn id="18" xr3:uid="{00000000-0010-0000-0400-000012000000}" name="Recommended_Procedure"/>
    <tableColumn id="19" xr3:uid="{00000000-0010-0000-0400-000013000000}" name="Investigation_Status"/>
    <tableColumn id="20" xr3:uid="{00000000-0010-0000-0400-000014000000}" name="Investigation_Outcome"/>
    <tableColumn id="21" xr3:uid="{00000000-0010-0000-0400-000015000000}" name="Potential_Misstatement_Amount"/>
    <tableColumn id="22" xr3:uid="{00000000-0010-0000-0400-000016000000}" name="Adjustment_Required"/>
    <tableColumn id="23" xr3:uid="{00000000-0010-0000-0400-000017000000}" name="Reviewer_Notes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5000000}" name="tblQA" displayName="tblQA" ref="A4:E18" totalsRowShown="0">
  <autoFilter ref="A4:E18" xr:uid="{00000000-0009-0000-0100-000005000000}"/>
  <tableColumns count="5">
    <tableColumn id="1" xr3:uid="{00000000-0010-0000-0500-000001000000}" name="Scenario"/>
    <tableColumn id="2" xr3:uid="{00000000-0010-0000-0500-000002000000}" name="QA_Status"/>
    <tableColumn id="3" xr3:uid="{00000000-0010-0000-0500-000003000000}" name="Amount_or_Count"/>
    <tableColumn id="4" xr3:uid="{00000000-0010-0000-0500-000004000000}" name="Intended_Detection"/>
    <tableColumn id="5" xr3:uid="{00000000-0010-0000-0500-000005000000}" name="Not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1"/>
  <sheetViews>
    <sheetView showGridLines="0" zoomScale="77" zoomScaleNormal="100" workbookViewId="0">
      <pane ySplit="3" topLeftCell="A4" activePane="bottomLeft" state="frozen"/>
      <selection pane="bottomLeft" sqref="A1:F1"/>
    </sheetView>
  </sheetViews>
  <sheetFormatPr defaultColWidth="8.5546875" defaultRowHeight="14.4"/>
  <cols>
    <col min="1" max="1" width="28" customWidth="1"/>
    <col min="2" max="2" width="95" customWidth="1"/>
    <col min="3" max="6" width="18" customWidth="1"/>
  </cols>
  <sheetData>
    <row r="1" spans="1:6" ht="21.75" customHeight="1">
      <c r="A1" s="6" t="s">
        <v>0</v>
      </c>
      <c r="B1" s="6"/>
      <c r="C1" s="6"/>
      <c r="D1" s="6"/>
      <c r="E1" s="6"/>
      <c r="F1" s="6"/>
    </row>
    <row r="2" spans="1:6" ht="15" customHeight="1">
      <c r="A2" s="5" t="s">
        <v>1</v>
      </c>
      <c r="B2" s="5"/>
      <c r="C2" s="5"/>
      <c r="D2" s="5"/>
      <c r="E2" s="5"/>
      <c r="F2" s="5"/>
    </row>
    <row r="4" spans="1:6" ht="19.5" customHeight="1">
      <c r="A4" s="7" t="s">
        <v>2</v>
      </c>
      <c r="B4" s="8" t="s">
        <v>3</v>
      </c>
    </row>
    <row r="5" spans="1:6" ht="19.5" customHeight="1">
      <c r="A5" s="7" t="s">
        <v>4</v>
      </c>
      <c r="B5" s="8" t="s">
        <v>5</v>
      </c>
    </row>
    <row r="6" spans="1:6" ht="19.5" customHeight="1">
      <c r="A6" s="7" t="s">
        <v>6</v>
      </c>
      <c r="B6" s="8" t="s">
        <v>7</v>
      </c>
    </row>
    <row r="7" spans="1:6" ht="19.5" customHeight="1">
      <c r="A7" s="7" t="s">
        <v>8</v>
      </c>
      <c r="B7" s="8" t="s">
        <v>9</v>
      </c>
    </row>
    <row r="8" spans="1:6" ht="19.5" customHeight="1">
      <c r="A8" s="7" t="s">
        <v>10</v>
      </c>
      <c r="B8" s="8" t="s">
        <v>11</v>
      </c>
    </row>
    <row r="9" spans="1:6" ht="19.5" customHeight="1">
      <c r="A9" s="7" t="s">
        <v>12</v>
      </c>
      <c r="B9" s="8" t="s">
        <v>13</v>
      </c>
    </row>
    <row r="10" spans="1:6" ht="19.5" customHeight="1">
      <c r="A10" s="7"/>
      <c r="B10" s="8"/>
    </row>
    <row r="11" spans="1:6" ht="30" customHeight="1">
      <c r="A11" s="7" t="s">
        <v>14</v>
      </c>
      <c r="B11" s="8" t="s">
        <v>15</v>
      </c>
    </row>
    <row r="12" spans="1:6" ht="19.5" customHeight="1">
      <c r="A12" s="7"/>
      <c r="B12" s="8"/>
    </row>
    <row r="13" spans="1:6" ht="30" customHeight="1">
      <c r="A13" s="7" t="s">
        <v>16</v>
      </c>
      <c r="B13" s="8" t="s">
        <v>17</v>
      </c>
    </row>
    <row r="14" spans="1:6" ht="19.5" customHeight="1">
      <c r="A14" s="7"/>
      <c r="B14" s="8"/>
    </row>
    <row r="15" spans="1:6" ht="30" customHeight="1">
      <c r="A15" s="7" t="s">
        <v>18</v>
      </c>
      <c r="B15" s="8" t="s">
        <v>19</v>
      </c>
    </row>
    <row r="16" spans="1:6" ht="30" customHeight="1">
      <c r="A16" s="7" t="s">
        <v>20</v>
      </c>
      <c r="B16" s="8" t="s">
        <v>21</v>
      </c>
    </row>
    <row r="17" spans="1:2" ht="19.5" customHeight="1">
      <c r="A17" s="7"/>
      <c r="B17" s="8"/>
    </row>
    <row r="18" spans="1:2" ht="30" customHeight="1">
      <c r="A18" s="7" t="s">
        <v>22</v>
      </c>
      <c r="B18" s="8" t="s">
        <v>23</v>
      </c>
    </row>
    <row r="19" spans="1:2" ht="30" customHeight="1">
      <c r="A19" s="7" t="s">
        <v>24</v>
      </c>
      <c r="B19" s="8" t="s">
        <v>25</v>
      </c>
    </row>
    <row r="20" spans="1:2" ht="30" customHeight="1">
      <c r="A20" s="7" t="s">
        <v>26</v>
      </c>
      <c r="B20" s="8" t="s">
        <v>27</v>
      </c>
    </row>
    <row r="21" spans="1:2" ht="30" customHeight="1">
      <c r="A21" s="7" t="s">
        <v>28</v>
      </c>
      <c r="B21" s="8" t="s">
        <v>29</v>
      </c>
    </row>
  </sheetData>
  <mergeCells count="2">
    <mergeCell ref="A1:F1"/>
    <mergeCell ref="A2:F2"/>
  </mergeCells>
  <pageMargins left="0.75" right="0.75" top="1" bottom="1" header="0.511811023622047" footer="0.511811023622047"/>
  <pageSetup fitToHeight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19"/>
  <sheetViews>
    <sheetView showGridLines="0" zoomScale="69" zoomScaleNormal="100" workbookViewId="0">
      <pane ySplit="4" topLeftCell="A5" activePane="bottomLeft" state="frozen"/>
      <selection pane="bottomLeft" activeCell="B11" sqref="B11"/>
    </sheetView>
  </sheetViews>
  <sheetFormatPr defaultColWidth="8.5546875" defaultRowHeight="14.4"/>
  <cols>
    <col min="1" max="1" width="18" customWidth="1"/>
    <col min="2" max="2" width="30" customWidth="1"/>
    <col min="3" max="3" width="20" customWidth="1"/>
    <col min="4" max="4" width="15" customWidth="1"/>
    <col min="5" max="5" width="55" customWidth="1"/>
    <col min="6" max="6" width="18" customWidth="1"/>
    <col min="7" max="7" width="16" customWidth="1"/>
  </cols>
  <sheetData>
    <row r="1" spans="1:7" ht="21.75" customHeight="1">
      <c r="A1" s="6" t="s">
        <v>30</v>
      </c>
      <c r="B1" s="6"/>
      <c r="C1" s="6"/>
      <c r="D1" s="6"/>
      <c r="E1" s="6"/>
      <c r="F1" s="6"/>
      <c r="G1" s="6"/>
    </row>
    <row r="2" spans="1:7" ht="15" customHeight="1">
      <c r="A2" s="5" t="s">
        <v>31</v>
      </c>
      <c r="B2" s="5"/>
      <c r="C2" s="5"/>
      <c r="D2" s="5"/>
      <c r="E2" s="5"/>
      <c r="F2" s="5"/>
      <c r="G2" s="5"/>
    </row>
    <row r="4" spans="1:7" ht="15" customHeight="1">
      <c r="A4" s="9" t="s">
        <v>32</v>
      </c>
      <c r="B4" s="9" t="s">
        <v>33</v>
      </c>
      <c r="C4" s="9" t="s">
        <v>34</v>
      </c>
      <c r="D4" s="9" t="s">
        <v>35</v>
      </c>
      <c r="E4" s="9" t="s">
        <v>36</v>
      </c>
      <c r="F4" s="9" t="s">
        <v>37</v>
      </c>
      <c r="G4" s="9" t="s">
        <v>38</v>
      </c>
    </row>
    <row r="5" spans="1:7" ht="30.75" customHeight="1">
      <c r="A5" s="8" t="s">
        <v>39</v>
      </c>
      <c r="B5" s="8" t="s">
        <v>40</v>
      </c>
      <c r="C5" s="10">
        <v>45658</v>
      </c>
      <c r="D5" s="8" t="s">
        <v>41</v>
      </c>
      <c r="E5" s="8" t="s">
        <v>42</v>
      </c>
      <c r="F5" s="8" t="s">
        <v>43</v>
      </c>
      <c r="G5" s="11">
        <v>46317</v>
      </c>
    </row>
    <row r="6" spans="1:7" ht="30.75" customHeight="1">
      <c r="A6" s="8" t="s">
        <v>44</v>
      </c>
      <c r="B6" s="8" t="s">
        <v>45</v>
      </c>
      <c r="C6" s="10">
        <v>46022</v>
      </c>
      <c r="D6" s="8" t="s">
        <v>41</v>
      </c>
      <c r="E6" s="8" t="s">
        <v>46</v>
      </c>
      <c r="F6" s="8" t="s">
        <v>43</v>
      </c>
      <c r="G6" s="11">
        <v>46317</v>
      </c>
    </row>
    <row r="7" spans="1:7" ht="30.75" customHeight="1">
      <c r="A7" s="8" t="s">
        <v>47</v>
      </c>
      <c r="B7" s="8" t="s">
        <v>48</v>
      </c>
      <c r="C7" s="12">
        <v>100000</v>
      </c>
      <c r="D7" s="8" t="s">
        <v>49</v>
      </c>
      <c r="E7" s="8" t="s">
        <v>50</v>
      </c>
      <c r="F7" s="8" t="s">
        <v>43</v>
      </c>
      <c r="G7" s="11">
        <v>46317</v>
      </c>
    </row>
    <row r="8" spans="1:7" ht="30.75" customHeight="1">
      <c r="A8" s="8" t="s">
        <v>51</v>
      </c>
      <c r="B8" s="8" t="s">
        <v>52</v>
      </c>
      <c r="C8" s="12">
        <v>75000</v>
      </c>
      <c r="D8" s="8" t="s">
        <v>49</v>
      </c>
      <c r="E8" s="8" t="s">
        <v>53</v>
      </c>
      <c r="F8" s="8" t="s">
        <v>43</v>
      </c>
      <c r="G8" s="11">
        <v>46317</v>
      </c>
    </row>
    <row r="9" spans="1:7" ht="30.75" customHeight="1">
      <c r="A9" s="8" t="s">
        <v>54</v>
      </c>
      <c r="B9" s="8" t="s">
        <v>55</v>
      </c>
      <c r="C9" s="10">
        <v>46007</v>
      </c>
      <c r="D9" s="8" t="s">
        <v>41</v>
      </c>
      <c r="E9" s="8" t="s">
        <v>56</v>
      </c>
      <c r="F9" s="8" t="s">
        <v>43</v>
      </c>
      <c r="G9" s="11">
        <v>46317</v>
      </c>
    </row>
    <row r="10" spans="1:7" ht="30.75" customHeight="1">
      <c r="A10" s="8" t="s">
        <v>57</v>
      </c>
      <c r="B10" s="8" t="s">
        <v>58</v>
      </c>
      <c r="C10" s="10">
        <v>46022</v>
      </c>
      <c r="D10" s="8" t="s">
        <v>41</v>
      </c>
      <c r="E10" s="8" t="s">
        <v>46</v>
      </c>
      <c r="F10" s="8" t="s">
        <v>43</v>
      </c>
      <c r="G10" s="11">
        <v>46317</v>
      </c>
    </row>
    <row r="11" spans="1:7" ht="30.75" customHeight="1">
      <c r="A11" s="8" t="s">
        <v>59</v>
      </c>
      <c r="B11" s="8" t="s">
        <v>60</v>
      </c>
      <c r="C11" s="13" t="s">
        <v>61</v>
      </c>
      <c r="D11" s="8" t="s">
        <v>62</v>
      </c>
      <c r="E11" s="8" t="s">
        <v>63</v>
      </c>
      <c r="F11" s="8" t="s">
        <v>64</v>
      </c>
      <c r="G11" s="11">
        <v>46317</v>
      </c>
    </row>
    <row r="12" spans="1:7" ht="30.75" customHeight="1">
      <c r="A12" s="8" t="s">
        <v>65</v>
      </c>
      <c r="B12" s="8" t="s">
        <v>66</v>
      </c>
      <c r="C12" s="13" t="s">
        <v>61</v>
      </c>
      <c r="D12" s="8" t="s">
        <v>62</v>
      </c>
      <c r="E12" s="8" t="s">
        <v>67</v>
      </c>
      <c r="F12" s="8" t="s">
        <v>43</v>
      </c>
      <c r="G12" s="11">
        <v>46317</v>
      </c>
    </row>
    <row r="13" spans="1:7" ht="30.75" customHeight="1">
      <c r="A13" s="8" t="s">
        <v>68</v>
      </c>
      <c r="B13" s="8" t="s">
        <v>69</v>
      </c>
      <c r="C13" s="12">
        <v>8</v>
      </c>
      <c r="D13" s="8" t="s">
        <v>70</v>
      </c>
      <c r="E13" s="8" t="s">
        <v>71</v>
      </c>
      <c r="F13" s="8" t="s">
        <v>43</v>
      </c>
      <c r="G13" s="11">
        <v>46317</v>
      </c>
    </row>
    <row r="14" spans="1:7" ht="30.75" customHeight="1">
      <c r="A14" s="8" t="s">
        <v>72</v>
      </c>
      <c r="B14" s="8" t="s">
        <v>73</v>
      </c>
      <c r="C14" s="12">
        <v>18</v>
      </c>
      <c r="D14" s="8" t="s">
        <v>70</v>
      </c>
      <c r="E14" s="8" t="s">
        <v>74</v>
      </c>
      <c r="F14" s="8" t="s">
        <v>43</v>
      </c>
      <c r="G14" s="11">
        <v>46317</v>
      </c>
    </row>
    <row r="15" spans="1:7" ht="30.75" customHeight="1">
      <c r="A15" s="8" t="s">
        <v>75</v>
      </c>
      <c r="B15" s="8" t="s">
        <v>76</v>
      </c>
      <c r="C15" s="12">
        <v>0.01</v>
      </c>
      <c r="D15" s="8" t="s">
        <v>49</v>
      </c>
      <c r="E15" s="8" t="s">
        <v>77</v>
      </c>
      <c r="F15" s="8" t="s">
        <v>43</v>
      </c>
      <c r="G15" s="11">
        <v>46317</v>
      </c>
    </row>
    <row r="16" spans="1:7" ht="30.75" customHeight="1">
      <c r="A16" s="8" t="s">
        <v>78</v>
      </c>
      <c r="B16" s="8" t="s">
        <v>79</v>
      </c>
      <c r="C16" s="12">
        <v>90</v>
      </c>
      <c r="D16" s="8" t="s">
        <v>80</v>
      </c>
      <c r="E16" s="8" t="s">
        <v>81</v>
      </c>
      <c r="F16" s="8" t="s">
        <v>43</v>
      </c>
      <c r="G16" s="11">
        <v>46317</v>
      </c>
    </row>
    <row r="17" spans="1:7" ht="30.75" customHeight="1">
      <c r="A17" s="8" t="s">
        <v>82</v>
      </c>
      <c r="B17" s="8" t="s">
        <v>83</v>
      </c>
      <c r="C17" s="12">
        <v>10000</v>
      </c>
      <c r="D17" s="8" t="s">
        <v>49</v>
      </c>
      <c r="E17" s="8" t="s">
        <v>84</v>
      </c>
      <c r="F17" s="8" t="s">
        <v>43</v>
      </c>
      <c r="G17" s="11">
        <v>46317</v>
      </c>
    </row>
    <row r="18" spans="1:7" ht="30.75" customHeight="1">
      <c r="A18" s="8" t="s">
        <v>85</v>
      </c>
      <c r="B18" s="8" t="s">
        <v>86</v>
      </c>
      <c r="C18" s="13" t="s">
        <v>49</v>
      </c>
      <c r="D18" s="8" t="s">
        <v>87</v>
      </c>
      <c r="E18" s="8" t="s">
        <v>88</v>
      </c>
      <c r="F18" s="8" t="s">
        <v>43</v>
      </c>
      <c r="G18" s="11">
        <v>46317</v>
      </c>
    </row>
    <row r="19" spans="1:7" ht="30.75" customHeight="1">
      <c r="A19" s="8" t="s">
        <v>89</v>
      </c>
      <c r="B19" s="8" t="s">
        <v>90</v>
      </c>
      <c r="C19" s="12">
        <v>30</v>
      </c>
      <c r="D19" s="8" t="s">
        <v>80</v>
      </c>
      <c r="E19" s="8" t="s">
        <v>91</v>
      </c>
      <c r="F19" s="8" t="s">
        <v>43</v>
      </c>
      <c r="G19" s="11">
        <v>46317</v>
      </c>
    </row>
  </sheetData>
  <mergeCells count="2">
    <mergeCell ref="A1:G1"/>
    <mergeCell ref="A2:G2"/>
  </mergeCells>
  <pageMargins left="0.75" right="0.75" top="1" bottom="1" header="0.511811023622047" footer="0.511811023622047"/>
  <pageSetup fitToHeight="0" orientation="landscape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Z1004"/>
  <sheetViews>
    <sheetView showGridLines="0" zoomScale="72" zoomScaleNormal="100" workbookViewId="0">
      <pane xSplit="7" ySplit="4" topLeftCell="S5" activePane="bottomRight" state="frozen"/>
      <selection pane="topRight" activeCell="H1" sqref="H1"/>
      <selection pane="bottomLeft" activeCell="A5" sqref="A5"/>
      <selection pane="bottomRight" activeCell="T26" sqref="T26"/>
    </sheetView>
  </sheetViews>
  <sheetFormatPr defaultColWidth="8.5546875" defaultRowHeight="14.4"/>
  <cols>
    <col min="1" max="1" width="14" customWidth="1"/>
    <col min="2" max="2" width="18" customWidth="1"/>
    <col min="3" max="4" width="13" customWidth="1"/>
    <col min="5" max="5" width="11" customWidth="1"/>
    <col min="6" max="7" width="12" customWidth="1"/>
    <col min="8" max="8" width="28" customWidth="1"/>
    <col min="9" max="9" width="14" customWidth="1"/>
    <col min="10" max="12" width="15" customWidth="1"/>
    <col min="13" max="13" width="30" customWidth="1"/>
    <col min="14" max="14" width="18" customWidth="1"/>
    <col min="15" max="15" width="16" customWidth="1"/>
    <col min="16" max="17" width="12" customWidth="1"/>
    <col min="18" max="18" width="20" customWidth="1"/>
    <col min="19" max="19" width="15" customWidth="1"/>
    <col min="20" max="20" width="12" customWidth="1"/>
    <col min="21" max="21" width="14" customWidth="1"/>
    <col min="22" max="22" width="13" customWidth="1"/>
    <col min="23" max="23" width="18" customWidth="1"/>
    <col min="24" max="24" width="16" customWidth="1"/>
    <col min="25" max="25" width="14" customWidth="1"/>
    <col min="26" max="26" width="15" customWidth="1"/>
  </cols>
  <sheetData>
    <row r="1" spans="1:26" ht="21.75" customHeight="1">
      <c r="A1" s="6" t="s">
        <v>92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5" customHeight="1">
      <c r="A2" s="5" t="s">
        <v>93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4" spans="1:26" ht="33.75" customHeight="1">
      <c r="A4" s="9" t="s">
        <v>94</v>
      </c>
      <c r="B4" s="9" t="s">
        <v>95</v>
      </c>
      <c r="C4" s="9" t="s">
        <v>96</v>
      </c>
      <c r="D4" s="9" t="s">
        <v>97</v>
      </c>
      <c r="E4" s="9" t="s">
        <v>98</v>
      </c>
      <c r="F4" s="9" t="s">
        <v>99</v>
      </c>
      <c r="G4" s="9" t="s">
        <v>100</v>
      </c>
      <c r="H4" s="9" t="s">
        <v>101</v>
      </c>
      <c r="I4" s="9" t="s">
        <v>102</v>
      </c>
      <c r="J4" s="9" t="s">
        <v>103</v>
      </c>
      <c r="K4" s="9" t="s">
        <v>104</v>
      </c>
      <c r="L4" s="9" t="s">
        <v>105</v>
      </c>
      <c r="M4" s="9" t="s">
        <v>106</v>
      </c>
      <c r="N4" s="9" t="s">
        <v>107</v>
      </c>
      <c r="O4" s="9" t="s">
        <v>108</v>
      </c>
      <c r="P4" s="9" t="s">
        <v>109</v>
      </c>
      <c r="Q4" s="9" t="s">
        <v>110</v>
      </c>
      <c r="R4" s="9" t="s">
        <v>111</v>
      </c>
      <c r="S4" s="9" t="s">
        <v>112</v>
      </c>
      <c r="T4" s="9" t="s">
        <v>113</v>
      </c>
      <c r="U4" s="9" t="s">
        <v>114</v>
      </c>
      <c r="V4" s="9" t="s">
        <v>115</v>
      </c>
      <c r="W4" s="9" t="s">
        <v>116</v>
      </c>
      <c r="X4" s="9" t="s">
        <v>117</v>
      </c>
      <c r="Y4" s="9" t="s">
        <v>118</v>
      </c>
      <c r="Z4" s="9" t="s">
        <v>119</v>
      </c>
    </row>
    <row r="5" spans="1:26" ht="15" customHeight="1">
      <c r="A5" t="s">
        <v>120</v>
      </c>
      <c r="B5" t="s">
        <v>121</v>
      </c>
      <c r="C5" s="14">
        <v>45822</v>
      </c>
      <c r="D5" s="14">
        <v>45820</v>
      </c>
      <c r="E5">
        <v>2025</v>
      </c>
      <c r="F5">
        <v>6</v>
      </c>
      <c r="G5" t="s">
        <v>122</v>
      </c>
      <c r="H5" t="s">
        <v>123</v>
      </c>
      <c r="I5" t="s">
        <v>124</v>
      </c>
      <c r="J5" s="15">
        <v>169781.06</v>
      </c>
      <c r="K5" s="15">
        <v>0</v>
      </c>
      <c r="L5" s="15">
        <f t="shared" ref="L5:L68" si="0">J5-K5</f>
        <v>169781.06</v>
      </c>
      <c r="M5" t="s">
        <v>125</v>
      </c>
      <c r="N5" t="s">
        <v>126</v>
      </c>
      <c r="O5" t="s">
        <v>127</v>
      </c>
      <c r="P5" t="s">
        <v>128</v>
      </c>
      <c r="Q5" t="s">
        <v>129</v>
      </c>
      <c r="R5" s="16">
        <v>45822.802083333299</v>
      </c>
      <c r="S5" t="s">
        <v>130</v>
      </c>
      <c r="V5" t="b">
        <f t="shared" ref="V5:V68" si="1">AND(C5&gt;=Year_End_Window_Start,C5&lt;=Year_End_Window_End)</f>
        <v>0</v>
      </c>
      <c r="W5" t="b">
        <f>AND(OR(WEEKDAY(C5,2)=5,WEEKDAY(C5,2)=6),'01_Parameters'!$C$11="Enabled")</f>
        <v>1</v>
      </c>
      <c r="X5" t="b">
        <f t="shared" ref="X5:X68" si="2">AND(HOUR(R5)&lt;Business_Day_Start,HOUR(R5)&gt;=0)+AND(HOUR(R5)&gt;=Business_Day_End,HOUR(R5)&lt;=23)&gt;0</f>
        <v>1</v>
      </c>
      <c r="Y5" t="b">
        <f t="shared" ref="Y5:Y68" si="3">ABS(L5)&gt;High_Value_GL_Threshold</f>
        <v>1</v>
      </c>
      <c r="Z5" t="b">
        <f t="shared" ref="Z5:Z68" si="4">AND(ABS(L5)&gt;=Round_Number_Threshold,MOD(ABS(L5),Round_Number_Threshold)=0)</f>
        <v>0</v>
      </c>
    </row>
    <row r="6" spans="1:26" ht="15" customHeight="1">
      <c r="A6" t="s">
        <v>120</v>
      </c>
      <c r="B6" t="s">
        <v>131</v>
      </c>
      <c r="C6" s="14">
        <v>45822</v>
      </c>
      <c r="D6" s="14">
        <v>45820</v>
      </c>
      <c r="E6">
        <v>2025</v>
      </c>
      <c r="F6">
        <v>6</v>
      </c>
      <c r="G6" t="s">
        <v>132</v>
      </c>
      <c r="H6" t="s">
        <v>133</v>
      </c>
      <c r="I6" t="s">
        <v>134</v>
      </c>
      <c r="J6" s="15">
        <v>0</v>
      </c>
      <c r="K6" s="15">
        <v>169781.06</v>
      </c>
      <c r="L6" s="15">
        <f t="shared" si="0"/>
        <v>-169781.06</v>
      </c>
      <c r="M6" t="s">
        <v>125</v>
      </c>
      <c r="N6" t="s">
        <v>126</v>
      </c>
      <c r="O6" t="s">
        <v>127</v>
      </c>
      <c r="P6" t="s">
        <v>128</v>
      </c>
      <c r="Q6" t="s">
        <v>129</v>
      </c>
      <c r="R6" s="16">
        <v>45822.802083333299</v>
      </c>
      <c r="S6" t="s">
        <v>130</v>
      </c>
      <c r="V6" t="b">
        <f t="shared" si="1"/>
        <v>0</v>
      </c>
      <c r="W6" t="b">
        <f>AND(OR(WEEKDAY(C6,2)=5,WEEKDAY(C6,2)=6),'01_Parameters'!$C$11="Enabled")</f>
        <v>1</v>
      </c>
      <c r="X6" t="b">
        <f t="shared" si="2"/>
        <v>1</v>
      </c>
      <c r="Y6" t="b">
        <f t="shared" si="3"/>
        <v>1</v>
      </c>
      <c r="Z6" t="b">
        <f t="shared" si="4"/>
        <v>0</v>
      </c>
    </row>
    <row r="7" spans="1:26" ht="15" customHeight="1">
      <c r="A7" t="s">
        <v>135</v>
      </c>
      <c r="B7" t="s">
        <v>136</v>
      </c>
      <c r="C7" s="14">
        <v>45872</v>
      </c>
      <c r="D7" s="14">
        <v>45869</v>
      </c>
      <c r="E7">
        <v>2025</v>
      </c>
      <c r="F7">
        <v>8</v>
      </c>
      <c r="G7" t="s">
        <v>137</v>
      </c>
      <c r="H7" t="s">
        <v>138</v>
      </c>
      <c r="I7" t="s">
        <v>124</v>
      </c>
      <c r="J7" s="15">
        <v>47662.32</v>
      </c>
      <c r="K7" s="15">
        <v>0</v>
      </c>
      <c r="L7" s="15">
        <f t="shared" si="0"/>
        <v>47662.32</v>
      </c>
      <c r="M7" t="s">
        <v>125</v>
      </c>
      <c r="N7" t="s">
        <v>139</v>
      </c>
      <c r="O7" t="s">
        <v>127</v>
      </c>
      <c r="P7" t="s">
        <v>140</v>
      </c>
      <c r="Q7" t="s">
        <v>128</v>
      </c>
      <c r="R7" s="16">
        <v>45872.416666666701</v>
      </c>
      <c r="S7" t="s">
        <v>130</v>
      </c>
      <c r="V7" t="b">
        <f t="shared" si="1"/>
        <v>0</v>
      </c>
      <c r="W7" t="b">
        <f>AND(OR(WEEKDAY(C7,2)=5,WEEKDAY(C7,2)=6),'01_Parameters'!$C$11="Enabled")</f>
        <v>0</v>
      </c>
      <c r="X7" t="b">
        <f t="shared" si="2"/>
        <v>0</v>
      </c>
      <c r="Y7" t="b">
        <f t="shared" si="3"/>
        <v>0</v>
      </c>
      <c r="Z7" t="b">
        <f t="shared" si="4"/>
        <v>0</v>
      </c>
    </row>
    <row r="8" spans="1:26" ht="15" customHeight="1">
      <c r="A8" t="s">
        <v>135</v>
      </c>
      <c r="B8" t="s">
        <v>141</v>
      </c>
      <c r="C8" s="14">
        <v>45872</v>
      </c>
      <c r="D8" s="14">
        <v>45869</v>
      </c>
      <c r="E8">
        <v>2025</v>
      </c>
      <c r="F8">
        <v>8</v>
      </c>
      <c r="G8" t="s">
        <v>132</v>
      </c>
      <c r="H8" t="s">
        <v>133</v>
      </c>
      <c r="I8" t="s">
        <v>134</v>
      </c>
      <c r="J8" s="15">
        <v>0</v>
      </c>
      <c r="K8" s="15">
        <v>47662.32</v>
      </c>
      <c r="L8" s="15">
        <f t="shared" si="0"/>
        <v>-47662.32</v>
      </c>
      <c r="M8" t="s">
        <v>125</v>
      </c>
      <c r="N8" t="s">
        <v>139</v>
      </c>
      <c r="O8" t="s">
        <v>127</v>
      </c>
      <c r="P8" t="s">
        <v>140</v>
      </c>
      <c r="Q8" t="s">
        <v>128</v>
      </c>
      <c r="R8" s="16">
        <v>45872.416666666701</v>
      </c>
      <c r="S8" t="s">
        <v>130</v>
      </c>
      <c r="V8" t="b">
        <f t="shared" si="1"/>
        <v>0</v>
      </c>
      <c r="W8" t="b">
        <f>AND(OR(WEEKDAY(C8,2)=5,WEEKDAY(C8,2)=6),'01_Parameters'!$C$11="Enabled")</f>
        <v>0</v>
      </c>
      <c r="X8" t="b">
        <f t="shared" si="2"/>
        <v>0</v>
      </c>
      <c r="Y8" t="b">
        <f t="shared" si="3"/>
        <v>0</v>
      </c>
      <c r="Z8" t="b">
        <f t="shared" si="4"/>
        <v>0</v>
      </c>
    </row>
    <row r="9" spans="1:26" ht="15" customHeight="1">
      <c r="A9" t="s">
        <v>142</v>
      </c>
      <c r="B9" t="s">
        <v>143</v>
      </c>
      <c r="C9" s="14">
        <v>45709</v>
      </c>
      <c r="D9" s="14">
        <v>45704</v>
      </c>
      <c r="E9">
        <v>2025</v>
      </c>
      <c r="F9">
        <v>2</v>
      </c>
      <c r="G9" t="s">
        <v>144</v>
      </c>
      <c r="H9" t="s">
        <v>145</v>
      </c>
      <c r="I9" t="s">
        <v>146</v>
      </c>
      <c r="J9" s="15">
        <v>46024.42</v>
      </c>
      <c r="K9" s="15">
        <v>0</v>
      </c>
      <c r="L9" s="15">
        <f t="shared" si="0"/>
        <v>46024.42</v>
      </c>
      <c r="M9" t="s">
        <v>147</v>
      </c>
      <c r="N9" t="s">
        <v>148</v>
      </c>
      <c r="O9" t="s">
        <v>149</v>
      </c>
      <c r="P9" t="s">
        <v>150</v>
      </c>
      <c r="Q9" t="s">
        <v>151</v>
      </c>
      <c r="R9" s="16">
        <v>45709.416666666701</v>
      </c>
      <c r="S9" t="s">
        <v>130</v>
      </c>
      <c r="V9" t="b">
        <f t="shared" si="1"/>
        <v>0</v>
      </c>
      <c r="W9" t="b">
        <f>AND(OR(WEEKDAY(C9,2)=5,WEEKDAY(C9,2)=6),'01_Parameters'!$C$11="Enabled")</f>
        <v>1</v>
      </c>
      <c r="X9" t="b">
        <f t="shared" si="2"/>
        <v>0</v>
      </c>
      <c r="Y9" t="b">
        <f t="shared" si="3"/>
        <v>0</v>
      </c>
      <c r="Z9" t="b">
        <f t="shared" si="4"/>
        <v>0</v>
      </c>
    </row>
    <row r="10" spans="1:26" ht="15" customHeight="1">
      <c r="A10" t="s">
        <v>142</v>
      </c>
      <c r="B10" t="s">
        <v>152</v>
      </c>
      <c r="C10" s="14">
        <v>45709</v>
      </c>
      <c r="D10" s="14">
        <v>45704</v>
      </c>
      <c r="E10">
        <v>2025</v>
      </c>
      <c r="F10">
        <v>2</v>
      </c>
      <c r="G10" t="s">
        <v>153</v>
      </c>
      <c r="H10" t="s">
        <v>154</v>
      </c>
      <c r="I10" t="s">
        <v>155</v>
      </c>
      <c r="J10" s="15">
        <v>0</v>
      </c>
      <c r="K10" s="15">
        <v>46024.42</v>
      </c>
      <c r="L10" s="15">
        <f t="shared" si="0"/>
        <v>-46024.42</v>
      </c>
      <c r="M10" t="s">
        <v>147</v>
      </c>
      <c r="N10" t="s">
        <v>148</v>
      </c>
      <c r="O10" t="s">
        <v>149</v>
      </c>
      <c r="P10" t="s">
        <v>150</v>
      </c>
      <c r="Q10" t="s">
        <v>151</v>
      </c>
      <c r="R10" s="16">
        <v>45709.416666666701</v>
      </c>
      <c r="S10" t="s">
        <v>130</v>
      </c>
      <c r="V10" t="b">
        <f t="shared" si="1"/>
        <v>0</v>
      </c>
      <c r="W10" t="b">
        <f>AND(OR(WEEKDAY(C10,2)=5,WEEKDAY(C10,2)=6),'01_Parameters'!$C$11="Enabled")</f>
        <v>1</v>
      </c>
      <c r="X10" t="b">
        <f t="shared" si="2"/>
        <v>0</v>
      </c>
      <c r="Y10" t="b">
        <f t="shared" si="3"/>
        <v>0</v>
      </c>
      <c r="Z10" t="b">
        <f t="shared" si="4"/>
        <v>0</v>
      </c>
    </row>
    <row r="11" spans="1:26" ht="15" customHeight="1">
      <c r="A11" t="s">
        <v>156</v>
      </c>
      <c r="B11" t="s">
        <v>157</v>
      </c>
      <c r="C11" s="14">
        <v>45910</v>
      </c>
      <c r="D11" s="14">
        <v>45905</v>
      </c>
      <c r="E11">
        <v>2025</v>
      </c>
      <c r="F11">
        <v>9</v>
      </c>
      <c r="G11" t="s">
        <v>158</v>
      </c>
      <c r="H11" t="s">
        <v>159</v>
      </c>
      <c r="I11" t="s">
        <v>124</v>
      </c>
      <c r="J11" s="15">
        <v>21567.1</v>
      </c>
      <c r="K11" s="15">
        <v>0</v>
      </c>
      <c r="L11" s="15">
        <f t="shared" si="0"/>
        <v>21567.1</v>
      </c>
      <c r="M11" t="s">
        <v>160</v>
      </c>
      <c r="N11" t="s">
        <v>161</v>
      </c>
      <c r="O11" t="s">
        <v>162</v>
      </c>
      <c r="P11" t="s">
        <v>151</v>
      </c>
      <c r="Q11" t="s">
        <v>140</v>
      </c>
      <c r="R11" s="16">
        <v>45910.625</v>
      </c>
      <c r="S11" t="s">
        <v>130</v>
      </c>
      <c r="V11" t="b">
        <f t="shared" si="1"/>
        <v>0</v>
      </c>
      <c r="W11" t="b">
        <f>AND(OR(WEEKDAY(C11,2)=5,WEEKDAY(C11,2)=6),'01_Parameters'!$C$11="Enabled")</f>
        <v>0</v>
      </c>
      <c r="X11" t="b">
        <f t="shared" si="2"/>
        <v>0</v>
      </c>
      <c r="Y11" t="b">
        <f t="shared" si="3"/>
        <v>0</v>
      </c>
      <c r="Z11" t="b">
        <f t="shared" si="4"/>
        <v>0</v>
      </c>
    </row>
    <row r="12" spans="1:26" ht="15" customHeight="1">
      <c r="A12" t="s">
        <v>156</v>
      </c>
      <c r="B12" t="s">
        <v>163</v>
      </c>
      <c r="C12" s="14">
        <v>45910</v>
      </c>
      <c r="D12" s="14">
        <v>45905</v>
      </c>
      <c r="E12">
        <v>2025</v>
      </c>
      <c r="F12">
        <v>9</v>
      </c>
      <c r="G12" t="s">
        <v>164</v>
      </c>
      <c r="H12" t="s">
        <v>165</v>
      </c>
      <c r="I12" t="s">
        <v>146</v>
      </c>
      <c r="J12" s="15">
        <v>0</v>
      </c>
      <c r="K12" s="15">
        <v>21567.1</v>
      </c>
      <c r="L12" s="15">
        <f t="shared" si="0"/>
        <v>-21567.1</v>
      </c>
      <c r="M12" t="s">
        <v>160</v>
      </c>
      <c r="N12" t="s">
        <v>161</v>
      </c>
      <c r="O12" t="s">
        <v>162</v>
      </c>
      <c r="P12" t="s">
        <v>151</v>
      </c>
      <c r="Q12" t="s">
        <v>140</v>
      </c>
      <c r="R12" s="16">
        <v>45910.625</v>
      </c>
      <c r="S12" t="s">
        <v>130</v>
      </c>
      <c r="V12" t="b">
        <f t="shared" si="1"/>
        <v>0</v>
      </c>
      <c r="W12" t="b">
        <f>AND(OR(WEEKDAY(C12,2)=5,WEEKDAY(C12,2)=6),'01_Parameters'!$C$11="Enabled")</f>
        <v>0</v>
      </c>
      <c r="X12" t="b">
        <f t="shared" si="2"/>
        <v>0</v>
      </c>
      <c r="Y12" t="b">
        <f t="shared" si="3"/>
        <v>0</v>
      </c>
      <c r="Z12" t="b">
        <f t="shared" si="4"/>
        <v>0</v>
      </c>
    </row>
    <row r="13" spans="1:26" ht="15" customHeight="1">
      <c r="A13" t="s">
        <v>166</v>
      </c>
      <c r="B13" t="s">
        <v>167</v>
      </c>
      <c r="C13" s="14">
        <v>45874</v>
      </c>
      <c r="D13" s="14">
        <v>45873</v>
      </c>
      <c r="E13">
        <v>2025</v>
      </c>
      <c r="F13">
        <v>8</v>
      </c>
      <c r="G13" t="s">
        <v>158</v>
      </c>
      <c r="H13" t="s">
        <v>159</v>
      </c>
      <c r="I13" t="s">
        <v>124</v>
      </c>
      <c r="J13" s="15">
        <v>35129.35</v>
      </c>
      <c r="K13" s="15">
        <v>0</v>
      </c>
      <c r="L13" s="15">
        <f t="shared" si="0"/>
        <v>35129.35</v>
      </c>
      <c r="M13" t="s">
        <v>160</v>
      </c>
      <c r="N13" t="s">
        <v>168</v>
      </c>
      <c r="O13" t="s">
        <v>162</v>
      </c>
      <c r="P13" t="s">
        <v>151</v>
      </c>
      <c r="Q13" t="s">
        <v>129</v>
      </c>
      <c r="R13" s="16">
        <v>45874.71875</v>
      </c>
      <c r="S13" t="s">
        <v>130</v>
      </c>
      <c r="V13" t="b">
        <f t="shared" si="1"/>
        <v>0</v>
      </c>
      <c r="W13" t="b">
        <f>AND(OR(WEEKDAY(C13,2)=5,WEEKDAY(C13,2)=6),'01_Parameters'!$C$11="Enabled")</f>
        <v>0</v>
      </c>
      <c r="X13" t="b">
        <f t="shared" si="2"/>
        <v>0</v>
      </c>
      <c r="Y13" t="b">
        <f t="shared" si="3"/>
        <v>0</v>
      </c>
      <c r="Z13" t="b">
        <f t="shared" si="4"/>
        <v>0</v>
      </c>
    </row>
    <row r="14" spans="1:26" ht="15" customHeight="1">
      <c r="A14" t="s">
        <v>166</v>
      </c>
      <c r="B14" t="s">
        <v>169</v>
      </c>
      <c r="C14" s="14">
        <v>45874</v>
      </c>
      <c r="D14" s="14">
        <v>45873</v>
      </c>
      <c r="E14">
        <v>2025</v>
      </c>
      <c r="F14">
        <v>8</v>
      </c>
      <c r="G14" t="s">
        <v>164</v>
      </c>
      <c r="H14" t="s">
        <v>165</v>
      </c>
      <c r="I14" t="s">
        <v>146</v>
      </c>
      <c r="J14" s="15">
        <v>0</v>
      </c>
      <c r="K14" s="15">
        <v>35129.35</v>
      </c>
      <c r="L14" s="15">
        <f t="shared" si="0"/>
        <v>-35129.35</v>
      </c>
      <c r="M14" t="s">
        <v>160</v>
      </c>
      <c r="N14" t="s">
        <v>168</v>
      </c>
      <c r="O14" t="s">
        <v>162</v>
      </c>
      <c r="P14" t="s">
        <v>151</v>
      </c>
      <c r="Q14" t="s">
        <v>129</v>
      </c>
      <c r="R14" s="16">
        <v>45874.71875</v>
      </c>
      <c r="S14" t="s">
        <v>130</v>
      </c>
      <c r="V14" t="b">
        <f t="shared" si="1"/>
        <v>0</v>
      </c>
      <c r="W14" t="b">
        <f>AND(OR(WEEKDAY(C14,2)=5,WEEKDAY(C14,2)=6),'01_Parameters'!$C$11="Enabled")</f>
        <v>0</v>
      </c>
      <c r="X14" t="b">
        <f t="shared" si="2"/>
        <v>0</v>
      </c>
      <c r="Y14" t="b">
        <f t="shared" si="3"/>
        <v>0</v>
      </c>
      <c r="Z14" t="b">
        <f t="shared" si="4"/>
        <v>0</v>
      </c>
    </row>
    <row r="15" spans="1:26" ht="15" customHeight="1">
      <c r="A15" t="s">
        <v>170</v>
      </c>
      <c r="B15" t="s">
        <v>171</v>
      </c>
      <c r="C15" s="14">
        <v>45750</v>
      </c>
      <c r="D15" s="14">
        <v>45746</v>
      </c>
      <c r="E15">
        <v>2025</v>
      </c>
      <c r="F15">
        <v>4</v>
      </c>
      <c r="G15" t="s">
        <v>172</v>
      </c>
      <c r="H15" t="s">
        <v>173</v>
      </c>
      <c r="I15" t="s">
        <v>124</v>
      </c>
      <c r="J15" s="15">
        <v>10879.2</v>
      </c>
      <c r="K15" s="15">
        <v>0</v>
      </c>
      <c r="L15" s="15">
        <f t="shared" si="0"/>
        <v>10879.2</v>
      </c>
      <c r="M15" t="s">
        <v>125</v>
      </c>
      <c r="N15" t="s">
        <v>174</v>
      </c>
      <c r="O15" t="s">
        <v>127</v>
      </c>
      <c r="P15" t="s">
        <v>128</v>
      </c>
      <c r="Q15" t="s">
        <v>175</v>
      </c>
      <c r="R15" s="16">
        <v>45750.375</v>
      </c>
      <c r="S15" t="s">
        <v>130</v>
      </c>
      <c r="V15" t="b">
        <f t="shared" si="1"/>
        <v>0</v>
      </c>
      <c r="W15" t="b">
        <f>AND(OR(WEEKDAY(C15,2)=5,WEEKDAY(C15,2)=6),'01_Parameters'!$C$11="Enabled")</f>
        <v>0</v>
      </c>
      <c r="X15" t="b">
        <f t="shared" si="2"/>
        <v>0</v>
      </c>
      <c r="Y15" t="b">
        <f t="shared" si="3"/>
        <v>0</v>
      </c>
      <c r="Z15" t="b">
        <f t="shared" si="4"/>
        <v>0</v>
      </c>
    </row>
    <row r="16" spans="1:26" ht="15" customHeight="1">
      <c r="A16" t="s">
        <v>170</v>
      </c>
      <c r="B16" t="s">
        <v>176</v>
      </c>
      <c r="C16" s="14">
        <v>45750</v>
      </c>
      <c r="D16" s="14">
        <v>45746</v>
      </c>
      <c r="E16">
        <v>2025</v>
      </c>
      <c r="F16">
        <v>4</v>
      </c>
      <c r="G16" t="s">
        <v>132</v>
      </c>
      <c r="H16" t="s">
        <v>133</v>
      </c>
      <c r="I16" t="s">
        <v>134</v>
      </c>
      <c r="J16" s="15">
        <v>0</v>
      </c>
      <c r="K16" s="15">
        <v>10879.2</v>
      </c>
      <c r="L16" s="15">
        <f t="shared" si="0"/>
        <v>-10879.2</v>
      </c>
      <c r="M16" t="s">
        <v>125</v>
      </c>
      <c r="N16" t="s">
        <v>174</v>
      </c>
      <c r="O16" t="s">
        <v>127</v>
      </c>
      <c r="P16" t="s">
        <v>128</v>
      </c>
      <c r="Q16" t="s">
        <v>175</v>
      </c>
      <c r="R16" s="16">
        <v>45750.375</v>
      </c>
      <c r="S16" t="s">
        <v>130</v>
      </c>
      <c r="V16" t="b">
        <f t="shared" si="1"/>
        <v>0</v>
      </c>
      <c r="W16" t="b">
        <f>AND(OR(WEEKDAY(C16,2)=5,WEEKDAY(C16,2)=6),'01_Parameters'!$C$11="Enabled")</f>
        <v>0</v>
      </c>
      <c r="X16" t="b">
        <f t="shared" si="2"/>
        <v>0</v>
      </c>
      <c r="Y16" t="b">
        <f t="shared" si="3"/>
        <v>0</v>
      </c>
      <c r="Z16" t="b">
        <f t="shared" si="4"/>
        <v>0</v>
      </c>
    </row>
    <row r="17" spans="1:26" ht="15" customHeight="1">
      <c r="A17" t="s">
        <v>177</v>
      </c>
      <c r="B17" t="s">
        <v>178</v>
      </c>
      <c r="C17" s="14">
        <v>45763</v>
      </c>
      <c r="D17" s="14">
        <v>45758</v>
      </c>
      <c r="E17">
        <v>2025</v>
      </c>
      <c r="F17">
        <v>4</v>
      </c>
      <c r="G17" t="s">
        <v>179</v>
      </c>
      <c r="H17" t="s">
        <v>180</v>
      </c>
      <c r="I17" t="s">
        <v>124</v>
      </c>
      <c r="J17" s="15">
        <v>7804.37</v>
      </c>
      <c r="K17" s="15">
        <v>0</v>
      </c>
      <c r="L17" s="15">
        <f t="shared" si="0"/>
        <v>7804.37</v>
      </c>
      <c r="M17" t="s">
        <v>181</v>
      </c>
      <c r="N17" t="s">
        <v>182</v>
      </c>
      <c r="O17" t="s">
        <v>183</v>
      </c>
      <c r="P17" t="s">
        <v>150</v>
      </c>
      <c r="Q17" t="s">
        <v>129</v>
      </c>
      <c r="R17" s="16">
        <v>45763.53125</v>
      </c>
      <c r="S17" t="s">
        <v>130</v>
      </c>
      <c r="V17" t="b">
        <f t="shared" si="1"/>
        <v>0</v>
      </c>
      <c r="W17" t="b">
        <f>AND(OR(WEEKDAY(C17,2)=5,WEEKDAY(C17,2)=6),'01_Parameters'!$C$11="Enabled")</f>
        <v>0</v>
      </c>
      <c r="X17" t="b">
        <f t="shared" si="2"/>
        <v>0</v>
      </c>
      <c r="Y17" t="b">
        <f t="shared" si="3"/>
        <v>0</v>
      </c>
      <c r="Z17" t="b">
        <f t="shared" si="4"/>
        <v>0</v>
      </c>
    </row>
    <row r="18" spans="1:26" ht="15" customHeight="1">
      <c r="A18" t="s">
        <v>177</v>
      </c>
      <c r="B18" t="s">
        <v>184</v>
      </c>
      <c r="C18" s="14">
        <v>45763</v>
      </c>
      <c r="D18" s="14">
        <v>45758</v>
      </c>
      <c r="E18">
        <v>2025</v>
      </c>
      <c r="F18">
        <v>4</v>
      </c>
      <c r="G18" t="s">
        <v>185</v>
      </c>
      <c r="H18" t="s">
        <v>186</v>
      </c>
      <c r="I18" t="s">
        <v>134</v>
      </c>
      <c r="J18" s="15">
        <v>0</v>
      </c>
      <c r="K18" s="15">
        <v>7804.37</v>
      </c>
      <c r="L18" s="15">
        <f t="shared" si="0"/>
        <v>-7804.37</v>
      </c>
      <c r="M18" t="s">
        <v>181</v>
      </c>
      <c r="N18" t="s">
        <v>182</v>
      </c>
      <c r="O18" t="s">
        <v>183</v>
      </c>
      <c r="P18" t="s">
        <v>150</v>
      </c>
      <c r="Q18" t="s">
        <v>129</v>
      </c>
      <c r="R18" s="16">
        <v>45763.53125</v>
      </c>
      <c r="S18" t="s">
        <v>130</v>
      </c>
      <c r="V18" t="b">
        <f t="shared" si="1"/>
        <v>0</v>
      </c>
      <c r="W18" t="b">
        <f>AND(OR(WEEKDAY(C18,2)=5,WEEKDAY(C18,2)=6),'01_Parameters'!$C$11="Enabled")</f>
        <v>0</v>
      </c>
      <c r="X18" t="b">
        <f t="shared" si="2"/>
        <v>0</v>
      </c>
      <c r="Y18" t="b">
        <f t="shared" si="3"/>
        <v>0</v>
      </c>
      <c r="Z18" t="b">
        <f t="shared" si="4"/>
        <v>0</v>
      </c>
    </row>
    <row r="19" spans="1:26" ht="15" customHeight="1">
      <c r="A19" t="s">
        <v>187</v>
      </c>
      <c r="B19" t="s">
        <v>188</v>
      </c>
      <c r="C19" s="14">
        <v>45698</v>
      </c>
      <c r="D19" s="14">
        <v>45694</v>
      </c>
      <c r="E19">
        <v>2025</v>
      </c>
      <c r="F19">
        <v>2</v>
      </c>
      <c r="G19" t="s">
        <v>172</v>
      </c>
      <c r="H19" t="s">
        <v>173</v>
      </c>
      <c r="I19" t="s">
        <v>124</v>
      </c>
      <c r="J19" s="15">
        <v>78219.850000000006</v>
      </c>
      <c r="K19" s="15">
        <v>0</v>
      </c>
      <c r="L19" s="15">
        <f t="shared" si="0"/>
        <v>78219.850000000006</v>
      </c>
      <c r="M19" t="s">
        <v>125</v>
      </c>
      <c r="N19" t="s">
        <v>189</v>
      </c>
      <c r="O19" t="s">
        <v>127</v>
      </c>
      <c r="P19" t="s">
        <v>150</v>
      </c>
      <c r="Q19" t="s">
        <v>175</v>
      </c>
      <c r="R19" s="16">
        <v>45698.8125</v>
      </c>
      <c r="S19" t="s">
        <v>130</v>
      </c>
      <c r="V19" t="b">
        <f t="shared" si="1"/>
        <v>0</v>
      </c>
      <c r="W19" t="b">
        <f>AND(OR(WEEKDAY(C19,2)=5,WEEKDAY(C19,2)=6),'01_Parameters'!$C$11="Enabled")</f>
        <v>0</v>
      </c>
      <c r="X19" t="b">
        <f t="shared" si="2"/>
        <v>1</v>
      </c>
      <c r="Y19" t="b">
        <f t="shared" si="3"/>
        <v>0</v>
      </c>
      <c r="Z19" t="b">
        <f t="shared" si="4"/>
        <v>0</v>
      </c>
    </row>
    <row r="20" spans="1:26" ht="15" customHeight="1">
      <c r="A20" t="s">
        <v>187</v>
      </c>
      <c r="B20" t="s">
        <v>190</v>
      </c>
      <c r="C20" s="14">
        <v>45698</v>
      </c>
      <c r="D20" s="14">
        <v>45694</v>
      </c>
      <c r="E20">
        <v>2025</v>
      </c>
      <c r="F20">
        <v>2</v>
      </c>
      <c r="G20" t="s">
        <v>132</v>
      </c>
      <c r="H20" t="s">
        <v>133</v>
      </c>
      <c r="I20" t="s">
        <v>134</v>
      </c>
      <c r="J20" s="15">
        <v>0</v>
      </c>
      <c r="K20" s="15">
        <v>78219.850000000006</v>
      </c>
      <c r="L20" s="15">
        <f t="shared" si="0"/>
        <v>-78219.850000000006</v>
      </c>
      <c r="M20" t="s">
        <v>125</v>
      </c>
      <c r="N20" t="s">
        <v>189</v>
      </c>
      <c r="O20" t="s">
        <v>127</v>
      </c>
      <c r="P20" t="s">
        <v>150</v>
      </c>
      <c r="Q20" t="s">
        <v>175</v>
      </c>
      <c r="R20" s="16">
        <v>45698.8125</v>
      </c>
      <c r="S20" t="s">
        <v>130</v>
      </c>
      <c r="V20" t="b">
        <f t="shared" si="1"/>
        <v>0</v>
      </c>
      <c r="W20" t="b">
        <f>AND(OR(WEEKDAY(C20,2)=5,WEEKDAY(C20,2)=6),'01_Parameters'!$C$11="Enabled")</f>
        <v>0</v>
      </c>
      <c r="X20" t="b">
        <f t="shared" si="2"/>
        <v>1</v>
      </c>
      <c r="Y20" t="b">
        <f t="shared" si="3"/>
        <v>0</v>
      </c>
      <c r="Z20" t="b">
        <f t="shared" si="4"/>
        <v>0</v>
      </c>
    </row>
    <row r="21" spans="1:26" ht="15" customHeight="1">
      <c r="A21" t="s">
        <v>191</v>
      </c>
      <c r="B21" t="s">
        <v>192</v>
      </c>
      <c r="C21" s="14">
        <v>45769</v>
      </c>
      <c r="D21" s="14">
        <v>45767</v>
      </c>
      <c r="E21">
        <v>2025</v>
      </c>
      <c r="F21">
        <v>4</v>
      </c>
      <c r="G21" t="s">
        <v>193</v>
      </c>
      <c r="H21" t="s">
        <v>194</v>
      </c>
      <c r="I21" t="s">
        <v>124</v>
      </c>
      <c r="J21" s="15">
        <v>64849.46</v>
      </c>
      <c r="K21" s="15">
        <v>0</v>
      </c>
      <c r="L21" s="15">
        <f t="shared" si="0"/>
        <v>64849.46</v>
      </c>
      <c r="M21" t="s">
        <v>195</v>
      </c>
      <c r="N21" t="s">
        <v>196</v>
      </c>
      <c r="O21" t="s">
        <v>197</v>
      </c>
      <c r="P21" t="s">
        <v>175</v>
      </c>
      <c r="Q21" t="s">
        <v>129</v>
      </c>
      <c r="R21" s="16">
        <v>45769.708333333299</v>
      </c>
      <c r="S21" t="s">
        <v>130</v>
      </c>
      <c r="V21" t="b">
        <f t="shared" si="1"/>
        <v>0</v>
      </c>
      <c r="W21" t="b">
        <f>AND(OR(WEEKDAY(C21,2)=5,WEEKDAY(C21,2)=6),'01_Parameters'!$C$11="Enabled")</f>
        <v>0</v>
      </c>
      <c r="X21" t="b">
        <f t="shared" si="2"/>
        <v>0</v>
      </c>
      <c r="Y21" t="b">
        <f t="shared" si="3"/>
        <v>0</v>
      </c>
      <c r="Z21" t="b">
        <f t="shared" si="4"/>
        <v>0</v>
      </c>
    </row>
    <row r="22" spans="1:26" ht="15" customHeight="1">
      <c r="A22" t="s">
        <v>191</v>
      </c>
      <c r="B22" t="s">
        <v>198</v>
      </c>
      <c r="C22" s="14">
        <v>45769</v>
      </c>
      <c r="D22" s="14">
        <v>45767</v>
      </c>
      <c r="E22">
        <v>2025</v>
      </c>
      <c r="F22">
        <v>4</v>
      </c>
      <c r="G22" t="s">
        <v>199</v>
      </c>
      <c r="H22" t="s">
        <v>200</v>
      </c>
      <c r="I22" t="s">
        <v>146</v>
      </c>
      <c r="J22" s="15">
        <v>0</v>
      </c>
      <c r="K22" s="15">
        <v>64849.46</v>
      </c>
      <c r="L22" s="15">
        <f t="shared" si="0"/>
        <v>-64849.46</v>
      </c>
      <c r="M22" t="s">
        <v>195</v>
      </c>
      <c r="N22" t="s">
        <v>196</v>
      </c>
      <c r="O22" t="s">
        <v>197</v>
      </c>
      <c r="P22" t="s">
        <v>175</v>
      </c>
      <c r="Q22" t="s">
        <v>129</v>
      </c>
      <c r="R22" s="16">
        <v>45769.708333333299</v>
      </c>
      <c r="S22" t="s">
        <v>130</v>
      </c>
      <c r="V22" t="b">
        <f t="shared" si="1"/>
        <v>0</v>
      </c>
      <c r="W22" t="b">
        <f>AND(OR(WEEKDAY(C22,2)=5,WEEKDAY(C22,2)=6),'01_Parameters'!$C$11="Enabled")</f>
        <v>0</v>
      </c>
      <c r="X22" t="b">
        <f t="shared" si="2"/>
        <v>0</v>
      </c>
      <c r="Y22" t="b">
        <f t="shared" si="3"/>
        <v>0</v>
      </c>
      <c r="Z22" t="b">
        <f t="shared" si="4"/>
        <v>0</v>
      </c>
    </row>
    <row r="23" spans="1:26" ht="15" customHeight="1">
      <c r="A23" t="s">
        <v>201</v>
      </c>
      <c r="B23" t="s">
        <v>202</v>
      </c>
      <c r="C23" s="14">
        <v>45919</v>
      </c>
      <c r="D23" s="14">
        <v>45916</v>
      </c>
      <c r="E23">
        <v>2025</v>
      </c>
      <c r="F23">
        <v>9</v>
      </c>
      <c r="G23" t="s">
        <v>158</v>
      </c>
      <c r="H23" t="s">
        <v>159</v>
      </c>
      <c r="I23" t="s">
        <v>124</v>
      </c>
      <c r="J23" s="15">
        <v>30865.18</v>
      </c>
      <c r="K23" s="15">
        <v>0</v>
      </c>
      <c r="L23" s="15">
        <f t="shared" si="0"/>
        <v>30865.18</v>
      </c>
      <c r="M23" t="s">
        <v>160</v>
      </c>
      <c r="N23" t="s">
        <v>203</v>
      </c>
      <c r="O23" t="s">
        <v>162</v>
      </c>
      <c r="P23" t="s">
        <v>129</v>
      </c>
      <c r="Q23" t="s">
        <v>150</v>
      </c>
      <c r="R23" s="16">
        <v>45919.791666666701</v>
      </c>
      <c r="S23" t="s">
        <v>130</v>
      </c>
      <c r="V23" t="b">
        <f t="shared" si="1"/>
        <v>0</v>
      </c>
      <c r="W23" t="b">
        <f>AND(OR(WEEKDAY(C23,2)=5,WEEKDAY(C23,2)=6),'01_Parameters'!$C$11="Enabled")</f>
        <v>1</v>
      </c>
      <c r="X23" t="b">
        <f t="shared" si="2"/>
        <v>1</v>
      </c>
      <c r="Y23" t="b">
        <f t="shared" si="3"/>
        <v>0</v>
      </c>
      <c r="Z23" t="b">
        <f t="shared" si="4"/>
        <v>0</v>
      </c>
    </row>
    <row r="24" spans="1:26" ht="15" customHeight="1">
      <c r="A24" t="s">
        <v>201</v>
      </c>
      <c r="B24" t="s">
        <v>204</v>
      </c>
      <c r="C24" s="14">
        <v>45919</v>
      </c>
      <c r="D24" s="14">
        <v>45916</v>
      </c>
      <c r="E24">
        <v>2025</v>
      </c>
      <c r="F24">
        <v>9</v>
      </c>
      <c r="G24" t="s">
        <v>164</v>
      </c>
      <c r="H24" t="s">
        <v>165</v>
      </c>
      <c r="I24" t="s">
        <v>146</v>
      </c>
      <c r="J24" s="15">
        <v>0</v>
      </c>
      <c r="K24" s="15">
        <v>30865.18</v>
      </c>
      <c r="L24" s="15">
        <f t="shared" si="0"/>
        <v>-30865.18</v>
      </c>
      <c r="M24" t="s">
        <v>160</v>
      </c>
      <c r="N24" t="s">
        <v>203</v>
      </c>
      <c r="O24" t="s">
        <v>162</v>
      </c>
      <c r="P24" t="s">
        <v>129</v>
      </c>
      <c r="Q24" t="s">
        <v>150</v>
      </c>
      <c r="R24" s="16">
        <v>45919.791666666701</v>
      </c>
      <c r="S24" t="s">
        <v>130</v>
      </c>
      <c r="V24" t="b">
        <f t="shared" si="1"/>
        <v>0</v>
      </c>
      <c r="W24" t="b">
        <f>AND(OR(WEEKDAY(C24,2)=5,WEEKDAY(C24,2)=6),'01_Parameters'!$C$11="Enabled")</f>
        <v>1</v>
      </c>
      <c r="X24" t="b">
        <f t="shared" si="2"/>
        <v>1</v>
      </c>
      <c r="Y24" t="b">
        <f t="shared" si="3"/>
        <v>0</v>
      </c>
      <c r="Z24" t="b">
        <f t="shared" si="4"/>
        <v>0</v>
      </c>
    </row>
    <row r="25" spans="1:26" ht="15" customHeight="1">
      <c r="A25" t="s">
        <v>205</v>
      </c>
      <c r="B25" t="s">
        <v>206</v>
      </c>
      <c r="C25" s="14">
        <v>45661</v>
      </c>
      <c r="D25" s="14">
        <v>45656</v>
      </c>
      <c r="E25">
        <v>2025</v>
      </c>
      <c r="F25">
        <v>1</v>
      </c>
      <c r="G25" t="s">
        <v>207</v>
      </c>
      <c r="H25" t="s">
        <v>208</v>
      </c>
      <c r="I25" t="s">
        <v>124</v>
      </c>
      <c r="J25" s="15">
        <v>1910.58</v>
      </c>
      <c r="K25" s="15">
        <v>0</v>
      </c>
      <c r="L25" s="15">
        <f t="shared" si="0"/>
        <v>1910.58</v>
      </c>
      <c r="M25" t="s">
        <v>209</v>
      </c>
      <c r="N25" t="s">
        <v>210</v>
      </c>
      <c r="O25" t="s">
        <v>211</v>
      </c>
      <c r="P25" t="s">
        <v>150</v>
      </c>
      <c r="Q25" t="s">
        <v>140</v>
      </c>
      <c r="R25" s="16">
        <v>45661.604166666701</v>
      </c>
      <c r="S25" t="s">
        <v>130</v>
      </c>
      <c r="T25" t="s">
        <v>212</v>
      </c>
      <c r="U25" t="s">
        <v>210</v>
      </c>
      <c r="V25" t="b">
        <f t="shared" si="1"/>
        <v>0</v>
      </c>
      <c r="W25" t="b">
        <f>AND(OR(WEEKDAY(C25,2)=5,WEEKDAY(C25,2)=6),'01_Parameters'!$C$11="Enabled")</f>
        <v>1</v>
      </c>
      <c r="X25" t="b">
        <f t="shared" si="2"/>
        <v>0</v>
      </c>
      <c r="Y25" t="b">
        <f t="shared" si="3"/>
        <v>0</v>
      </c>
      <c r="Z25" t="b">
        <f t="shared" si="4"/>
        <v>0</v>
      </c>
    </row>
    <row r="26" spans="1:26" ht="15" customHeight="1">
      <c r="A26" t="s">
        <v>205</v>
      </c>
      <c r="B26" t="s">
        <v>213</v>
      </c>
      <c r="C26" s="14">
        <v>45661</v>
      </c>
      <c r="D26" s="14">
        <v>45656</v>
      </c>
      <c r="E26">
        <v>2025</v>
      </c>
      <c r="F26">
        <v>1</v>
      </c>
      <c r="G26" t="s">
        <v>132</v>
      </c>
      <c r="H26" t="s">
        <v>133</v>
      </c>
      <c r="I26" t="s">
        <v>134</v>
      </c>
      <c r="J26" s="15">
        <v>0</v>
      </c>
      <c r="K26" s="15">
        <v>1910.58</v>
      </c>
      <c r="L26" s="15">
        <f t="shared" si="0"/>
        <v>-1910.58</v>
      </c>
      <c r="M26" t="s">
        <v>209</v>
      </c>
      <c r="N26" t="s">
        <v>210</v>
      </c>
      <c r="O26" t="s">
        <v>211</v>
      </c>
      <c r="P26" t="s">
        <v>150</v>
      </c>
      <c r="Q26" t="s">
        <v>140</v>
      </c>
      <c r="R26" s="16">
        <v>45661.604166666701</v>
      </c>
      <c r="S26" t="s">
        <v>130</v>
      </c>
      <c r="T26" t="s">
        <v>212</v>
      </c>
      <c r="U26" t="s">
        <v>210</v>
      </c>
      <c r="V26" t="b">
        <f t="shared" si="1"/>
        <v>0</v>
      </c>
      <c r="W26" t="b">
        <f>AND(OR(WEEKDAY(C26,2)=5,WEEKDAY(C26,2)=6),'01_Parameters'!$C$11="Enabled")</f>
        <v>1</v>
      </c>
      <c r="X26" t="b">
        <f t="shared" si="2"/>
        <v>0</v>
      </c>
      <c r="Y26" t="b">
        <f t="shared" si="3"/>
        <v>0</v>
      </c>
      <c r="Z26" t="b">
        <f t="shared" si="4"/>
        <v>0</v>
      </c>
    </row>
    <row r="27" spans="1:26" ht="15" customHeight="1">
      <c r="A27" t="s">
        <v>214</v>
      </c>
      <c r="B27" t="s">
        <v>215</v>
      </c>
      <c r="C27" s="14">
        <v>45737</v>
      </c>
      <c r="D27" s="14">
        <v>45937</v>
      </c>
      <c r="E27">
        <v>2025</v>
      </c>
      <c r="F27">
        <v>3</v>
      </c>
      <c r="G27" t="s">
        <v>179</v>
      </c>
      <c r="H27" t="s">
        <v>180</v>
      </c>
      <c r="I27" t="s">
        <v>124</v>
      </c>
      <c r="J27" s="15">
        <v>74307.73</v>
      </c>
      <c r="K27" s="15">
        <v>0</v>
      </c>
      <c r="L27" s="15">
        <f t="shared" si="0"/>
        <v>74307.73</v>
      </c>
      <c r="M27" t="s">
        <v>181</v>
      </c>
      <c r="N27" t="s">
        <v>216</v>
      </c>
      <c r="O27" t="s">
        <v>183</v>
      </c>
      <c r="P27" t="s">
        <v>128</v>
      </c>
      <c r="Q27" t="s">
        <v>140</v>
      </c>
      <c r="R27" s="16">
        <v>45942.8125</v>
      </c>
      <c r="S27" t="s">
        <v>130</v>
      </c>
      <c r="V27" t="b">
        <f t="shared" si="1"/>
        <v>0</v>
      </c>
      <c r="W27" t="b">
        <f>AND(OR(WEEKDAY(C27,2)=5,WEEKDAY(C27,2)=6),'01_Parameters'!$C$11="Enabled")</f>
        <v>1</v>
      </c>
      <c r="X27" t="b">
        <f t="shared" si="2"/>
        <v>1</v>
      </c>
      <c r="Y27" t="b">
        <f t="shared" si="3"/>
        <v>0</v>
      </c>
      <c r="Z27" t="b">
        <f t="shared" si="4"/>
        <v>0</v>
      </c>
    </row>
    <row r="28" spans="1:26" ht="15" customHeight="1">
      <c r="A28" t="s">
        <v>214</v>
      </c>
      <c r="B28" t="s">
        <v>217</v>
      </c>
      <c r="C28" s="14">
        <v>45737</v>
      </c>
      <c r="D28" s="14">
        <v>45937</v>
      </c>
      <c r="E28">
        <v>2025</v>
      </c>
      <c r="F28">
        <v>3</v>
      </c>
      <c r="G28" t="s">
        <v>185</v>
      </c>
      <c r="H28" t="s">
        <v>186</v>
      </c>
      <c r="I28" t="s">
        <v>134</v>
      </c>
      <c r="J28" s="15">
        <v>0</v>
      </c>
      <c r="K28" s="15">
        <v>74307.73</v>
      </c>
      <c r="L28" s="15">
        <f t="shared" si="0"/>
        <v>-74307.73</v>
      </c>
      <c r="M28" t="s">
        <v>181</v>
      </c>
      <c r="N28" t="s">
        <v>216</v>
      </c>
      <c r="O28" t="s">
        <v>183</v>
      </c>
      <c r="P28" t="s">
        <v>128</v>
      </c>
      <c r="Q28" t="s">
        <v>140</v>
      </c>
      <c r="R28" s="16">
        <v>45942.8125</v>
      </c>
      <c r="S28" t="s">
        <v>130</v>
      </c>
      <c r="V28" t="b">
        <f t="shared" si="1"/>
        <v>0</v>
      </c>
      <c r="W28" t="b">
        <f>AND(OR(WEEKDAY(C28,2)=5,WEEKDAY(C28,2)=6),'01_Parameters'!$C$11="Enabled")</f>
        <v>1</v>
      </c>
      <c r="X28" t="b">
        <f t="shared" si="2"/>
        <v>1</v>
      </c>
      <c r="Y28" t="b">
        <f t="shared" si="3"/>
        <v>0</v>
      </c>
      <c r="Z28" t="b">
        <f t="shared" si="4"/>
        <v>0</v>
      </c>
    </row>
    <row r="29" spans="1:26" ht="15" customHeight="1">
      <c r="A29" t="s">
        <v>218</v>
      </c>
      <c r="B29" t="s">
        <v>219</v>
      </c>
      <c r="C29" s="14">
        <v>46006</v>
      </c>
      <c r="D29" s="14">
        <v>46001</v>
      </c>
      <c r="E29">
        <v>2025</v>
      </c>
      <c r="F29">
        <v>12</v>
      </c>
      <c r="G29" t="s">
        <v>144</v>
      </c>
      <c r="H29" t="s">
        <v>145</v>
      </c>
      <c r="I29" t="s">
        <v>146</v>
      </c>
      <c r="J29" s="15">
        <v>33640.639999999999</v>
      </c>
      <c r="K29" s="15">
        <v>0</v>
      </c>
      <c r="L29" s="15">
        <f t="shared" si="0"/>
        <v>33640.639999999999</v>
      </c>
      <c r="M29" t="s">
        <v>147</v>
      </c>
      <c r="N29" t="s">
        <v>220</v>
      </c>
      <c r="O29" t="s">
        <v>149</v>
      </c>
      <c r="P29" t="s">
        <v>129</v>
      </c>
      <c r="Q29" t="s">
        <v>140</v>
      </c>
      <c r="R29" s="16">
        <v>45754.979166666701</v>
      </c>
      <c r="S29" t="s">
        <v>130</v>
      </c>
      <c r="V29" t="b">
        <f t="shared" si="1"/>
        <v>0</v>
      </c>
      <c r="W29" t="b">
        <f>AND(OR(WEEKDAY(C29,2)=5,WEEKDAY(C29,2)=6),'01_Parameters'!$C$11="Enabled")</f>
        <v>0</v>
      </c>
      <c r="X29" t="b">
        <f t="shared" si="2"/>
        <v>1</v>
      </c>
      <c r="Y29" t="b">
        <f t="shared" si="3"/>
        <v>0</v>
      </c>
      <c r="Z29" t="b">
        <f t="shared" si="4"/>
        <v>0</v>
      </c>
    </row>
    <row r="30" spans="1:26" ht="15" customHeight="1">
      <c r="A30" t="s">
        <v>218</v>
      </c>
      <c r="B30" t="s">
        <v>221</v>
      </c>
      <c r="C30" s="14">
        <v>46006</v>
      </c>
      <c r="D30" s="14">
        <v>46001</v>
      </c>
      <c r="E30">
        <v>2025</v>
      </c>
      <c r="F30">
        <v>12</v>
      </c>
      <c r="G30" t="s">
        <v>153</v>
      </c>
      <c r="H30" t="s">
        <v>154</v>
      </c>
      <c r="I30" t="s">
        <v>155</v>
      </c>
      <c r="J30" s="15">
        <v>0</v>
      </c>
      <c r="K30" s="15">
        <v>33640.639999999999</v>
      </c>
      <c r="L30" s="15">
        <f t="shared" si="0"/>
        <v>-33640.639999999999</v>
      </c>
      <c r="M30" t="s">
        <v>147</v>
      </c>
      <c r="N30" t="s">
        <v>220</v>
      </c>
      <c r="O30" t="s">
        <v>149</v>
      </c>
      <c r="P30" t="s">
        <v>129</v>
      </c>
      <c r="Q30" t="s">
        <v>140</v>
      </c>
      <c r="R30" s="16">
        <v>45754.979166666701</v>
      </c>
      <c r="S30" t="s">
        <v>130</v>
      </c>
      <c r="V30" t="b">
        <f t="shared" si="1"/>
        <v>0</v>
      </c>
      <c r="W30" t="b">
        <f>AND(OR(WEEKDAY(C30,2)=5,WEEKDAY(C30,2)=6),'01_Parameters'!$C$11="Enabled")</f>
        <v>0</v>
      </c>
      <c r="X30" t="b">
        <f t="shared" si="2"/>
        <v>1</v>
      </c>
      <c r="Y30" t="b">
        <f t="shared" si="3"/>
        <v>0</v>
      </c>
      <c r="Z30" t="b">
        <f t="shared" si="4"/>
        <v>0</v>
      </c>
    </row>
    <row r="31" spans="1:26" ht="15" customHeight="1">
      <c r="A31" t="s">
        <v>222</v>
      </c>
      <c r="B31" t="s">
        <v>223</v>
      </c>
      <c r="C31" s="14">
        <v>45877</v>
      </c>
      <c r="D31" s="14">
        <v>45874</v>
      </c>
      <c r="E31">
        <v>2025</v>
      </c>
      <c r="F31">
        <v>8</v>
      </c>
      <c r="G31" t="s">
        <v>179</v>
      </c>
      <c r="H31" t="s">
        <v>180</v>
      </c>
      <c r="I31" t="s">
        <v>124</v>
      </c>
      <c r="J31" s="15">
        <v>50000</v>
      </c>
      <c r="K31" s="15">
        <v>0</v>
      </c>
      <c r="L31" s="15">
        <f t="shared" si="0"/>
        <v>50000</v>
      </c>
      <c r="M31" t="s">
        <v>181</v>
      </c>
      <c r="N31" t="s">
        <v>224</v>
      </c>
      <c r="O31" t="s">
        <v>183</v>
      </c>
      <c r="P31" t="s">
        <v>129</v>
      </c>
      <c r="Q31" t="s">
        <v>140</v>
      </c>
      <c r="R31" s="16">
        <v>45877.864583333299</v>
      </c>
      <c r="S31" t="s">
        <v>130</v>
      </c>
      <c r="V31" t="b">
        <f t="shared" si="1"/>
        <v>0</v>
      </c>
      <c r="W31" t="b">
        <f>AND(OR(WEEKDAY(C31,2)=5,WEEKDAY(C31,2)=6),'01_Parameters'!$C$11="Enabled")</f>
        <v>1</v>
      </c>
      <c r="X31" t="b">
        <f t="shared" si="2"/>
        <v>1</v>
      </c>
      <c r="Y31" t="b">
        <f t="shared" si="3"/>
        <v>0</v>
      </c>
      <c r="Z31" t="b">
        <f t="shared" si="4"/>
        <v>1</v>
      </c>
    </row>
    <row r="32" spans="1:26" ht="15" customHeight="1">
      <c r="A32" t="s">
        <v>222</v>
      </c>
      <c r="B32" t="s">
        <v>225</v>
      </c>
      <c r="C32" s="14">
        <v>45877</v>
      </c>
      <c r="D32" s="14">
        <v>45874</v>
      </c>
      <c r="E32">
        <v>2025</v>
      </c>
      <c r="F32">
        <v>8</v>
      </c>
      <c r="G32" t="s">
        <v>185</v>
      </c>
      <c r="H32" t="s">
        <v>186</v>
      </c>
      <c r="I32" t="s">
        <v>134</v>
      </c>
      <c r="J32" s="15">
        <v>0</v>
      </c>
      <c r="K32" s="15">
        <v>50000</v>
      </c>
      <c r="L32" s="15">
        <f t="shared" si="0"/>
        <v>-50000</v>
      </c>
      <c r="M32" t="s">
        <v>181</v>
      </c>
      <c r="N32" t="s">
        <v>224</v>
      </c>
      <c r="O32" t="s">
        <v>183</v>
      </c>
      <c r="P32" t="s">
        <v>129</v>
      </c>
      <c r="Q32" t="s">
        <v>140</v>
      </c>
      <c r="R32" s="16">
        <v>45877.864583333299</v>
      </c>
      <c r="S32" t="s">
        <v>130</v>
      </c>
      <c r="V32" t="b">
        <f t="shared" si="1"/>
        <v>0</v>
      </c>
      <c r="W32" t="b">
        <f>AND(OR(WEEKDAY(C32,2)=5,WEEKDAY(C32,2)=6),'01_Parameters'!$C$11="Enabled")</f>
        <v>1</v>
      </c>
      <c r="X32" t="b">
        <f t="shared" si="2"/>
        <v>1</v>
      </c>
      <c r="Y32" t="b">
        <f t="shared" si="3"/>
        <v>0</v>
      </c>
      <c r="Z32" t="b">
        <f t="shared" si="4"/>
        <v>1</v>
      </c>
    </row>
    <row r="33" spans="1:26" ht="15" customHeight="1">
      <c r="A33" t="s">
        <v>226</v>
      </c>
      <c r="B33" t="s">
        <v>227</v>
      </c>
      <c r="C33" s="14">
        <v>45935</v>
      </c>
      <c r="D33" s="14">
        <v>45934</v>
      </c>
      <c r="E33">
        <v>2025</v>
      </c>
      <c r="F33">
        <v>10</v>
      </c>
      <c r="G33" t="s">
        <v>122</v>
      </c>
      <c r="H33" t="s">
        <v>123</v>
      </c>
      <c r="I33" t="s">
        <v>124</v>
      </c>
      <c r="J33" s="15">
        <v>51634.78</v>
      </c>
      <c r="K33" s="15">
        <v>0</v>
      </c>
      <c r="L33" s="15">
        <f t="shared" si="0"/>
        <v>51634.78</v>
      </c>
      <c r="M33" t="s">
        <v>209</v>
      </c>
      <c r="N33" t="s">
        <v>228</v>
      </c>
      <c r="O33" t="s">
        <v>211</v>
      </c>
      <c r="P33" t="s">
        <v>140</v>
      </c>
      <c r="Q33" t="s">
        <v>140</v>
      </c>
      <c r="R33" s="16">
        <v>45935.260416666701</v>
      </c>
      <c r="S33" t="s">
        <v>130</v>
      </c>
      <c r="T33" t="s">
        <v>229</v>
      </c>
      <c r="U33" t="s">
        <v>228</v>
      </c>
      <c r="V33" t="b">
        <f t="shared" si="1"/>
        <v>0</v>
      </c>
      <c r="W33" t="b">
        <f>AND(OR(WEEKDAY(C33,2)=5,WEEKDAY(C33,2)=6),'01_Parameters'!$C$11="Enabled")</f>
        <v>0</v>
      </c>
      <c r="X33" t="b">
        <f t="shared" si="2"/>
        <v>1</v>
      </c>
      <c r="Y33" t="b">
        <f t="shared" si="3"/>
        <v>0</v>
      </c>
      <c r="Z33" t="b">
        <f t="shared" si="4"/>
        <v>0</v>
      </c>
    </row>
    <row r="34" spans="1:26" ht="15" customHeight="1">
      <c r="A34" t="s">
        <v>226</v>
      </c>
      <c r="B34" t="s">
        <v>230</v>
      </c>
      <c r="C34" s="14">
        <v>45935</v>
      </c>
      <c r="D34" s="14">
        <v>45934</v>
      </c>
      <c r="E34">
        <v>2025</v>
      </c>
      <c r="F34">
        <v>10</v>
      </c>
      <c r="G34" t="s">
        <v>132</v>
      </c>
      <c r="H34" t="s">
        <v>133</v>
      </c>
      <c r="I34" t="s">
        <v>134</v>
      </c>
      <c r="J34" s="15">
        <v>0</v>
      </c>
      <c r="K34" s="15">
        <v>51634.78</v>
      </c>
      <c r="L34" s="15">
        <f t="shared" si="0"/>
        <v>-51634.78</v>
      </c>
      <c r="M34" t="s">
        <v>209</v>
      </c>
      <c r="N34" t="s">
        <v>228</v>
      </c>
      <c r="O34" t="s">
        <v>211</v>
      </c>
      <c r="P34" t="s">
        <v>140</v>
      </c>
      <c r="Q34" t="s">
        <v>140</v>
      </c>
      <c r="R34" s="16">
        <v>45935.260416666701</v>
      </c>
      <c r="S34" t="s">
        <v>130</v>
      </c>
      <c r="T34" t="s">
        <v>229</v>
      </c>
      <c r="U34" t="s">
        <v>228</v>
      </c>
      <c r="V34" t="b">
        <f t="shared" si="1"/>
        <v>0</v>
      </c>
      <c r="W34" t="b">
        <f>AND(OR(WEEKDAY(C34,2)=5,WEEKDAY(C34,2)=6),'01_Parameters'!$C$11="Enabled")</f>
        <v>0</v>
      </c>
      <c r="X34" t="b">
        <f t="shared" si="2"/>
        <v>1</v>
      </c>
      <c r="Y34" t="b">
        <f t="shared" si="3"/>
        <v>0</v>
      </c>
      <c r="Z34" t="b">
        <f t="shared" si="4"/>
        <v>0</v>
      </c>
    </row>
    <row r="35" spans="1:26" ht="15" customHeight="1">
      <c r="A35" t="s">
        <v>231</v>
      </c>
      <c r="B35" t="s">
        <v>232</v>
      </c>
      <c r="C35" s="14">
        <v>45753</v>
      </c>
      <c r="D35" s="14">
        <v>45753</v>
      </c>
      <c r="E35">
        <v>2025</v>
      </c>
      <c r="F35">
        <v>4</v>
      </c>
      <c r="G35" t="s">
        <v>153</v>
      </c>
      <c r="H35" t="s">
        <v>154</v>
      </c>
      <c r="I35" t="s">
        <v>155</v>
      </c>
      <c r="J35" s="15">
        <v>81715.31</v>
      </c>
      <c r="K35" s="15">
        <v>0</v>
      </c>
      <c r="L35" s="15">
        <f t="shared" si="0"/>
        <v>81715.31</v>
      </c>
      <c r="M35" t="s">
        <v>233</v>
      </c>
      <c r="N35" t="s">
        <v>234</v>
      </c>
      <c r="O35" t="s">
        <v>127</v>
      </c>
      <c r="P35" t="s">
        <v>128</v>
      </c>
      <c r="Q35" t="s">
        <v>151</v>
      </c>
      <c r="R35" s="16">
        <v>45753.416666666701</v>
      </c>
      <c r="S35" t="s">
        <v>130</v>
      </c>
      <c r="V35" t="b">
        <f t="shared" si="1"/>
        <v>0</v>
      </c>
      <c r="W35" t="b">
        <f>AND(OR(WEEKDAY(C35,2)=5,WEEKDAY(C35,2)=6),'01_Parameters'!$C$11="Enabled")</f>
        <v>0</v>
      </c>
      <c r="X35" t="b">
        <f t="shared" si="2"/>
        <v>0</v>
      </c>
      <c r="Y35" t="b">
        <f t="shared" si="3"/>
        <v>0</v>
      </c>
      <c r="Z35" t="b">
        <f t="shared" si="4"/>
        <v>0</v>
      </c>
    </row>
    <row r="36" spans="1:26" ht="15" customHeight="1">
      <c r="A36" t="s">
        <v>231</v>
      </c>
      <c r="B36" t="s">
        <v>235</v>
      </c>
      <c r="C36" s="14">
        <v>45753</v>
      </c>
      <c r="D36" s="14">
        <v>45753</v>
      </c>
      <c r="E36">
        <v>2025</v>
      </c>
      <c r="F36">
        <v>4</v>
      </c>
      <c r="G36" t="s">
        <v>164</v>
      </c>
      <c r="H36" t="s">
        <v>165</v>
      </c>
      <c r="I36" t="s">
        <v>146</v>
      </c>
      <c r="J36" s="15">
        <v>0</v>
      </c>
      <c r="K36" s="15">
        <v>81715.31</v>
      </c>
      <c r="L36" s="15">
        <f t="shared" si="0"/>
        <v>-81715.31</v>
      </c>
      <c r="M36" t="s">
        <v>233</v>
      </c>
      <c r="N36" t="s">
        <v>234</v>
      </c>
      <c r="O36" t="s">
        <v>127</v>
      </c>
      <c r="P36" t="s">
        <v>128</v>
      </c>
      <c r="Q36" t="s">
        <v>151</v>
      </c>
      <c r="R36" s="16">
        <v>45753.416666666701</v>
      </c>
      <c r="S36" t="s">
        <v>130</v>
      </c>
      <c r="V36" t="b">
        <f t="shared" si="1"/>
        <v>0</v>
      </c>
      <c r="W36" t="b">
        <f>AND(OR(WEEKDAY(C36,2)=5,WEEKDAY(C36,2)=6),'01_Parameters'!$C$11="Enabled")</f>
        <v>0</v>
      </c>
      <c r="X36" t="b">
        <f t="shared" si="2"/>
        <v>0</v>
      </c>
      <c r="Y36" t="b">
        <f t="shared" si="3"/>
        <v>0</v>
      </c>
      <c r="Z36" t="b">
        <f t="shared" si="4"/>
        <v>0</v>
      </c>
    </row>
    <row r="37" spans="1:26" ht="15" customHeight="1">
      <c r="A37" t="s">
        <v>236</v>
      </c>
      <c r="B37" t="s">
        <v>237</v>
      </c>
      <c r="C37" s="14">
        <v>45759</v>
      </c>
      <c r="D37" s="14">
        <v>45758</v>
      </c>
      <c r="E37">
        <v>2025</v>
      </c>
      <c r="F37">
        <v>4</v>
      </c>
      <c r="G37" t="s">
        <v>193</v>
      </c>
      <c r="H37" t="s">
        <v>194</v>
      </c>
      <c r="I37" t="s">
        <v>124</v>
      </c>
      <c r="J37" s="15">
        <v>84369.11</v>
      </c>
      <c r="K37" s="15">
        <v>0</v>
      </c>
      <c r="L37" s="15">
        <f t="shared" si="0"/>
        <v>84369.11</v>
      </c>
      <c r="M37" t="s">
        <v>195</v>
      </c>
      <c r="N37" t="s">
        <v>238</v>
      </c>
      <c r="O37" t="s">
        <v>197</v>
      </c>
      <c r="P37" t="s">
        <v>151</v>
      </c>
      <c r="Q37" t="s">
        <v>128</v>
      </c>
      <c r="R37" s="16">
        <v>45759.28125</v>
      </c>
      <c r="S37" t="s">
        <v>130</v>
      </c>
      <c r="V37" t="b">
        <f t="shared" si="1"/>
        <v>0</v>
      </c>
      <c r="W37" t="b">
        <f>AND(OR(WEEKDAY(C37,2)=5,WEEKDAY(C37,2)=6),'01_Parameters'!$C$11="Enabled")</f>
        <v>1</v>
      </c>
      <c r="X37" t="b">
        <f t="shared" si="2"/>
        <v>1</v>
      </c>
      <c r="Y37" t="b">
        <f t="shared" si="3"/>
        <v>0</v>
      </c>
      <c r="Z37" t="b">
        <f t="shared" si="4"/>
        <v>0</v>
      </c>
    </row>
    <row r="38" spans="1:26" ht="15" customHeight="1">
      <c r="A38" t="s">
        <v>236</v>
      </c>
      <c r="B38" t="s">
        <v>239</v>
      </c>
      <c r="C38" s="14">
        <v>45759</v>
      </c>
      <c r="D38" s="14">
        <v>45758</v>
      </c>
      <c r="E38">
        <v>2025</v>
      </c>
      <c r="F38">
        <v>4</v>
      </c>
      <c r="G38" t="s">
        <v>199</v>
      </c>
      <c r="H38" t="s">
        <v>200</v>
      </c>
      <c r="I38" t="s">
        <v>146</v>
      </c>
      <c r="J38" s="15">
        <v>0</v>
      </c>
      <c r="K38" s="15">
        <v>84369.11</v>
      </c>
      <c r="L38" s="15">
        <f t="shared" si="0"/>
        <v>-84369.11</v>
      </c>
      <c r="M38" t="s">
        <v>195</v>
      </c>
      <c r="N38" t="s">
        <v>238</v>
      </c>
      <c r="O38" t="s">
        <v>197</v>
      </c>
      <c r="P38" t="s">
        <v>151</v>
      </c>
      <c r="Q38" t="s">
        <v>128</v>
      </c>
      <c r="R38" s="16">
        <v>45759.28125</v>
      </c>
      <c r="S38" t="s">
        <v>130</v>
      </c>
      <c r="V38" t="b">
        <f t="shared" si="1"/>
        <v>0</v>
      </c>
      <c r="W38" t="b">
        <f>AND(OR(WEEKDAY(C38,2)=5,WEEKDAY(C38,2)=6),'01_Parameters'!$C$11="Enabled")</f>
        <v>1</v>
      </c>
      <c r="X38" t="b">
        <f t="shared" si="2"/>
        <v>1</v>
      </c>
      <c r="Y38" t="b">
        <f t="shared" si="3"/>
        <v>0</v>
      </c>
      <c r="Z38" t="b">
        <f t="shared" si="4"/>
        <v>0</v>
      </c>
    </row>
    <row r="39" spans="1:26" ht="15" customHeight="1">
      <c r="A39" t="s">
        <v>240</v>
      </c>
      <c r="B39" t="s">
        <v>241</v>
      </c>
      <c r="C39" s="14">
        <v>45802</v>
      </c>
      <c r="D39" s="14">
        <v>45802</v>
      </c>
      <c r="E39">
        <v>2025</v>
      </c>
      <c r="F39">
        <v>5</v>
      </c>
      <c r="G39" t="s">
        <v>137</v>
      </c>
      <c r="H39" t="s">
        <v>138</v>
      </c>
      <c r="I39" t="s">
        <v>124</v>
      </c>
      <c r="J39" s="15">
        <v>138757.1</v>
      </c>
      <c r="K39" s="15">
        <v>0</v>
      </c>
      <c r="L39" s="15">
        <f t="shared" si="0"/>
        <v>138757.1</v>
      </c>
      <c r="M39" t="s">
        <v>125</v>
      </c>
      <c r="N39" t="s">
        <v>242</v>
      </c>
      <c r="O39" t="s">
        <v>127</v>
      </c>
      <c r="P39" t="s">
        <v>175</v>
      </c>
      <c r="Q39" t="s">
        <v>140</v>
      </c>
      <c r="R39" s="16">
        <v>45802.385416666701</v>
      </c>
      <c r="S39" t="s">
        <v>130</v>
      </c>
      <c r="V39" t="b">
        <f t="shared" si="1"/>
        <v>0</v>
      </c>
      <c r="W39" t="b">
        <f>AND(OR(WEEKDAY(C39,2)=5,WEEKDAY(C39,2)=6),'01_Parameters'!$C$11="Enabled")</f>
        <v>0</v>
      </c>
      <c r="X39" t="b">
        <f t="shared" si="2"/>
        <v>0</v>
      </c>
      <c r="Y39" t="b">
        <f t="shared" si="3"/>
        <v>1</v>
      </c>
      <c r="Z39" t="b">
        <f t="shared" si="4"/>
        <v>0</v>
      </c>
    </row>
    <row r="40" spans="1:26" ht="15" customHeight="1">
      <c r="A40" t="s">
        <v>240</v>
      </c>
      <c r="B40" t="s">
        <v>243</v>
      </c>
      <c r="C40" s="14">
        <v>45802</v>
      </c>
      <c r="D40" s="14">
        <v>45802</v>
      </c>
      <c r="E40">
        <v>2025</v>
      </c>
      <c r="F40">
        <v>5</v>
      </c>
      <c r="G40" t="s">
        <v>132</v>
      </c>
      <c r="H40" t="s">
        <v>133</v>
      </c>
      <c r="I40" t="s">
        <v>134</v>
      </c>
      <c r="J40" s="15">
        <v>0</v>
      </c>
      <c r="K40" s="15">
        <v>138757.1</v>
      </c>
      <c r="L40" s="15">
        <f t="shared" si="0"/>
        <v>-138757.1</v>
      </c>
      <c r="M40" t="s">
        <v>125</v>
      </c>
      <c r="N40" t="s">
        <v>242</v>
      </c>
      <c r="O40" t="s">
        <v>127</v>
      </c>
      <c r="P40" t="s">
        <v>175</v>
      </c>
      <c r="Q40" t="s">
        <v>140</v>
      </c>
      <c r="R40" s="16">
        <v>45802.385416666701</v>
      </c>
      <c r="S40" t="s">
        <v>130</v>
      </c>
      <c r="V40" t="b">
        <f t="shared" si="1"/>
        <v>0</v>
      </c>
      <c r="W40" t="b">
        <f>AND(OR(WEEKDAY(C40,2)=5,WEEKDAY(C40,2)=6),'01_Parameters'!$C$11="Enabled")</f>
        <v>0</v>
      </c>
      <c r="X40" t="b">
        <f t="shared" si="2"/>
        <v>0</v>
      </c>
      <c r="Y40" t="b">
        <f t="shared" si="3"/>
        <v>1</v>
      </c>
      <c r="Z40" t="b">
        <f t="shared" si="4"/>
        <v>0</v>
      </c>
    </row>
    <row r="41" spans="1:26" ht="15" customHeight="1">
      <c r="A41" t="s">
        <v>244</v>
      </c>
      <c r="B41" t="s">
        <v>245</v>
      </c>
      <c r="C41" s="14">
        <v>45865</v>
      </c>
      <c r="D41" s="14">
        <v>45862</v>
      </c>
      <c r="E41">
        <v>2025</v>
      </c>
      <c r="F41">
        <v>7</v>
      </c>
      <c r="G41" t="s">
        <v>193</v>
      </c>
      <c r="H41" t="s">
        <v>194</v>
      </c>
      <c r="I41" t="s">
        <v>124</v>
      </c>
      <c r="J41" s="15">
        <v>13387.2</v>
      </c>
      <c r="K41" s="15">
        <v>0</v>
      </c>
      <c r="L41" s="15">
        <f t="shared" si="0"/>
        <v>13387.2</v>
      </c>
      <c r="M41" t="s">
        <v>195</v>
      </c>
      <c r="N41" t="s">
        <v>246</v>
      </c>
      <c r="O41" t="s">
        <v>197</v>
      </c>
      <c r="P41" t="s">
        <v>175</v>
      </c>
      <c r="Q41" t="s">
        <v>140</v>
      </c>
      <c r="R41" s="16">
        <v>45865.729166666701</v>
      </c>
      <c r="S41" t="s">
        <v>130</v>
      </c>
      <c r="V41" t="b">
        <f t="shared" si="1"/>
        <v>0</v>
      </c>
      <c r="W41" t="b">
        <f>AND(OR(WEEKDAY(C41,2)=5,WEEKDAY(C41,2)=6),'01_Parameters'!$C$11="Enabled")</f>
        <v>0</v>
      </c>
      <c r="X41" t="b">
        <f t="shared" si="2"/>
        <v>0</v>
      </c>
      <c r="Y41" t="b">
        <f t="shared" si="3"/>
        <v>0</v>
      </c>
      <c r="Z41" t="b">
        <f t="shared" si="4"/>
        <v>0</v>
      </c>
    </row>
    <row r="42" spans="1:26" ht="15" customHeight="1">
      <c r="A42" t="s">
        <v>244</v>
      </c>
      <c r="B42" t="s">
        <v>247</v>
      </c>
      <c r="C42" s="14">
        <v>45865</v>
      </c>
      <c r="D42" s="14">
        <v>45862</v>
      </c>
      <c r="E42">
        <v>2025</v>
      </c>
      <c r="F42">
        <v>7</v>
      </c>
      <c r="G42" t="s">
        <v>199</v>
      </c>
      <c r="H42" t="s">
        <v>200</v>
      </c>
      <c r="I42" t="s">
        <v>146</v>
      </c>
      <c r="J42" s="15">
        <v>0</v>
      </c>
      <c r="K42" s="15">
        <v>13387.2</v>
      </c>
      <c r="L42" s="15">
        <f t="shared" si="0"/>
        <v>-13387.2</v>
      </c>
      <c r="M42" t="s">
        <v>195</v>
      </c>
      <c r="N42" t="s">
        <v>246</v>
      </c>
      <c r="O42" t="s">
        <v>197</v>
      </c>
      <c r="P42" t="s">
        <v>175</v>
      </c>
      <c r="Q42" t="s">
        <v>140</v>
      </c>
      <c r="R42" s="16">
        <v>45865.729166666701</v>
      </c>
      <c r="S42" t="s">
        <v>130</v>
      </c>
      <c r="V42" t="b">
        <f t="shared" si="1"/>
        <v>0</v>
      </c>
      <c r="W42" t="b">
        <f>AND(OR(WEEKDAY(C42,2)=5,WEEKDAY(C42,2)=6),'01_Parameters'!$C$11="Enabled")</f>
        <v>0</v>
      </c>
      <c r="X42" t="b">
        <f t="shared" si="2"/>
        <v>0</v>
      </c>
      <c r="Y42" t="b">
        <f t="shared" si="3"/>
        <v>0</v>
      </c>
      <c r="Z42" t="b">
        <f t="shared" si="4"/>
        <v>0</v>
      </c>
    </row>
    <row r="43" spans="1:26" ht="15" customHeight="1">
      <c r="A43" t="s">
        <v>248</v>
      </c>
      <c r="B43" t="s">
        <v>249</v>
      </c>
      <c r="C43" s="14">
        <v>45848</v>
      </c>
      <c r="D43" s="14">
        <v>45848</v>
      </c>
      <c r="E43">
        <v>2025</v>
      </c>
      <c r="F43">
        <v>7</v>
      </c>
      <c r="G43" t="s">
        <v>122</v>
      </c>
      <c r="H43" t="s">
        <v>123</v>
      </c>
      <c r="I43" t="s">
        <v>124</v>
      </c>
      <c r="J43" s="15">
        <v>78012.149999999994</v>
      </c>
      <c r="K43" s="15">
        <v>0</v>
      </c>
      <c r="L43" s="15">
        <f t="shared" si="0"/>
        <v>78012.149999999994</v>
      </c>
      <c r="M43" t="s">
        <v>209</v>
      </c>
      <c r="N43" t="s">
        <v>250</v>
      </c>
      <c r="O43" t="s">
        <v>211</v>
      </c>
      <c r="P43" t="s">
        <v>129</v>
      </c>
      <c r="Q43" t="s">
        <v>140</v>
      </c>
      <c r="R43" s="16">
        <v>45848.78125</v>
      </c>
      <c r="S43" t="s">
        <v>130</v>
      </c>
      <c r="T43" t="s">
        <v>251</v>
      </c>
      <c r="U43" t="s">
        <v>250</v>
      </c>
      <c r="V43" t="b">
        <f t="shared" si="1"/>
        <v>0</v>
      </c>
      <c r="W43" t="b">
        <f>AND(OR(WEEKDAY(C43,2)=5,WEEKDAY(C43,2)=6),'01_Parameters'!$C$11="Enabled")</f>
        <v>0</v>
      </c>
      <c r="X43" t="b">
        <f t="shared" si="2"/>
        <v>1</v>
      </c>
      <c r="Y43" t="b">
        <f t="shared" si="3"/>
        <v>0</v>
      </c>
      <c r="Z43" t="b">
        <f t="shared" si="4"/>
        <v>0</v>
      </c>
    </row>
    <row r="44" spans="1:26" ht="15" customHeight="1">
      <c r="A44" t="s">
        <v>248</v>
      </c>
      <c r="B44" t="s">
        <v>252</v>
      </c>
      <c r="C44" s="14">
        <v>45848</v>
      </c>
      <c r="D44" s="14">
        <v>45848</v>
      </c>
      <c r="E44">
        <v>2025</v>
      </c>
      <c r="F44">
        <v>7</v>
      </c>
      <c r="G44" t="s">
        <v>132</v>
      </c>
      <c r="H44" t="s">
        <v>133</v>
      </c>
      <c r="I44" t="s">
        <v>134</v>
      </c>
      <c r="J44" s="15">
        <v>0</v>
      </c>
      <c r="K44" s="15">
        <v>78012.149999999994</v>
      </c>
      <c r="L44" s="15">
        <f t="shared" si="0"/>
        <v>-78012.149999999994</v>
      </c>
      <c r="M44" t="s">
        <v>209</v>
      </c>
      <c r="N44" t="s">
        <v>250</v>
      </c>
      <c r="O44" t="s">
        <v>211</v>
      </c>
      <c r="P44" t="s">
        <v>129</v>
      </c>
      <c r="Q44" t="s">
        <v>140</v>
      </c>
      <c r="R44" s="16">
        <v>45848.78125</v>
      </c>
      <c r="S44" t="s">
        <v>130</v>
      </c>
      <c r="T44" t="s">
        <v>251</v>
      </c>
      <c r="U44" t="s">
        <v>250</v>
      </c>
      <c r="V44" t="b">
        <f t="shared" si="1"/>
        <v>0</v>
      </c>
      <c r="W44" t="b">
        <f>AND(OR(WEEKDAY(C44,2)=5,WEEKDAY(C44,2)=6),'01_Parameters'!$C$11="Enabled")</f>
        <v>0</v>
      </c>
      <c r="X44" t="b">
        <f t="shared" si="2"/>
        <v>1</v>
      </c>
      <c r="Y44" t="b">
        <f t="shared" si="3"/>
        <v>0</v>
      </c>
      <c r="Z44" t="b">
        <f t="shared" si="4"/>
        <v>0</v>
      </c>
    </row>
    <row r="45" spans="1:26" ht="15" customHeight="1">
      <c r="A45" t="s">
        <v>253</v>
      </c>
      <c r="B45" t="s">
        <v>254</v>
      </c>
      <c r="C45" s="14">
        <v>45914</v>
      </c>
      <c r="D45" s="14">
        <v>45910</v>
      </c>
      <c r="E45">
        <v>2025</v>
      </c>
      <c r="F45">
        <v>9</v>
      </c>
      <c r="G45" t="s">
        <v>158</v>
      </c>
      <c r="H45" t="s">
        <v>159</v>
      </c>
      <c r="I45" t="s">
        <v>124</v>
      </c>
      <c r="J45" s="15">
        <v>70546.03</v>
      </c>
      <c r="K45" s="15">
        <v>0</v>
      </c>
      <c r="L45" s="15">
        <f t="shared" si="0"/>
        <v>70546.03</v>
      </c>
      <c r="M45" t="s">
        <v>160</v>
      </c>
      <c r="N45" t="s">
        <v>255</v>
      </c>
      <c r="O45" t="s">
        <v>162</v>
      </c>
      <c r="P45" t="s">
        <v>175</v>
      </c>
      <c r="Q45" t="s">
        <v>128</v>
      </c>
      <c r="R45" s="16">
        <v>45914.59375</v>
      </c>
      <c r="S45" t="s">
        <v>130</v>
      </c>
      <c r="V45" t="b">
        <f t="shared" si="1"/>
        <v>0</v>
      </c>
      <c r="W45" t="b">
        <f>AND(OR(WEEKDAY(C45,2)=5,WEEKDAY(C45,2)=6),'01_Parameters'!$C$11="Enabled")</f>
        <v>0</v>
      </c>
      <c r="X45" t="b">
        <f t="shared" si="2"/>
        <v>0</v>
      </c>
      <c r="Y45" t="b">
        <f t="shared" si="3"/>
        <v>0</v>
      </c>
      <c r="Z45" t="b">
        <f t="shared" si="4"/>
        <v>0</v>
      </c>
    </row>
    <row r="46" spans="1:26" ht="15" customHeight="1">
      <c r="A46" t="s">
        <v>253</v>
      </c>
      <c r="B46" t="s">
        <v>256</v>
      </c>
      <c r="C46" s="14">
        <v>45914</v>
      </c>
      <c r="D46" s="14">
        <v>45910</v>
      </c>
      <c r="E46">
        <v>2025</v>
      </c>
      <c r="F46">
        <v>9</v>
      </c>
      <c r="G46" t="s">
        <v>164</v>
      </c>
      <c r="H46" t="s">
        <v>165</v>
      </c>
      <c r="I46" t="s">
        <v>146</v>
      </c>
      <c r="J46" s="15">
        <v>0</v>
      </c>
      <c r="K46" s="15">
        <v>70546.03</v>
      </c>
      <c r="L46" s="15">
        <f t="shared" si="0"/>
        <v>-70546.03</v>
      </c>
      <c r="M46" t="s">
        <v>160</v>
      </c>
      <c r="N46" t="s">
        <v>255</v>
      </c>
      <c r="O46" t="s">
        <v>162</v>
      </c>
      <c r="P46" t="s">
        <v>175</v>
      </c>
      <c r="Q46" t="s">
        <v>128</v>
      </c>
      <c r="R46" s="16">
        <v>45914.59375</v>
      </c>
      <c r="S46" t="s">
        <v>130</v>
      </c>
      <c r="V46" t="b">
        <f t="shared" si="1"/>
        <v>0</v>
      </c>
      <c r="W46" t="b">
        <f>AND(OR(WEEKDAY(C46,2)=5,WEEKDAY(C46,2)=6),'01_Parameters'!$C$11="Enabled")</f>
        <v>0</v>
      </c>
      <c r="X46" t="b">
        <f t="shared" si="2"/>
        <v>0</v>
      </c>
      <c r="Y46" t="b">
        <f t="shared" si="3"/>
        <v>0</v>
      </c>
      <c r="Z46" t="b">
        <f t="shared" si="4"/>
        <v>0</v>
      </c>
    </row>
    <row r="47" spans="1:26" ht="15" customHeight="1">
      <c r="A47" t="s">
        <v>257</v>
      </c>
      <c r="B47" t="s">
        <v>258</v>
      </c>
      <c r="C47" s="14">
        <v>45909</v>
      </c>
      <c r="D47" s="14">
        <v>45906</v>
      </c>
      <c r="E47">
        <v>2025</v>
      </c>
      <c r="F47">
        <v>9</v>
      </c>
      <c r="G47" t="s">
        <v>179</v>
      </c>
      <c r="H47" t="s">
        <v>180</v>
      </c>
      <c r="I47" t="s">
        <v>124</v>
      </c>
      <c r="J47" s="15">
        <v>56483.11</v>
      </c>
      <c r="K47" s="15">
        <v>0</v>
      </c>
      <c r="L47" s="15">
        <f t="shared" si="0"/>
        <v>56483.11</v>
      </c>
      <c r="M47" t="s">
        <v>181</v>
      </c>
      <c r="N47" t="s">
        <v>259</v>
      </c>
      <c r="O47" t="s">
        <v>183</v>
      </c>
      <c r="P47" t="s">
        <v>128</v>
      </c>
      <c r="Q47" t="s">
        <v>150</v>
      </c>
      <c r="R47" s="16">
        <v>45909.458333333299</v>
      </c>
      <c r="S47" t="s">
        <v>130</v>
      </c>
      <c r="V47" t="b">
        <f t="shared" si="1"/>
        <v>0</v>
      </c>
      <c r="W47" t="b">
        <f>AND(OR(WEEKDAY(C47,2)=5,WEEKDAY(C47,2)=6),'01_Parameters'!$C$11="Enabled")</f>
        <v>0</v>
      </c>
      <c r="X47" t="b">
        <f t="shared" si="2"/>
        <v>0</v>
      </c>
      <c r="Y47" t="b">
        <f t="shared" si="3"/>
        <v>0</v>
      </c>
      <c r="Z47" t="b">
        <f t="shared" si="4"/>
        <v>0</v>
      </c>
    </row>
    <row r="48" spans="1:26" ht="15" customHeight="1">
      <c r="A48" t="s">
        <v>257</v>
      </c>
      <c r="B48" t="s">
        <v>260</v>
      </c>
      <c r="C48" s="14">
        <v>45909</v>
      </c>
      <c r="D48" s="14">
        <v>45906</v>
      </c>
      <c r="E48">
        <v>2025</v>
      </c>
      <c r="F48">
        <v>9</v>
      </c>
      <c r="G48" t="s">
        <v>185</v>
      </c>
      <c r="H48" t="s">
        <v>186</v>
      </c>
      <c r="I48" t="s">
        <v>134</v>
      </c>
      <c r="J48" s="15">
        <v>0</v>
      </c>
      <c r="K48" s="15">
        <v>56483.11</v>
      </c>
      <c r="L48" s="15">
        <f t="shared" si="0"/>
        <v>-56483.11</v>
      </c>
      <c r="M48" t="s">
        <v>181</v>
      </c>
      <c r="N48" t="s">
        <v>259</v>
      </c>
      <c r="O48" t="s">
        <v>183</v>
      </c>
      <c r="P48" t="s">
        <v>128</v>
      </c>
      <c r="Q48" t="s">
        <v>150</v>
      </c>
      <c r="R48" s="16">
        <v>45909.458333333299</v>
      </c>
      <c r="S48" t="s">
        <v>130</v>
      </c>
      <c r="V48" t="b">
        <f t="shared" si="1"/>
        <v>0</v>
      </c>
      <c r="W48" t="b">
        <f>AND(OR(WEEKDAY(C48,2)=5,WEEKDAY(C48,2)=6),'01_Parameters'!$C$11="Enabled")</f>
        <v>0</v>
      </c>
      <c r="X48" t="b">
        <f t="shared" si="2"/>
        <v>0</v>
      </c>
      <c r="Y48" t="b">
        <f t="shared" si="3"/>
        <v>0</v>
      </c>
      <c r="Z48" t="b">
        <f t="shared" si="4"/>
        <v>0</v>
      </c>
    </row>
    <row r="49" spans="1:26" ht="15" customHeight="1">
      <c r="A49" t="s">
        <v>261</v>
      </c>
      <c r="B49" t="s">
        <v>262</v>
      </c>
      <c r="C49" s="14">
        <v>45755</v>
      </c>
      <c r="D49" s="14">
        <v>45755</v>
      </c>
      <c r="E49">
        <v>2025</v>
      </c>
      <c r="F49">
        <v>4</v>
      </c>
      <c r="G49" t="s">
        <v>158</v>
      </c>
      <c r="H49" t="s">
        <v>159</v>
      </c>
      <c r="I49" t="s">
        <v>124</v>
      </c>
      <c r="J49" s="15">
        <v>45436.04</v>
      </c>
      <c r="K49" s="15">
        <v>0</v>
      </c>
      <c r="L49" s="15">
        <f t="shared" si="0"/>
        <v>45436.04</v>
      </c>
      <c r="M49" t="s">
        <v>160</v>
      </c>
      <c r="N49" t="s">
        <v>263</v>
      </c>
      <c r="O49" t="s">
        <v>162</v>
      </c>
      <c r="P49" t="s">
        <v>129</v>
      </c>
      <c r="Q49" t="s">
        <v>128</v>
      </c>
      <c r="R49" s="16">
        <v>45755.708333333299</v>
      </c>
      <c r="S49" t="s">
        <v>130</v>
      </c>
      <c r="V49" t="b">
        <f t="shared" si="1"/>
        <v>0</v>
      </c>
      <c r="W49" t="b">
        <f>AND(OR(WEEKDAY(C49,2)=5,WEEKDAY(C49,2)=6),'01_Parameters'!$C$11="Enabled")</f>
        <v>0</v>
      </c>
      <c r="X49" t="b">
        <f t="shared" si="2"/>
        <v>0</v>
      </c>
      <c r="Y49" t="b">
        <f t="shared" si="3"/>
        <v>0</v>
      </c>
      <c r="Z49" t="b">
        <f t="shared" si="4"/>
        <v>0</v>
      </c>
    </row>
    <row r="50" spans="1:26" ht="15" customHeight="1">
      <c r="A50" t="s">
        <v>261</v>
      </c>
      <c r="B50" t="s">
        <v>264</v>
      </c>
      <c r="C50" s="14">
        <v>45755</v>
      </c>
      <c r="D50" s="14">
        <v>45755</v>
      </c>
      <c r="E50">
        <v>2025</v>
      </c>
      <c r="F50">
        <v>4</v>
      </c>
      <c r="G50" t="s">
        <v>164</v>
      </c>
      <c r="H50" t="s">
        <v>165</v>
      </c>
      <c r="I50" t="s">
        <v>146</v>
      </c>
      <c r="J50" s="15">
        <v>0</v>
      </c>
      <c r="K50" s="15">
        <v>45436.04</v>
      </c>
      <c r="L50" s="15">
        <f t="shared" si="0"/>
        <v>-45436.04</v>
      </c>
      <c r="M50" t="s">
        <v>160</v>
      </c>
      <c r="N50" t="s">
        <v>263</v>
      </c>
      <c r="O50" t="s">
        <v>162</v>
      </c>
      <c r="P50" t="s">
        <v>129</v>
      </c>
      <c r="Q50" t="s">
        <v>128</v>
      </c>
      <c r="R50" s="16">
        <v>45755.708333333299</v>
      </c>
      <c r="S50" t="s">
        <v>130</v>
      </c>
      <c r="V50" t="b">
        <f t="shared" si="1"/>
        <v>0</v>
      </c>
      <c r="W50" t="b">
        <f>AND(OR(WEEKDAY(C50,2)=5,WEEKDAY(C50,2)=6),'01_Parameters'!$C$11="Enabled")</f>
        <v>0</v>
      </c>
      <c r="X50" t="b">
        <f t="shared" si="2"/>
        <v>0</v>
      </c>
      <c r="Y50" t="b">
        <f t="shared" si="3"/>
        <v>0</v>
      </c>
      <c r="Z50" t="b">
        <f t="shared" si="4"/>
        <v>0</v>
      </c>
    </row>
    <row r="51" spans="1:26" ht="15" customHeight="1">
      <c r="A51" t="s">
        <v>265</v>
      </c>
      <c r="B51" t="s">
        <v>266</v>
      </c>
      <c r="C51" s="14">
        <v>45700</v>
      </c>
      <c r="D51" s="14">
        <v>45695</v>
      </c>
      <c r="E51">
        <v>2025</v>
      </c>
      <c r="F51">
        <v>2</v>
      </c>
      <c r="G51" t="s">
        <v>158</v>
      </c>
      <c r="H51" t="s">
        <v>159</v>
      </c>
      <c r="I51" t="s">
        <v>124</v>
      </c>
      <c r="J51" s="15">
        <v>78153</v>
      </c>
      <c r="K51" s="15">
        <v>0</v>
      </c>
      <c r="L51" s="15">
        <f t="shared" si="0"/>
        <v>78153</v>
      </c>
      <c r="M51" t="s">
        <v>160</v>
      </c>
      <c r="N51" t="s">
        <v>267</v>
      </c>
      <c r="O51" t="s">
        <v>162</v>
      </c>
      <c r="P51" t="s">
        <v>151</v>
      </c>
      <c r="Q51" t="s">
        <v>150</v>
      </c>
      <c r="R51" s="16">
        <v>45700.40625</v>
      </c>
      <c r="S51" t="s">
        <v>130</v>
      </c>
      <c r="V51" t="b">
        <f t="shared" si="1"/>
        <v>0</v>
      </c>
      <c r="W51" t="b">
        <f>AND(OR(WEEKDAY(C51,2)=5,WEEKDAY(C51,2)=6),'01_Parameters'!$C$11="Enabled")</f>
        <v>0</v>
      </c>
      <c r="X51" t="b">
        <f t="shared" si="2"/>
        <v>0</v>
      </c>
      <c r="Y51" t="b">
        <f t="shared" si="3"/>
        <v>0</v>
      </c>
      <c r="Z51" t="b">
        <f t="shared" si="4"/>
        <v>0</v>
      </c>
    </row>
    <row r="52" spans="1:26" ht="15" customHeight="1">
      <c r="A52" t="s">
        <v>265</v>
      </c>
      <c r="B52" t="s">
        <v>268</v>
      </c>
      <c r="C52" s="14">
        <v>45700</v>
      </c>
      <c r="D52" s="14">
        <v>45695</v>
      </c>
      <c r="E52">
        <v>2025</v>
      </c>
      <c r="F52">
        <v>2</v>
      </c>
      <c r="G52" t="s">
        <v>164</v>
      </c>
      <c r="H52" t="s">
        <v>165</v>
      </c>
      <c r="I52" t="s">
        <v>146</v>
      </c>
      <c r="J52" s="15">
        <v>0</v>
      </c>
      <c r="K52" s="15">
        <v>78153</v>
      </c>
      <c r="L52" s="15">
        <f t="shared" si="0"/>
        <v>-78153</v>
      </c>
      <c r="M52" t="s">
        <v>160</v>
      </c>
      <c r="N52" t="s">
        <v>267</v>
      </c>
      <c r="O52" t="s">
        <v>162</v>
      </c>
      <c r="P52" t="s">
        <v>151</v>
      </c>
      <c r="Q52" t="s">
        <v>150</v>
      </c>
      <c r="R52" s="16">
        <v>45700.40625</v>
      </c>
      <c r="S52" t="s">
        <v>130</v>
      </c>
      <c r="V52" t="b">
        <f t="shared" si="1"/>
        <v>0</v>
      </c>
      <c r="W52" t="b">
        <f>AND(OR(WEEKDAY(C52,2)=5,WEEKDAY(C52,2)=6),'01_Parameters'!$C$11="Enabled")</f>
        <v>0</v>
      </c>
      <c r="X52" t="b">
        <f t="shared" si="2"/>
        <v>0</v>
      </c>
      <c r="Y52" t="b">
        <f t="shared" si="3"/>
        <v>0</v>
      </c>
      <c r="Z52" t="b">
        <f t="shared" si="4"/>
        <v>0</v>
      </c>
    </row>
    <row r="53" spans="1:26" ht="15" customHeight="1">
      <c r="A53" t="s">
        <v>269</v>
      </c>
      <c r="B53" t="s">
        <v>270</v>
      </c>
      <c r="C53" s="14">
        <v>45976</v>
      </c>
      <c r="D53" s="14">
        <v>45973</v>
      </c>
      <c r="E53">
        <v>2025</v>
      </c>
      <c r="F53">
        <v>11</v>
      </c>
      <c r="G53" t="s">
        <v>158</v>
      </c>
      <c r="H53" t="s">
        <v>159</v>
      </c>
      <c r="I53" t="s">
        <v>124</v>
      </c>
      <c r="J53" s="15">
        <v>15062</v>
      </c>
      <c r="K53" s="15">
        <v>0</v>
      </c>
      <c r="L53" s="15">
        <f t="shared" si="0"/>
        <v>15062</v>
      </c>
      <c r="M53" t="s">
        <v>160</v>
      </c>
      <c r="N53" t="s">
        <v>271</v>
      </c>
      <c r="O53" t="s">
        <v>162</v>
      </c>
      <c r="P53" t="s">
        <v>175</v>
      </c>
      <c r="Q53" t="s">
        <v>150</v>
      </c>
      <c r="R53" s="16">
        <v>45976.260416666701</v>
      </c>
      <c r="S53" t="s">
        <v>130</v>
      </c>
      <c r="V53" t="b">
        <f t="shared" si="1"/>
        <v>0</v>
      </c>
      <c r="W53" t="b">
        <f>AND(OR(WEEKDAY(C53,2)=5,WEEKDAY(C53,2)=6),'01_Parameters'!$C$11="Enabled")</f>
        <v>1</v>
      </c>
      <c r="X53" t="b">
        <f t="shared" si="2"/>
        <v>1</v>
      </c>
      <c r="Y53" t="b">
        <f t="shared" si="3"/>
        <v>0</v>
      </c>
      <c r="Z53" t="b">
        <f t="shared" si="4"/>
        <v>0</v>
      </c>
    </row>
    <row r="54" spans="1:26" ht="15" customHeight="1">
      <c r="A54" t="s">
        <v>269</v>
      </c>
      <c r="B54" t="s">
        <v>272</v>
      </c>
      <c r="C54" s="14">
        <v>45976</v>
      </c>
      <c r="D54" s="14">
        <v>45973</v>
      </c>
      <c r="E54">
        <v>2025</v>
      </c>
      <c r="F54">
        <v>11</v>
      </c>
      <c r="G54" t="s">
        <v>164</v>
      </c>
      <c r="H54" t="s">
        <v>165</v>
      </c>
      <c r="I54" t="s">
        <v>146</v>
      </c>
      <c r="J54" s="15">
        <v>0</v>
      </c>
      <c r="K54" s="15">
        <v>15062</v>
      </c>
      <c r="L54" s="15">
        <f t="shared" si="0"/>
        <v>-15062</v>
      </c>
      <c r="M54" t="s">
        <v>160</v>
      </c>
      <c r="N54" t="s">
        <v>271</v>
      </c>
      <c r="O54" t="s">
        <v>162</v>
      </c>
      <c r="P54" t="s">
        <v>175</v>
      </c>
      <c r="Q54" t="s">
        <v>150</v>
      </c>
      <c r="R54" s="16">
        <v>45976.260416666701</v>
      </c>
      <c r="S54" t="s">
        <v>130</v>
      </c>
      <c r="V54" t="b">
        <f t="shared" si="1"/>
        <v>0</v>
      </c>
      <c r="W54" t="b">
        <f>AND(OR(WEEKDAY(C54,2)=5,WEEKDAY(C54,2)=6),'01_Parameters'!$C$11="Enabled")</f>
        <v>1</v>
      </c>
      <c r="X54" t="b">
        <f t="shared" si="2"/>
        <v>1</v>
      </c>
      <c r="Y54" t="b">
        <f t="shared" si="3"/>
        <v>0</v>
      </c>
      <c r="Z54" t="b">
        <f t="shared" si="4"/>
        <v>0</v>
      </c>
    </row>
    <row r="55" spans="1:26" ht="15" customHeight="1">
      <c r="A55" t="s">
        <v>273</v>
      </c>
      <c r="B55" t="s">
        <v>274</v>
      </c>
      <c r="C55" s="14">
        <v>45692</v>
      </c>
      <c r="D55" s="14">
        <v>45690</v>
      </c>
      <c r="E55">
        <v>2025</v>
      </c>
      <c r="F55">
        <v>2</v>
      </c>
      <c r="G55" t="s">
        <v>158</v>
      </c>
      <c r="H55" t="s">
        <v>159</v>
      </c>
      <c r="I55" t="s">
        <v>124</v>
      </c>
      <c r="J55" s="15">
        <v>70125.39</v>
      </c>
      <c r="K55" s="15">
        <v>0</v>
      </c>
      <c r="L55" s="15">
        <f t="shared" si="0"/>
        <v>70125.39</v>
      </c>
      <c r="M55" t="s">
        <v>160</v>
      </c>
      <c r="N55" t="s">
        <v>275</v>
      </c>
      <c r="O55" t="s">
        <v>162</v>
      </c>
      <c r="P55" t="s">
        <v>128</v>
      </c>
      <c r="Q55" t="s">
        <v>129</v>
      </c>
      <c r="R55" s="16">
        <v>45692.625</v>
      </c>
      <c r="S55" t="s">
        <v>130</v>
      </c>
      <c r="V55" t="b">
        <f t="shared" si="1"/>
        <v>0</v>
      </c>
      <c r="W55" t="b">
        <f>AND(OR(WEEKDAY(C55,2)=5,WEEKDAY(C55,2)=6),'01_Parameters'!$C$11="Enabled")</f>
        <v>0</v>
      </c>
      <c r="X55" t="b">
        <f t="shared" si="2"/>
        <v>0</v>
      </c>
      <c r="Y55" t="b">
        <f t="shared" si="3"/>
        <v>0</v>
      </c>
      <c r="Z55" t="b">
        <f t="shared" si="4"/>
        <v>0</v>
      </c>
    </row>
    <row r="56" spans="1:26" ht="15" customHeight="1">
      <c r="A56" t="s">
        <v>273</v>
      </c>
      <c r="B56" t="s">
        <v>276</v>
      </c>
      <c r="C56" s="14">
        <v>45692</v>
      </c>
      <c r="D56" s="14">
        <v>45690</v>
      </c>
      <c r="E56">
        <v>2025</v>
      </c>
      <c r="F56">
        <v>2</v>
      </c>
      <c r="G56" t="s">
        <v>164</v>
      </c>
      <c r="H56" t="s">
        <v>165</v>
      </c>
      <c r="I56" t="s">
        <v>146</v>
      </c>
      <c r="J56" s="15">
        <v>0</v>
      </c>
      <c r="K56" s="15">
        <v>70125.39</v>
      </c>
      <c r="L56" s="15">
        <f t="shared" si="0"/>
        <v>-70125.39</v>
      </c>
      <c r="M56" t="s">
        <v>160</v>
      </c>
      <c r="N56" t="s">
        <v>275</v>
      </c>
      <c r="O56" t="s">
        <v>162</v>
      </c>
      <c r="P56" t="s">
        <v>128</v>
      </c>
      <c r="Q56" t="s">
        <v>129</v>
      </c>
      <c r="R56" s="16">
        <v>45692.625</v>
      </c>
      <c r="S56" t="s">
        <v>130</v>
      </c>
      <c r="V56" t="b">
        <f t="shared" si="1"/>
        <v>0</v>
      </c>
      <c r="W56" t="b">
        <f>AND(OR(WEEKDAY(C56,2)=5,WEEKDAY(C56,2)=6),'01_Parameters'!$C$11="Enabled")</f>
        <v>0</v>
      </c>
      <c r="X56" t="b">
        <f t="shared" si="2"/>
        <v>0</v>
      </c>
      <c r="Y56" t="b">
        <f t="shared" si="3"/>
        <v>0</v>
      </c>
      <c r="Z56" t="b">
        <f t="shared" si="4"/>
        <v>0</v>
      </c>
    </row>
    <row r="57" spans="1:26" ht="15" customHeight="1">
      <c r="A57" t="s">
        <v>277</v>
      </c>
      <c r="B57" t="s">
        <v>278</v>
      </c>
      <c r="C57" s="14">
        <v>45855</v>
      </c>
      <c r="D57" s="14">
        <v>45851</v>
      </c>
      <c r="E57">
        <v>2025</v>
      </c>
      <c r="F57">
        <v>7</v>
      </c>
      <c r="G57" t="s">
        <v>193</v>
      </c>
      <c r="H57" t="s">
        <v>194</v>
      </c>
      <c r="I57" t="s">
        <v>124</v>
      </c>
      <c r="J57" s="15">
        <v>22658.3</v>
      </c>
      <c r="K57" s="15">
        <v>0</v>
      </c>
      <c r="L57" s="15">
        <f t="shared" si="0"/>
        <v>22658.3</v>
      </c>
      <c r="M57" t="s">
        <v>195</v>
      </c>
      <c r="N57" t="s">
        <v>279</v>
      </c>
      <c r="O57" t="s">
        <v>197</v>
      </c>
      <c r="P57" t="s">
        <v>175</v>
      </c>
      <c r="Q57" t="s">
        <v>140</v>
      </c>
      <c r="R57" s="16">
        <v>45855.302083333299</v>
      </c>
      <c r="S57" t="s">
        <v>130</v>
      </c>
      <c r="V57" t="b">
        <f t="shared" si="1"/>
        <v>0</v>
      </c>
      <c r="W57" t="b">
        <f>AND(OR(WEEKDAY(C57,2)=5,WEEKDAY(C57,2)=6),'01_Parameters'!$C$11="Enabled")</f>
        <v>0</v>
      </c>
      <c r="X57" t="b">
        <f t="shared" si="2"/>
        <v>1</v>
      </c>
      <c r="Y57" t="b">
        <f t="shared" si="3"/>
        <v>0</v>
      </c>
      <c r="Z57" t="b">
        <f t="shared" si="4"/>
        <v>0</v>
      </c>
    </row>
    <row r="58" spans="1:26" ht="15" customHeight="1">
      <c r="A58" t="s">
        <v>277</v>
      </c>
      <c r="B58" t="s">
        <v>280</v>
      </c>
      <c r="C58" s="14">
        <v>45855</v>
      </c>
      <c r="D58" s="14">
        <v>45851</v>
      </c>
      <c r="E58">
        <v>2025</v>
      </c>
      <c r="F58">
        <v>7</v>
      </c>
      <c r="G58" t="s">
        <v>199</v>
      </c>
      <c r="H58" t="s">
        <v>200</v>
      </c>
      <c r="I58" t="s">
        <v>146</v>
      </c>
      <c r="J58" s="15">
        <v>0</v>
      </c>
      <c r="K58" s="15">
        <v>22658.3</v>
      </c>
      <c r="L58" s="15">
        <f t="shared" si="0"/>
        <v>-22658.3</v>
      </c>
      <c r="M58" t="s">
        <v>195</v>
      </c>
      <c r="N58" t="s">
        <v>279</v>
      </c>
      <c r="O58" t="s">
        <v>197</v>
      </c>
      <c r="P58" t="s">
        <v>175</v>
      </c>
      <c r="Q58" t="s">
        <v>140</v>
      </c>
      <c r="R58" s="16">
        <v>45855.302083333299</v>
      </c>
      <c r="S58" t="s">
        <v>130</v>
      </c>
      <c r="V58" t="b">
        <f t="shared" si="1"/>
        <v>0</v>
      </c>
      <c r="W58" t="b">
        <f>AND(OR(WEEKDAY(C58,2)=5,WEEKDAY(C58,2)=6),'01_Parameters'!$C$11="Enabled")</f>
        <v>0</v>
      </c>
      <c r="X58" t="b">
        <f t="shared" si="2"/>
        <v>1</v>
      </c>
      <c r="Y58" t="b">
        <f t="shared" si="3"/>
        <v>0</v>
      </c>
      <c r="Z58" t="b">
        <f t="shared" si="4"/>
        <v>0</v>
      </c>
    </row>
    <row r="59" spans="1:26" ht="15" customHeight="1">
      <c r="A59" t="s">
        <v>281</v>
      </c>
      <c r="B59" t="s">
        <v>282</v>
      </c>
      <c r="C59" s="14">
        <v>45832</v>
      </c>
      <c r="D59" s="14">
        <v>45830</v>
      </c>
      <c r="E59">
        <v>2025</v>
      </c>
      <c r="F59">
        <v>6</v>
      </c>
      <c r="G59" t="s">
        <v>179</v>
      </c>
      <c r="H59" t="s">
        <v>180</v>
      </c>
      <c r="I59" t="s">
        <v>124</v>
      </c>
      <c r="J59" s="15">
        <v>56310.71</v>
      </c>
      <c r="K59" s="15">
        <v>0</v>
      </c>
      <c r="L59" s="15">
        <f t="shared" si="0"/>
        <v>56310.71</v>
      </c>
      <c r="M59" t="s">
        <v>181</v>
      </c>
      <c r="N59" t="s">
        <v>283</v>
      </c>
      <c r="O59" t="s">
        <v>183</v>
      </c>
      <c r="P59" t="s">
        <v>151</v>
      </c>
      <c r="Q59" t="s">
        <v>128</v>
      </c>
      <c r="R59" s="16">
        <v>45832.90625</v>
      </c>
      <c r="S59" t="s">
        <v>130</v>
      </c>
      <c r="V59" t="b">
        <f t="shared" si="1"/>
        <v>0</v>
      </c>
      <c r="W59" t="b">
        <f>AND(OR(WEEKDAY(C59,2)=5,WEEKDAY(C59,2)=6),'01_Parameters'!$C$11="Enabled")</f>
        <v>0</v>
      </c>
      <c r="X59" t="b">
        <f t="shared" si="2"/>
        <v>1</v>
      </c>
      <c r="Y59" t="b">
        <f t="shared" si="3"/>
        <v>0</v>
      </c>
      <c r="Z59" t="b">
        <f t="shared" si="4"/>
        <v>0</v>
      </c>
    </row>
    <row r="60" spans="1:26" ht="15" customHeight="1">
      <c r="A60" t="s">
        <v>281</v>
      </c>
      <c r="B60" t="s">
        <v>284</v>
      </c>
      <c r="C60" s="14">
        <v>45832</v>
      </c>
      <c r="D60" s="14">
        <v>45830</v>
      </c>
      <c r="E60">
        <v>2025</v>
      </c>
      <c r="F60">
        <v>6</v>
      </c>
      <c r="G60" t="s">
        <v>185</v>
      </c>
      <c r="H60" t="s">
        <v>186</v>
      </c>
      <c r="I60" t="s">
        <v>134</v>
      </c>
      <c r="J60" s="15">
        <v>0</v>
      </c>
      <c r="K60" s="15">
        <v>56310.71</v>
      </c>
      <c r="L60" s="15">
        <f t="shared" si="0"/>
        <v>-56310.71</v>
      </c>
      <c r="M60" t="s">
        <v>181</v>
      </c>
      <c r="N60" t="s">
        <v>283</v>
      </c>
      <c r="O60" t="s">
        <v>183</v>
      </c>
      <c r="P60" t="s">
        <v>151</v>
      </c>
      <c r="Q60" t="s">
        <v>128</v>
      </c>
      <c r="R60" s="16">
        <v>45832.90625</v>
      </c>
      <c r="S60" t="s">
        <v>130</v>
      </c>
      <c r="V60" t="b">
        <f t="shared" si="1"/>
        <v>0</v>
      </c>
      <c r="W60" t="b">
        <f>AND(OR(WEEKDAY(C60,2)=5,WEEKDAY(C60,2)=6),'01_Parameters'!$C$11="Enabled")</f>
        <v>0</v>
      </c>
      <c r="X60" t="b">
        <f t="shared" si="2"/>
        <v>1</v>
      </c>
      <c r="Y60" t="b">
        <f t="shared" si="3"/>
        <v>0</v>
      </c>
      <c r="Z60" t="b">
        <f t="shared" si="4"/>
        <v>0</v>
      </c>
    </row>
    <row r="61" spans="1:26" ht="15" customHeight="1">
      <c r="A61" t="s">
        <v>285</v>
      </c>
      <c r="B61" t="s">
        <v>286</v>
      </c>
      <c r="C61" s="14">
        <v>45904</v>
      </c>
      <c r="D61" s="14">
        <v>45903</v>
      </c>
      <c r="E61">
        <v>2025</v>
      </c>
      <c r="F61">
        <v>9</v>
      </c>
      <c r="G61" t="s">
        <v>193</v>
      </c>
      <c r="H61" t="s">
        <v>194</v>
      </c>
      <c r="I61" t="s">
        <v>124</v>
      </c>
      <c r="J61" s="15">
        <v>40451.81</v>
      </c>
      <c r="K61" s="15">
        <v>0</v>
      </c>
      <c r="L61" s="15">
        <f t="shared" si="0"/>
        <v>40451.81</v>
      </c>
      <c r="M61" t="s">
        <v>195</v>
      </c>
      <c r="N61" t="s">
        <v>287</v>
      </c>
      <c r="O61" t="s">
        <v>197</v>
      </c>
      <c r="P61" t="s">
        <v>175</v>
      </c>
      <c r="Q61" t="s">
        <v>140</v>
      </c>
      <c r="R61" s="16">
        <v>45904.875</v>
      </c>
      <c r="S61" t="s">
        <v>288</v>
      </c>
      <c r="V61" t="b">
        <f t="shared" si="1"/>
        <v>0</v>
      </c>
      <c r="W61" t="b">
        <f>AND(OR(WEEKDAY(C61,2)=5,WEEKDAY(C61,2)=6),'01_Parameters'!$C$11="Enabled")</f>
        <v>0</v>
      </c>
      <c r="X61" t="b">
        <f t="shared" si="2"/>
        <v>1</v>
      </c>
      <c r="Y61" t="b">
        <f t="shared" si="3"/>
        <v>0</v>
      </c>
      <c r="Z61" t="b">
        <f t="shared" si="4"/>
        <v>0</v>
      </c>
    </row>
    <row r="62" spans="1:26" ht="15" customHeight="1">
      <c r="A62" t="s">
        <v>285</v>
      </c>
      <c r="B62" t="s">
        <v>289</v>
      </c>
      <c r="C62" s="14">
        <v>45904</v>
      </c>
      <c r="D62" s="14">
        <v>45903</v>
      </c>
      <c r="E62">
        <v>2025</v>
      </c>
      <c r="F62">
        <v>9</v>
      </c>
      <c r="G62" t="s">
        <v>199</v>
      </c>
      <c r="H62" t="s">
        <v>200</v>
      </c>
      <c r="I62" t="s">
        <v>146</v>
      </c>
      <c r="J62" s="15">
        <v>0</v>
      </c>
      <c r="K62" s="15">
        <v>40451.81</v>
      </c>
      <c r="L62" s="15">
        <f t="shared" si="0"/>
        <v>-40451.81</v>
      </c>
      <c r="M62" t="s">
        <v>195</v>
      </c>
      <c r="N62" t="s">
        <v>287</v>
      </c>
      <c r="O62" t="s">
        <v>197</v>
      </c>
      <c r="P62" t="s">
        <v>175</v>
      </c>
      <c r="Q62" t="s">
        <v>140</v>
      </c>
      <c r="R62" s="16">
        <v>45904.875</v>
      </c>
      <c r="S62" t="s">
        <v>288</v>
      </c>
      <c r="V62" t="b">
        <f t="shared" si="1"/>
        <v>0</v>
      </c>
      <c r="W62" t="b">
        <f>AND(OR(WEEKDAY(C62,2)=5,WEEKDAY(C62,2)=6),'01_Parameters'!$C$11="Enabled")</f>
        <v>0</v>
      </c>
      <c r="X62" t="b">
        <f t="shared" si="2"/>
        <v>1</v>
      </c>
      <c r="Y62" t="b">
        <f t="shared" si="3"/>
        <v>0</v>
      </c>
      <c r="Z62" t="b">
        <f t="shared" si="4"/>
        <v>0</v>
      </c>
    </row>
    <row r="63" spans="1:26" ht="15" customHeight="1">
      <c r="A63" t="s">
        <v>290</v>
      </c>
      <c r="B63" t="s">
        <v>291</v>
      </c>
      <c r="C63" s="14">
        <v>45929</v>
      </c>
      <c r="D63" s="14">
        <v>45926</v>
      </c>
      <c r="E63">
        <v>2025</v>
      </c>
      <c r="F63">
        <v>9</v>
      </c>
      <c r="G63" t="s">
        <v>179</v>
      </c>
      <c r="H63" t="s">
        <v>180</v>
      </c>
      <c r="I63" t="s">
        <v>124</v>
      </c>
      <c r="J63" s="15">
        <v>44715.3</v>
      </c>
      <c r="K63" s="15">
        <v>0</v>
      </c>
      <c r="L63" s="15">
        <f t="shared" si="0"/>
        <v>44715.3</v>
      </c>
      <c r="M63" t="s">
        <v>181</v>
      </c>
      <c r="N63" t="s">
        <v>292</v>
      </c>
      <c r="O63" t="s">
        <v>183</v>
      </c>
      <c r="P63" t="s">
        <v>151</v>
      </c>
      <c r="Q63" t="s">
        <v>129</v>
      </c>
      <c r="R63" s="16">
        <v>45929.46875</v>
      </c>
      <c r="S63" t="s">
        <v>130</v>
      </c>
      <c r="V63" t="b">
        <f t="shared" si="1"/>
        <v>0</v>
      </c>
      <c r="W63" t="b">
        <f>AND(OR(WEEKDAY(C63,2)=5,WEEKDAY(C63,2)=6),'01_Parameters'!$C$11="Enabled")</f>
        <v>0</v>
      </c>
      <c r="X63" t="b">
        <f t="shared" si="2"/>
        <v>0</v>
      </c>
      <c r="Y63" t="b">
        <f t="shared" si="3"/>
        <v>0</v>
      </c>
      <c r="Z63" t="b">
        <f t="shared" si="4"/>
        <v>0</v>
      </c>
    </row>
    <row r="64" spans="1:26" ht="15" customHeight="1">
      <c r="A64" t="s">
        <v>290</v>
      </c>
      <c r="B64" t="s">
        <v>293</v>
      </c>
      <c r="C64" s="14">
        <v>45929</v>
      </c>
      <c r="D64" s="14">
        <v>45926</v>
      </c>
      <c r="E64">
        <v>2025</v>
      </c>
      <c r="F64">
        <v>9</v>
      </c>
      <c r="G64" t="s">
        <v>185</v>
      </c>
      <c r="H64" t="s">
        <v>186</v>
      </c>
      <c r="I64" t="s">
        <v>134</v>
      </c>
      <c r="J64" s="15">
        <v>0</v>
      </c>
      <c r="K64" s="15">
        <v>44715.3</v>
      </c>
      <c r="L64" s="15">
        <f t="shared" si="0"/>
        <v>-44715.3</v>
      </c>
      <c r="M64" t="s">
        <v>181</v>
      </c>
      <c r="N64" t="s">
        <v>292</v>
      </c>
      <c r="O64" t="s">
        <v>183</v>
      </c>
      <c r="P64" t="s">
        <v>151</v>
      </c>
      <c r="Q64" t="s">
        <v>129</v>
      </c>
      <c r="R64" s="16">
        <v>45929.46875</v>
      </c>
      <c r="S64" t="s">
        <v>130</v>
      </c>
      <c r="V64" t="b">
        <f t="shared" si="1"/>
        <v>0</v>
      </c>
      <c r="W64" t="b">
        <f>AND(OR(WEEKDAY(C64,2)=5,WEEKDAY(C64,2)=6),'01_Parameters'!$C$11="Enabled")</f>
        <v>0</v>
      </c>
      <c r="X64" t="b">
        <f t="shared" si="2"/>
        <v>0</v>
      </c>
      <c r="Y64" t="b">
        <f t="shared" si="3"/>
        <v>0</v>
      </c>
      <c r="Z64" t="b">
        <f t="shared" si="4"/>
        <v>0</v>
      </c>
    </row>
    <row r="65" spans="1:26" ht="15" customHeight="1">
      <c r="A65" t="s">
        <v>294</v>
      </c>
      <c r="B65" t="s">
        <v>295</v>
      </c>
      <c r="C65" s="14">
        <v>45990</v>
      </c>
      <c r="D65" s="14">
        <v>45988</v>
      </c>
      <c r="E65">
        <v>2025</v>
      </c>
      <c r="F65">
        <v>11</v>
      </c>
      <c r="G65" t="s">
        <v>179</v>
      </c>
      <c r="H65" t="s">
        <v>180</v>
      </c>
      <c r="I65" t="s">
        <v>124</v>
      </c>
      <c r="J65" s="15">
        <v>76621.649999999994</v>
      </c>
      <c r="K65" s="15">
        <v>0</v>
      </c>
      <c r="L65" s="15">
        <f t="shared" si="0"/>
        <v>76621.649999999994</v>
      </c>
      <c r="M65" t="s">
        <v>181</v>
      </c>
      <c r="N65" t="s">
        <v>296</v>
      </c>
      <c r="O65" t="s">
        <v>183</v>
      </c>
      <c r="P65" t="s">
        <v>129</v>
      </c>
      <c r="Q65" t="s">
        <v>140</v>
      </c>
      <c r="R65" s="16">
        <v>45990.260416666701</v>
      </c>
      <c r="S65" t="s">
        <v>130</v>
      </c>
      <c r="V65" t="b">
        <f t="shared" si="1"/>
        <v>0</v>
      </c>
      <c r="W65" t="b">
        <f>AND(OR(WEEKDAY(C65,2)=5,WEEKDAY(C65,2)=6),'01_Parameters'!$C$11="Enabled")</f>
        <v>1</v>
      </c>
      <c r="X65" t="b">
        <f t="shared" si="2"/>
        <v>1</v>
      </c>
      <c r="Y65" t="b">
        <f t="shared" si="3"/>
        <v>0</v>
      </c>
      <c r="Z65" t="b">
        <f t="shared" si="4"/>
        <v>0</v>
      </c>
    </row>
    <row r="66" spans="1:26" ht="15" customHeight="1">
      <c r="A66" t="s">
        <v>294</v>
      </c>
      <c r="B66" t="s">
        <v>297</v>
      </c>
      <c r="C66" s="14">
        <v>45990</v>
      </c>
      <c r="D66" s="14">
        <v>45988</v>
      </c>
      <c r="E66">
        <v>2025</v>
      </c>
      <c r="F66">
        <v>11</v>
      </c>
      <c r="G66" t="s">
        <v>185</v>
      </c>
      <c r="H66" t="s">
        <v>186</v>
      </c>
      <c r="I66" t="s">
        <v>134</v>
      </c>
      <c r="J66" s="15">
        <v>0</v>
      </c>
      <c r="K66" s="15">
        <v>76621.649999999994</v>
      </c>
      <c r="L66" s="15">
        <f t="shared" si="0"/>
        <v>-76621.649999999994</v>
      </c>
      <c r="M66" t="s">
        <v>181</v>
      </c>
      <c r="N66" t="s">
        <v>296</v>
      </c>
      <c r="O66" t="s">
        <v>183</v>
      </c>
      <c r="P66" t="s">
        <v>129</v>
      </c>
      <c r="Q66" t="s">
        <v>140</v>
      </c>
      <c r="R66" s="16">
        <v>45990.260416666701</v>
      </c>
      <c r="S66" t="s">
        <v>130</v>
      </c>
      <c r="V66" t="b">
        <f t="shared" si="1"/>
        <v>0</v>
      </c>
      <c r="W66" t="b">
        <f>AND(OR(WEEKDAY(C66,2)=5,WEEKDAY(C66,2)=6),'01_Parameters'!$C$11="Enabled")</f>
        <v>1</v>
      </c>
      <c r="X66" t="b">
        <f t="shared" si="2"/>
        <v>1</v>
      </c>
      <c r="Y66" t="b">
        <f t="shared" si="3"/>
        <v>0</v>
      </c>
      <c r="Z66" t="b">
        <f t="shared" si="4"/>
        <v>0</v>
      </c>
    </row>
    <row r="67" spans="1:26" ht="15" customHeight="1">
      <c r="A67" t="s">
        <v>298</v>
      </c>
      <c r="B67" t="s">
        <v>299</v>
      </c>
      <c r="C67" s="14">
        <v>45733</v>
      </c>
      <c r="D67" s="14">
        <v>45732</v>
      </c>
      <c r="E67">
        <v>2025</v>
      </c>
      <c r="F67">
        <v>3</v>
      </c>
      <c r="G67" t="s">
        <v>193</v>
      </c>
      <c r="H67" t="s">
        <v>194</v>
      </c>
      <c r="I67" t="s">
        <v>124</v>
      </c>
      <c r="J67" s="15">
        <v>2248.61</v>
      </c>
      <c r="K67" s="15">
        <v>0</v>
      </c>
      <c r="L67" s="15">
        <f t="shared" si="0"/>
        <v>2248.61</v>
      </c>
      <c r="M67" t="s">
        <v>195</v>
      </c>
      <c r="N67" t="s">
        <v>300</v>
      </c>
      <c r="O67" t="s">
        <v>197</v>
      </c>
      <c r="P67" t="s">
        <v>140</v>
      </c>
      <c r="Q67" t="s">
        <v>150</v>
      </c>
      <c r="R67" s="16">
        <v>45733.291666666701</v>
      </c>
      <c r="S67" t="s">
        <v>130</v>
      </c>
      <c r="V67" t="b">
        <f t="shared" si="1"/>
        <v>0</v>
      </c>
      <c r="W67" t="b">
        <f>AND(OR(WEEKDAY(C67,2)=5,WEEKDAY(C67,2)=6),'01_Parameters'!$C$11="Enabled")</f>
        <v>0</v>
      </c>
      <c r="X67" t="b">
        <f t="shared" si="2"/>
        <v>1</v>
      </c>
      <c r="Y67" t="b">
        <f t="shared" si="3"/>
        <v>0</v>
      </c>
      <c r="Z67" t="b">
        <f t="shared" si="4"/>
        <v>0</v>
      </c>
    </row>
    <row r="68" spans="1:26" ht="15" customHeight="1">
      <c r="A68" t="s">
        <v>298</v>
      </c>
      <c r="B68" t="s">
        <v>301</v>
      </c>
      <c r="C68" s="14">
        <v>45733</v>
      </c>
      <c r="D68" s="14">
        <v>45732</v>
      </c>
      <c r="E68">
        <v>2025</v>
      </c>
      <c r="F68">
        <v>3</v>
      </c>
      <c r="G68" t="s">
        <v>199</v>
      </c>
      <c r="H68" t="s">
        <v>200</v>
      </c>
      <c r="I68" t="s">
        <v>146</v>
      </c>
      <c r="J68" s="15">
        <v>0</v>
      </c>
      <c r="K68" s="15">
        <v>2248.61</v>
      </c>
      <c r="L68" s="15">
        <f t="shared" si="0"/>
        <v>-2248.61</v>
      </c>
      <c r="M68" t="s">
        <v>195</v>
      </c>
      <c r="N68" t="s">
        <v>300</v>
      </c>
      <c r="O68" t="s">
        <v>197</v>
      </c>
      <c r="P68" t="s">
        <v>140</v>
      </c>
      <c r="Q68" t="s">
        <v>150</v>
      </c>
      <c r="R68" s="16">
        <v>45733.291666666701</v>
      </c>
      <c r="S68" t="s">
        <v>130</v>
      </c>
      <c r="V68" t="b">
        <f t="shared" si="1"/>
        <v>0</v>
      </c>
      <c r="W68" t="b">
        <f>AND(OR(WEEKDAY(C68,2)=5,WEEKDAY(C68,2)=6),'01_Parameters'!$C$11="Enabled")</f>
        <v>0</v>
      </c>
      <c r="X68" t="b">
        <f t="shared" si="2"/>
        <v>1</v>
      </c>
      <c r="Y68" t="b">
        <f t="shared" si="3"/>
        <v>0</v>
      </c>
      <c r="Z68" t="b">
        <f t="shared" si="4"/>
        <v>0</v>
      </c>
    </row>
    <row r="69" spans="1:26" ht="15" customHeight="1">
      <c r="A69" t="s">
        <v>302</v>
      </c>
      <c r="B69" t="s">
        <v>303</v>
      </c>
      <c r="C69" s="14">
        <v>45863</v>
      </c>
      <c r="D69" s="14">
        <v>45859</v>
      </c>
      <c r="E69">
        <v>2025</v>
      </c>
      <c r="F69">
        <v>7</v>
      </c>
      <c r="G69" t="s">
        <v>179</v>
      </c>
      <c r="H69" t="s">
        <v>180</v>
      </c>
      <c r="I69" t="s">
        <v>124</v>
      </c>
      <c r="J69" s="15">
        <v>53633.89</v>
      </c>
      <c r="K69" s="15">
        <v>0</v>
      </c>
      <c r="L69" s="15">
        <f t="shared" ref="L69:L132" si="5">J69-K69</f>
        <v>53633.89</v>
      </c>
      <c r="M69" t="s">
        <v>181</v>
      </c>
      <c r="N69" t="s">
        <v>304</v>
      </c>
      <c r="O69" t="s">
        <v>183</v>
      </c>
      <c r="P69" t="s">
        <v>128</v>
      </c>
      <c r="Q69" t="s">
        <v>129</v>
      </c>
      <c r="R69" s="16">
        <v>45863.635416666701</v>
      </c>
      <c r="S69" t="s">
        <v>130</v>
      </c>
      <c r="V69" t="b">
        <f t="shared" ref="V69:V132" si="6">AND(C69&gt;=Year_End_Window_Start,C69&lt;=Year_End_Window_End)</f>
        <v>0</v>
      </c>
      <c r="W69" t="b">
        <f>AND(OR(WEEKDAY(C69,2)=5,WEEKDAY(C69,2)=6),'01_Parameters'!$C$11="Enabled")</f>
        <v>1</v>
      </c>
      <c r="X69" t="b">
        <f t="shared" ref="X69:X132" si="7">AND(HOUR(R69)&lt;Business_Day_Start,HOUR(R69)&gt;=0)+AND(HOUR(R69)&gt;=Business_Day_End,HOUR(R69)&lt;=23)&gt;0</f>
        <v>0</v>
      </c>
      <c r="Y69" t="b">
        <f t="shared" ref="Y69:Y132" si="8">ABS(L69)&gt;High_Value_GL_Threshold</f>
        <v>0</v>
      </c>
      <c r="Z69" t="b">
        <f t="shared" ref="Z69:Z132" si="9">AND(ABS(L69)&gt;=Round_Number_Threshold,MOD(ABS(L69),Round_Number_Threshold)=0)</f>
        <v>0</v>
      </c>
    </row>
    <row r="70" spans="1:26" ht="15" customHeight="1">
      <c r="A70" t="s">
        <v>302</v>
      </c>
      <c r="B70" t="s">
        <v>305</v>
      </c>
      <c r="C70" s="14">
        <v>45863</v>
      </c>
      <c r="D70" s="14">
        <v>45859</v>
      </c>
      <c r="E70">
        <v>2025</v>
      </c>
      <c r="F70">
        <v>7</v>
      </c>
      <c r="G70" t="s">
        <v>185</v>
      </c>
      <c r="H70" t="s">
        <v>186</v>
      </c>
      <c r="I70" t="s">
        <v>134</v>
      </c>
      <c r="J70" s="15">
        <v>0</v>
      </c>
      <c r="K70" s="15">
        <v>53633.89</v>
      </c>
      <c r="L70" s="15">
        <f t="shared" si="5"/>
        <v>-53633.89</v>
      </c>
      <c r="M70" t="s">
        <v>181</v>
      </c>
      <c r="N70" t="s">
        <v>304</v>
      </c>
      <c r="O70" t="s">
        <v>183</v>
      </c>
      <c r="P70" t="s">
        <v>128</v>
      </c>
      <c r="Q70" t="s">
        <v>129</v>
      </c>
      <c r="R70" s="16">
        <v>45863.635416666701</v>
      </c>
      <c r="S70" t="s">
        <v>130</v>
      </c>
      <c r="V70" t="b">
        <f t="shared" si="6"/>
        <v>0</v>
      </c>
      <c r="W70" t="b">
        <f>AND(OR(WEEKDAY(C70,2)=5,WEEKDAY(C70,2)=6),'01_Parameters'!$C$11="Enabled")</f>
        <v>1</v>
      </c>
      <c r="X70" t="b">
        <f t="shared" si="7"/>
        <v>0</v>
      </c>
      <c r="Y70" t="b">
        <f t="shared" si="8"/>
        <v>0</v>
      </c>
      <c r="Z70" t="b">
        <f t="shared" si="9"/>
        <v>0</v>
      </c>
    </row>
    <row r="71" spans="1:26" ht="15" customHeight="1">
      <c r="A71" t="s">
        <v>306</v>
      </c>
      <c r="B71" t="s">
        <v>307</v>
      </c>
      <c r="C71" s="14">
        <v>45915</v>
      </c>
      <c r="D71" s="14">
        <v>45913</v>
      </c>
      <c r="E71">
        <v>2025</v>
      </c>
      <c r="F71">
        <v>9</v>
      </c>
      <c r="G71" t="s">
        <v>193</v>
      </c>
      <c r="H71" t="s">
        <v>194</v>
      </c>
      <c r="I71" t="s">
        <v>124</v>
      </c>
      <c r="J71" s="15">
        <v>68838.5</v>
      </c>
      <c r="K71" s="15">
        <v>0</v>
      </c>
      <c r="L71" s="15">
        <f t="shared" si="5"/>
        <v>68838.5</v>
      </c>
      <c r="M71" t="s">
        <v>195</v>
      </c>
      <c r="N71" t="s">
        <v>308</v>
      </c>
      <c r="O71" t="s">
        <v>197</v>
      </c>
      <c r="P71" t="s">
        <v>128</v>
      </c>
      <c r="Q71" t="s">
        <v>150</v>
      </c>
      <c r="R71" s="16">
        <v>45915.5</v>
      </c>
      <c r="S71" t="s">
        <v>130</v>
      </c>
      <c r="V71" t="b">
        <f t="shared" si="6"/>
        <v>0</v>
      </c>
      <c r="W71" t="b">
        <f>AND(OR(WEEKDAY(C71,2)=5,WEEKDAY(C71,2)=6),'01_Parameters'!$C$11="Enabled")</f>
        <v>0</v>
      </c>
      <c r="X71" t="b">
        <f t="shared" si="7"/>
        <v>0</v>
      </c>
      <c r="Y71" t="b">
        <f t="shared" si="8"/>
        <v>0</v>
      </c>
      <c r="Z71" t="b">
        <f t="shared" si="9"/>
        <v>0</v>
      </c>
    </row>
    <row r="72" spans="1:26" ht="15" customHeight="1">
      <c r="A72" t="s">
        <v>306</v>
      </c>
      <c r="B72" t="s">
        <v>309</v>
      </c>
      <c r="C72" s="14">
        <v>45915</v>
      </c>
      <c r="D72" s="14">
        <v>45913</v>
      </c>
      <c r="E72">
        <v>2025</v>
      </c>
      <c r="F72">
        <v>9</v>
      </c>
      <c r="G72" t="s">
        <v>199</v>
      </c>
      <c r="H72" t="s">
        <v>200</v>
      </c>
      <c r="I72" t="s">
        <v>146</v>
      </c>
      <c r="J72" s="15">
        <v>0</v>
      </c>
      <c r="K72" s="15">
        <v>68838.5</v>
      </c>
      <c r="L72" s="15">
        <f t="shared" si="5"/>
        <v>-68838.5</v>
      </c>
      <c r="M72" t="s">
        <v>195</v>
      </c>
      <c r="N72" t="s">
        <v>308</v>
      </c>
      <c r="O72" t="s">
        <v>197</v>
      </c>
      <c r="P72" t="s">
        <v>128</v>
      </c>
      <c r="Q72" t="s">
        <v>150</v>
      </c>
      <c r="R72" s="16">
        <v>45915.5</v>
      </c>
      <c r="S72" t="s">
        <v>130</v>
      </c>
      <c r="V72" t="b">
        <f t="shared" si="6"/>
        <v>0</v>
      </c>
      <c r="W72" t="b">
        <f>AND(OR(WEEKDAY(C72,2)=5,WEEKDAY(C72,2)=6),'01_Parameters'!$C$11="Enabled")</f>
        <v>0</v>
      </c>
      <c r="X72" t="b">
        <f t="shared" si="7"/>
        <v>0</v>
      </c>
      <c r="Y72" t="b">
        <f t="shared" si="8"/>
        <v>0</v>
      </c>
      <c r="Z72" t="b">
        <f t="shared" si="9"/>
        <v>0</v>
      </c>
    </row>
    <row r="73" spans="1:26" ht="15" customHeight="1">
      <c r="A73" t="s">
        <v>310</v>
      </c>
      <c r="B73" t="s">
        <v>311</v>
      </c>
      <c r="C73" s="14">
        <v>45782</v>
      </c>
      <c r="D73" s="14">
        <v>45780</v>
      </c>
      <c r="E73">
        <v>2025</v>
      </c>
      <c r="F73">
        <v>5</v>
      </c>
      <c r="G73" t="s">
        <v>172</v>
      </c>
      <c r="H73" t="s">
        <v>173</v>
      </c>
      <c r="I73" t="s">
        <v>124</v>
      </c>
      <c r="J73" s="15">
        <v>32971.74</v>
      </c>
      <c r="K73" s="15">
        <v>0</v>
      </c>
      <c r="L73" s="15">
        <f t="shared" si="5"/>
        <v>32971.74</v>
      </c>
      <c r="M73" t="s">
        <v>209</v>
      </c>
      <c r="N73" t="s">
        <v>312</v>
      </c>
      <c r="O73" t="s">
        <v>211</v>
      </c>
      <c r="P73" t="s">
        <v>175</v>
      </c>
      <c r="Q73" t="s">
        <v>140</v>
      </c>
      <c r="R73" s="16">
        <v>45782.895833333299</v>
      </c>
      <c r="S73" t="s">
        <v>130</v>
      </c>
      <c r="T73" t="s">
        <v>313</v>
      </c>
      <c r="U73" t="s">
        <v>312</v>
      </c>
      <c r="V73" t="b">
        <f t="shared" si="6"/>
        <v>0</v>
      </c>
      <c r="W73" t="b">
        <f>AND(OR(WEEKDAY(C73,2)=5,WEEKDAY(C73,2)=6),'01_Parameters'!$C$11="Enabled")</f>
        <v>0</v>
      </c>
      <c r="X73" t="b">
        <f t="shared" si="7"/>
        <v>1</v>
      </c>
      <c r="Y73" t="b">
        <f t="shared" si="8"/>
        <v>0</v>
      </c>
      <c r="Z73" t="b">
        <f t="shared" si="9"/>
        <v>0</v>
      </c>
    </row>
    <row r="74" spans="1:26" ht="15" customHeight="1">
      <c r="A74" t="s">
        <v>310</v>
      </c>
      <c r="B74" t="s">
        <v>314</v>
      </c>
      <c r="C74" s="14">
        <v>45782</v>
      </c>
      <c r="D74" s="14">
        <v>45780</v>
      </c>
      <c r="E74">
        <v>2025</v>
      </c>
      <c r="F74">
        <v>5</v>
      </c>
      <c r="G74" t="s">
        <v>132</v>
      </c>
      <c r="H74" t="s">
        <v>133</v>
      </c>
      <c r="I74" t="s">
        <v>134</v>
      </c>
      <c r="J74" s="15">
        <v>0</v>
      </c>
      <c r="K74" s="15">
        <v>32971.74</v>
      </c>
      <c r="L74" s="15">
        <f t="shared" si="5"/>
        <v>-32971.74</v>
      </c>
      <c r="M74" t="s">
        <v>209</v>
      </c>
      <c r="N74" t="s">
        <v>312</v>
      </c>
      <c r="O74" t="s">
        <v>211</v>
      </c>
      <c r="P74" t="s">
        <v>175</v>
      </c>
      <c r="Q74" t="s">
        <v>140</v>
      </c>
      <c r="R74" s="16">
        <v>45782.895833333299</v>
      </c>
      <c r="S74" t="s">
        <v>130</v>
      </c>
      <c r="T74" t="s">
        <v>313</v>
      </c>
      <c r="U74" t="s">
        <v>312</v>
      </c>
      <c r="V74" t="b">
        <f t="shared" si="6"/>
        <v>0</v>
      </c>
      <c r="W74" t="b">
        <f>AND(OR(WEEKDAY(C74,2)=5,WEEKDAY(C74,2)=6),'01_Parameters'!$C$11="Enabled")</f>
        <v>0</v>
      </c>
      <c r="X74" t="b">
        <f t="shared" si="7"/>
        <v>1</v>
      </c>
      <c r="Y74" t="b">
        <f t="shared" si="8"/>
        <v>0</v>
      </c>
      <c r="Z74" t="b">
        <f t="shared" si="9"/>
        <v>0</v>
      </c>
    </row>
    <row r="75" spans="1:26" ht="15" customHeight="1">
      <c r="A75" t="s">
        <v>315</v>
      </c>
      <c r="B75" t="s">
        <v>316</v>
      </c>
      <c r="C75" s="14">
        <v>45961</v>
      </c>
      <c r="D75" s="14">
        <v>45961</v>
      </c>
      <c r="E75">
        <v>2025</v>
      </c>
      <c r="F75">
        <v>10</v>
      </c>
      <c r="G75" t="s">
        <v>137</v>
      </c>
      <c r="H75" t="s">
        <v>138</v>
      </c>
      <c r="I75" t="s">
        <v>124</v>
      </c>
      <c r="J75" s="15">
        <v>44062.26</v>
      </c>
      <c r="K75" s="15">
        <v>0</v>
      </c>
      <c r="L75" s="15">
        <f t="shared" si="5"/>
        <v>44062.26</v>
      </c>
      <c r="M75" t="s">
        <v>209</v>
      </c>
      <c r="N75" t="s">
        <v>317</v>
      </c>
      <c r="O75" t="s">
        <v>211</v>
      </c>
      <c r="P75" t="s">
        <v>175</v>
      </c>
      <c r="Q75" t="s">
        <v>150</v>
      </c>
      <c r="R75" s="16">
        <v>45961.489583333299</v>
      </c>
      <c r="S75" t="s">
        <v>130</v>
      </c>
      <c r="T75" t="s">
        <v>212</v>
      </c>
      <c r="U75" t="s">
        <v>317</v>
      </c>
      <c r="V75" t="b">
        <f t="shared" si="6"/>
        <v>0</v>
      </c>
      <c r="W75" t="b">
        <f>AND(OR(WEEKDAY(C75,2)=5,WEEKDAY(C75,2)=6),'01_Parameters'!$C$11="Enabled")</f>
        <v>1</v>
      </c>
      <c r="X75" t="b">
        <f t="shared" si="7"/>
        <v>0</v>
      </c>
      <c r="Y75" t="b">
        <f t="shared" si="8"/>
        <v>0</v>
      </c>
      <c r="Z75" t="b">
        <f t="shared" si="9"/>
        <v>0</v>
      </c>
    </row>
    <row r="76" spans="1:26" ht="15" customHeight="1">
      <c r="A76" t="s">
        <v>315</v>
      </c>
      <c r="B76" t="s">
        <v>318</v>
      </c>
      <c r="C76" s="14">
        <v>45961</v>
      </c>
      <c r="D76" s="14">
        <v>45961</v>
      </c>
      <c r="E76">
        <v>2025</v>
      </c>
      <c r="F76">
        <v>10</v>
      </c>
      <c r="G76" t="s">
        <v>132</v>
      </c>
      <c r="H76" t="s">
        <v>133</v>
      </c>
      <c r="I76" t="s">
        <v>134</v>
      </c>
      <c r="J76" s="15">
        <v>0</v>
      </c>
      <c r="K76" s="15">
        <v>44062.26</v>
      </c>
      <c r="L76" s="15">
        <f t="shared" si="5"/>
        <v>-44062.26</v>
      </c>
      <c r="M76" t="s">
        <v>209</v>
      </c>
      <c r="N76" t="s">
        <v>317</v>
      </c>
      <c r="O76" t="s">
        <v>211</v>
      </c>
      <c r="P76" t="s">
        <v>175</v>
      </c>
      <c r="Q76" t="s">
        <v>150</v>
      </c>
      <c r="R76" s="16">
        <v>45961.489583333299</v>
      </c>
      <c r="S76" t="s">
        <v>130</v>
      </c>
      <c r="T76" t="s">
        <v>212</v>
      </c>
      <c r="U76" t="s">
        <v>317</v>
      </c>
      <c r="V76" t="b">
        <f t="shared" si="6"/>
        <v>0</v>
      </c>
      <c r="W76" t="b">
        <f>AND(OR(WEEKDAY(C76,2)=5,WEEKDAY(C76,2)=6),'01_Parameters'!$C$11="Enabled")</f>
        <v>1</v>
      </c>
      <c r="X76" t="b">
        <f t="shared" si="7"/>
        <v>0</v>
      </c>
      <c r="Y76" t="b">
        <f t="shared" si="8"/>
        <v>0</v>
      </c>
      <c r="Z76" t="b">
        <f t="shared" si="9"/>
        <v>0</v>
      </c>
    </row>
    <row r="77" spans="1:26" ht="15" customHeight="1">
      <c r="A77" t="s">
        <v>319</v>
      </c>
      <c r="B77" t="s">
        <v>320</v>
      </c>
      <c r="C77" s="14">
        <v>45898</v>
      </c>
      <c r="D77" s="14">
        <v>45896</v>
      </c>
      <c r="E77">
        <v>2025</v>
      </c>
      <c r="F77">
        <v>8</v>
      </c>
      <c r="G77" t="s">
        <v>207</v>
      </c>
      <c r="H77" t="s">
        <v>208</v>
      </c>
      <c r="I77" t="s">
        <v>124</v>
      </c>
      <c r="J77" s="15">
        <v>12910.41</v>
      </c>
      <c r="K77" s="15">
        <v>0</v>
      </c>
      <c r="L77" s="15">
        <f t="shared" si="5"/>
        <v>12910.41</v>
      </c>
      <c r="M77" t="s">
        <v>209</v>
      </c>
      <c r="N77" t="s">
        <v>321</v>
      </c>
      <c r="O77" t="s">
        <v>211</v>
      </c>
      <c r="P77" t="s">
        <v>150</v>
      </c>
      <c r="Q77" t="s">
        <v>129</v>
      </c>
      <c r="R77" s="16">
        <v>45898.916666666701</v>
      </c>
      <c r="S77" t="s">
        <v>130</v>
      </c>
      <c r="T77" t="s">
        <v>322</v>
      </c>
      <c r="U77" t="s">
        <v>321</v>
      </c>
      <c r="V77" t="b">
        <f t="shared" si="6"/>
        <v>0</v>
      </c>
      <c r="W77" t="b">
        <f>AND(OR(WEEKDAY(C77,2)=5,WEEKDAY(C77,2)=6),'01_Parameters'!$C$11="Enabled")</f>
        <v>1</v>
      </c>
      <c r="X77" t="b">
        <f t="shared" si="7"/>
        <v>1</v>
      </c>
      <c r="Y77" t="b">
        <f t="shared" si="8"/>
        <v>0</v>
      </c>
      <c r="Z77" t="b">
        <f t="shared" si="9"/>
        <v>0</v>
      </c>
    </row>
    <row r="78" spans="1:26" ht="15" customHeight="1">
      <c r="A78" t="s">
        <v>319</v>
      </c>
      <c r="B78" t="s">
        <v>323</v>
      </c>
      <c r="C78" s="14">
        <v>45898</v>
      </c>
      <c r="D78" s="14">
        <v>45896</v>
      </c>
      <c r="E78">
        <v>2025</v>
      </c>
      <c r="F78">
        <v>8</v>
      </c>
      <c r="G78" t="s">
        <v>132</v>
      </c>
      <c r="H78" t="s">
        <v>133</v>
      </c>
      <c r="I78" t="s">
        <v>134</v>
      </c>
      <c r="J78" s="15">
        <v>0</v>
      </c>
      <c r="K78" s="15">
        <v>12910.41</v>
      </c>
      <c r="L78" s="15">
        <f t="shared" si="5"/>
        <v>-12910.41</v>
      </c>
      <c r="M78" t="s">
        <v>209</v>
      </c>
      <c r="N78" t="s">
        <v>321</v>
      </c>
      <c r="O78" t="s">
        <v>211</v>
      </c>
      <c r="P78" t="s">
        <v>150</v>
      </c>
      <c r="Q78" t="s">
        <v>129</v>
      </c>
      <c r="R78" s="16">
        <v>45898.916666666701</v>
      </c>
      <c r="S78" t="s">
        <v>130</v>
      </c>
      <c r="T78" t="s">
        <v>322</v>
      </c>
      <c r="U78" t="s">
        <v>321</v>
      </c>
      <c r="V78" t="b">
        <f t="shared" si="6"/>
        <v>0</v>
      </c>
      <c r="W78" t="b">
        <f>AND(OR(WEEKDAY(C78,2)=5,WEEKDAY(C78,2)=6),'01_Parameters'!$C$11="Enabled")</f>
        <v>1</v>
      </c>
      <c r="X78" t="b">
        <f t="shared" si="7"/>
        <v>1</v>
      </c>
      <c r="Y78" t="b">
        <f t="shared" si="8"/>
        <v>0</v>
      </c>
      <c r="Z78" t="b">
        <f t="shared" si="9"/>
        <v>0</v>
      </c>
    </row>
    <row r="79" spans="1:26" ht="15" customHeight="1">
      <c r="A79" t="s">
        <v>324</v>
      </c>
      <c r="B79" t="s">
        <v>325</v>
      </c>
      <c r="C79" s="14">
        <v>45921</v>
      </c>
      <c r="D79" s="14">
        <v>45921</v>
      </c>
      <c r="E79">
        <v>2025</v>
      </c>
      <c r="F79">
        <v>9</v>
      </c>
      <c r="G79" t="s">
        <v>199</v>
      </c>
      <c r="H79" t="s">
        <v>200</v>
      </c>
      <c r="I79" t="s">
        <v>146</v>
      </c>
      <c r="J79" s="15">
        <v>14806.47</v>
      </c>
      <c r="K79" s="15">
        <v>0</v>
      </c>
      <c r="L79" s="15">
        <f t="shared" si="5"/>
        <v>14806.47</v>
      </c>
      <c r="M79" t="s">
        <v>209</v>
      </c>
      <c r="N79" t="s">
        <v>326</v>
      </c>
      <c r="O79" t="s">
        <v>211</v>
      </c>
      <c r="P79" t="s">
        <v>128</v>
      </c>
      <c r="Q79" t="s">
        <v>140</v>
      </c>
      <c r="R79" s="16">
        <v>45921.635416666701</v>
      </c>
      <c r="S79" t="s">
        <v>130</v>
      </c>
      <c r="T79" t="s">
        <v>229</v>
      </c>
      <c r="U79" t="s">
        <v>326</v>
      </c>
      <c r="V79" t="b">
        <f t="shared" si="6"/>
        <v>0</v>
      </c>
      <c r="W79" t="b">
        <f>AND(OR(WEEKDAY(C79,2)=5,WEEKDAY(C79,2)=6),'01_Parameters'!$C$11="Enabled")</f>
        <v>0</v>
      </c>
      <c r="X79" t="b">
        <f t="shared" si="7"/>
        <v>0</v>
      </c>
      <c r="Y79" t="b">
        <f t="shared" si="8"/>
        <v>0</v>
      </c>
      <c r="Z79" t="b">
        <f t="shared" si="9"/>
        <v>0</v>
      </c>
    </row>
    <row r="80" spans="1:26" ht="15" customHeight="1">
      <c r="A80" t="s">
        <v>324</v>
      </c>
      <c r="B80" t="s">
        <v>327</v>
      </c>
      <c r="C80" s="14">
        <v>45921</v>
      </c>
      <c r="D80" s="14">
        <v>45921</v>
      </c>
      <c r="E80">
        <v>2025</v>
      </c>
      <c r="F80">
        <v>9</v>
      </c>
      <c r="G80" t="s">
        <v>132</v>
      </c>
      <c r="H80" t="s">
        <v>133</v>
      </c>
      <c r="I80" t="s">
        <v>134</v>
      </c>
      <c r="J80" s="15">
        <v>0</v>
      </c>
      <c r="K80" s="15">
        <v>14806.47</v>
      </c>
      <c r="L80" s="15">
        <f t="shared" si="5"/>
        <v>-14806.47</v>
      </c>
      <c r="M80" t="s">
        <v>209</v>
      </c>
      <c r="N80" t="s">
        <v>326</v>
      </c>
      <c r="O80" t="s">
        <v>211</v>
      </c>
      <c r="P80" t="s">
        <v>128</v>
      </c>
      <c r="Q80" t="s">
        <v>140</v>
      </c>
      <c r="R80" s="16">
        <v>45921.635416666701</v>
      </c>
      <c r="S80" t="s">
        <v>130</v>
      </c>
      <c r="T80" t="s">
        <v>229</v>
      </c>
      <c r="U80" t="s">
        <v>326</v>
      </c>
      <c r="V80" t="b">
        <f t="shared" si="6"/>
        <v>0</v>
      </c>
      <c r="W80" t="b">
        <f>AND(OR(WEEKDAY(C80,2)=5,WEEKDAY(C80,2)=6),'01_Parameters'!$C$11="Enabled")</f>
        <v>0</v>
      </c>
      <c r="X80" t="b">
        <f t="shared" si="7"/>
        <v>0</v>
      </c>
      <c r="Y80" t="b">
        <f t="shared" si="8"/>
        <v>0</v>
      </c>
      <c r="Z80" t="b">
        <f t="shared" si="9"/>
        <v>0</v>
      </c>
    </row>
    <row r="81" spans="1:26" ht="15" customHeight="1">
      <c r="A81" t="s">
        <v>328</v>
      </c>
      <c r="B81" t="s">
        <v>329</v>
      </c>
      <c r="C81" s="14">
        <v>45822</v>
      </c>
      <c r="D81" s="14">
        <v>45817</v>
      </c>
      <c r="E81">
        <v>2025</v>
      </c>
      <c r="F81">
        <v>6</v>
      </c>
      <c r="G81" t="s">
        <v>158</v>
      </c>
      <c r="H81" t="s">
        <v>159</v>
      </c>
      <c r="I81" t="s">
        <v>124</v>
      </c>
      <c r="J81" s="15">
        <v>53598.46</v>
      </c>
      <c r="K81" s="15">
        <v>0</v>
      </c>
      <c r="L81" s="15">
        <f t="shared" si="5"/>
        <v>53598.46</v>
      </c>
      <c r="M81" t="s">
        <v>160</v>
      </c>
      <c r="N81" t="s">
        <v>330</v>
      </c>
      <c r="O81" t="s">
        <v>162</v>
      </c>
      <c r="P81" t="s">
        <v>150</v>
      </c>
      <c r="Q81" t="s">
        <v>175</v>
      </c>
      <c r="R81" s="16">
        <v>45822.822916666701</v>
      </c>
      <c r="S81" t="s">
        <v>130</v>
      </c>
      <c r="V81" t="b">
        <f t="shared" si="6"/>
        <v>0</v>
      </c>
      <c r="W81" t="b">
        <f>AND(OR(WEEKDAY(C81,2)=5,WEEKDAY(C81,2)=6),'01_Parameters'!$C$11="Enabled")</f>
        <v>1</v>
      </c>
      <c r="X81" t="b">
        <f t="shared" si="7"/>
        <v>1</v>
      </c>
      <c r="Y81" t="b">
        <f t="shared" si="8"/>
        <v>0</v>
      </c>
      <c r="Z81" t="b">
        <f t="shared" si="9"/>
        <v>0</v>
      </c>
    </row>
    <row r="82" spans="1:26" ht="15" customHeight="1">
      <c r="A82" t="s">
        <v>328</v>
      </c>
      <c r="B82" t="s">
        <v>331</v>
      </c>
      <c r="C82" s="14">
        <v>45822</v>
      </c>
      <c r="D82" s="14">
        <v>45817</v>
      </c>
      <c r="E82">
        <v>2025</v>
      </c>
      <c r="F82">
        <v>6</v>
      </c>
      <c r="G82" t="s">
        <v>164</v>
      </c>
      <c r="H82" t="s">
        <v>165</v>
      </c>
      <c r="I82" t="s">
        <v>146</v>
      </c>
      <c r="J82" s="15">
        <v>0</v>
      </c>
      <c r="K82" s="15">
        <v>53598.46</v>
      </c>
      <c r="L82" s="15">
        <f t="shared" si="5"/>
        <v>-53598.46</v>
      </c>
      <c r="M82" t="s">
        <v>160</v>
      </c>
      <c r="N82" t="s">
        <v>330</v>
      </c>
      <c r="O82" t="s">
        <v>162</v>
      </c>
      <c r="P82" t="s">
        <v>150</v>
      </c>
      <c r="Q82" t="s">
        <v>175</v>
      </c>
      <c r="R82" s="16">
        <v>45822.822916666701</v>
      </c>
      <c r="S82" t="s">
        <v>130</v>
      </c>
      <c r="V82" t="b">
        <f t="shared" si="6"/>
        <v>0</v>
      </c>
      <c r="W82" t="b">
        <f>AND(OR(WEEKDAY(C82,2)=5,WEEKDAY(C82,2)=6),'01_Parameters'!$C$11="Enabled")</f>
        <v>1</v>
      </c>
      <c r="X82" t="b">
        <f t="shared" si="7"/>
        <v>1</v>
      </c>
      <c r="Y82" t="b">
        <f t="shared" si="8"/>
        <v>0</v>
      </c>
      <c r="Z82" t="b">
        <f t="shared" si="9"/>
        <v>0</v>
      </c>
    </row>
    <row r="83" spans="1:26" ht="15" customHeight="1">
      <c r="A83" t="s">
        <v>332</v>
      </c>
      <c r="B83" t="s">
        <v>333</v>
      </c>
      <c r="C83" s="14">
        <v>45728</v>
      </c>
      <c r="D83" s="14">
        <v>45726</v>
      </c>
      <c r="E83">
        <v>2025</v>
      </c>
      <c r="F83">
        <v>3</v>
      </c>
      <c r="G83" t="s">
        <v>334</v>
      </c>
      <c r="H83" t="s">
        <v>335</v>
      </c>
      <c r="I83" t="s">
        <v>124</v>
      </c>
      <c r="J83" s="15">
        <v>134573.13</v>
      </c>
      <c r="K83" s="15">
        <v>0</v>
      </c>
      <c r="L83" s="15">
        <f t="shared" si="5"/>
        <v>134573.13</v>
      </c>
      <c r="M83" t="s">
        <v>125</v>
      </c>
      <c r="N83" t="s">
        <v>336</v>
      </c>
      <c r="O83" t="s">
        <v>127</v>
      </c>
      <c r="P83" t="s">
        <v>175</v>
      </c>
      <c r="Q83" t="s">
        <v>129</v>
      </c>
      <c r="R83" s="16">
        <v>45728.666666666701</v>
      </c>
      <c r="S83" t="s">
        <v>130</v>
      </c>
      <c r="V83" t="b">
        <f t="shared" si="6"/>
        <v>0</v>
      </c>
      <c r="W83" t="b">
        <f>AND(OR(WEEKDAY(C83,2)=5,WEEKDAY(C83,2)=6),'01_Parameters'!$C$11="Enabled")</f>
        <v>0</v>
      </c>
      <c r="X83" t="b">
        <f t="shared" si="7"/>
        <v>0</v>
      </c>
      <c r="Y83" t="b">
        <f t="shared" si="8"/>
        <v>1</v>
      </c>
      <c r="Z83" t="b">
        <f t="shared" si="9"/>
        <v>0</v>
      </c>
    </row>
    <row r="84" spans="1:26" ht="15" customHeight="1">
      <c r="A84" t="s">
        <v>332</v>
      </c>
      <c r="B84" t="s">
        <v>337</v>
      </c>
      <c r="C84" s="14">
        <v>45728</v>
      </c>
      <c r="D84" s="14">
        <v>45726</v>
      </c>
      <c r="E84">
        <v>2025</v>
      </c>
      <c r="F84">
        <v>3</v>
      </c>
      <c r="G84" t="s">
        <v>132</v>
      </c>
      <c r="H84" t="s">
        <v>133</v>
      </c>
      <c r="I84" t="s">
        <v>134</v>
      </c>
      <c r="J84" s="15">
        <v>0</v>
      </c>
      <c r="K84" s="15">
        <v>134573.13</v>
      </c>
      <c r="L84" s="15">
        <f t="shared" si="5"/>
        <v>-134573.13</v>
      </c>
      <c r="M84" t="s">
        <v>125</v>
      </c>
      <c r="N84" t="s">
        <v>336</v>
      </c>
      <c r="O84" t="s">
        <v>127</v>
      </c>
      <c r="P84" t="s">
        <v>175</v>
      </c>
      <c r="Q84" t="s">
        <v>129</v>
      </c>
      <c r="R84" s="16">
        <v>45728.666666666701</v>
      </c>
      <c r="S84" t="s">
        <v>130</v>
      </c>
      <c r="V84" t="b">
        <f t="shared" si="6"/>
        <v>0</v>
      </c>
      <c r="W84" t="b">
        <f>AND(OR(WEEKDAY(C84,2)=5,WEEKDAY(C84,2)=6),'01_Parameters'!$C$11="Enabled")</f>
        <v>0</v>
      </c>
      <c r="X84" t="b">
        <f t="shared" si="7"/>
        <v>0</v>
      </c>
      <c r="Y84" t="b">
        <f t="shared" si="8"/>
        <v>1</v>
      </c>
      <c r="Z84" t="b">
        <f t="shared" si="9"/>
        <v>0</v>
      </c>
    </row>
    <row r="85" spans="1:26" ht="15" customHeight="1">
      <c r="A85" t="s">
        <v>338</v>
      </c>
      <c r="B85" t="s">
        <v>339</v>
      </c>
      <c r="C85" s="14">
        <v>45876</v>
      </c>
      <c r="D85" s="14">
        <v>45876</v>
      </c>
      <c r="E85">
        <v>2025</v>
      </c>
      <c r="F85">
        <v>8</v>
      </c>
      <c r="G85" t="s">
        <v>207</v>
      </c>
      <c r="H85" t="s">
        <v>208</v>
      </c>
      <c r="I85" t="s">
        <v>124</v>
      </c>
      <c r="J85" s="15">
        <v>49052.93</v>
      </c>
      <c r="K85" s="15">
        <v>0</v>
      </c>
      <c r="L85" s="15">
        <f t="shared" si="5"/>
        <v>49052.93</v>
      </c>
      <c r="M85" t="s">
        <v>209</v>
      </c>
      <c r="N85" t="s">
        <v>340</v>
      </c>
      <c r="O85" t="s">
        <v>211</v>
      </c>
      <c r="P85" t="s">
        <v>175</v>
      </c>
      <c r="Q85" t="s">
        <v>129</v>
      </c>
      <c r="R85" s="16">
        <v>45876.322916666701</v>
      </c>
      <c r="S85" t="s">
        <v>130</v>
      </c>
      <c r="T85" t="s">
        <v>251</v>
      </c>
      <c r="U85" t="s">
        <v>340</v>
      </c>
      <c r="V85" t="b">
        <f t="shared" si="6"/>
        <v>0</v>
      </c>
      <c r="W85" t="b">
        <f>AND(OR(WEEKDAY(C85,2)=5,WEEKDAY(C85,2)=6),'01_Parameters'!$C$11="Enabled")</f>
        <v>0</v>
      </c>
      <c r="X85" t="b">
        <f t="shared" si="7"/>
        <v>1</v>
      </c>
      <c r="Y85" t="b">
        <f t="shared" si="8"/>
        <v>0</v>
      </c>
      <c r="Z85" t="b">
        <f t="shared" si="9"/>
        <v>0</v>
      </c>
    </row>
    <row r="86" spans="1:26" ht="15" customHeight="1">
      <c r="A86" t="s">
        <v>338</v>
      </c>
      <c r="B86" t="s">
        <v>341</v>
      </c>
      <c r="C86" s="14">
        <v>45876</v>
      </c>
      <c r="D86" s="14">
        <v>45876</v>
      </c>
      <c r="E86">
        <v>2025</v>
      </c>
      <c r="F86">
        <v>8</v>
      </c>
      <c r="G86" t="s">
        <v>132</v>
      </c>
      <c r="H86" t="s">
        <v>133</v>
      </c>
      <c r="I86" t="s">
        <v>134</v>
      </c>
      <c r="J86" s="15">
        <v>0</v>
      </c>
      <c r="K86" s="15">
        <v>49052.93</v>
      </c>
      <c r="L86" s="15">
        <f t="shared" si="5"/>
        <v>-49052.93</v>
      </c>
      <c r="M86" t="s">
        <v>209</v>
      </c>
      <c r="N86" t="s">
        <v>340</v>
      </c>
      <c r="O86" t="s">
        <v>211</v>
      </c>
      <c r="P86" t="s">
        <v>175</v>
      </c>
      <c r="Q86" t="s">
        <v>129</v>
      </c>
      <c r="R86" s="16">
        <v>45876.322916666701</v>
      </c>
      <c r="S86" t="s">
        <v>130</v>
      </c>
      <c r="T86" t="s">
        <v>251</v>
      </c>
      <c r="U86" t="s">
        <v>340</v>
      </c>
      <c r="V86" t="b">
        <f t="shared" si="6"/>
        <v>0</v>
      </c>
      <c r="W86" t="b">
        <f>AND(OR(WEEKDAY(C86,2)=5,WEEKDAY(C86,2)=6),'01_Parameters'!$C$11="Enabled")</f>
        <v>0</v>
      </c>
      <c r="X86" t="b">
        <f t="shared" si="7"/>
        <v>1</v>
      </c>
      <c r="Y86" t="b">
        <f t="shared" si="8"/>
        <v>0</v>
      </c>
      <c r="Z86" t="b">
        <f t="shared" si="9"/>
        <v>0</v>
      </c>
    </row>
    <row r="87" spans="1:26" ht="15" customHeight="1">
      <c r="A87" t="s">
        <v>342</v>
      </c>
      <c r="B87" t="s">
        <v>343</v>
      </c>
      <c r="C87" s="14">
        <v>45743</v>
      </c>
      <c r="D87" s="14">
        <v>45740</v>
      </c>
      <c r="E87">
        <v>2025</v>
      </c>
      <c r="F87">
        <v>3</v>
      </c>
      <c r="G87" t="s">
        <v>122</v>
      </c>
      <c r="H87" t="s">
        <v>123</v>
      </c>
      <c r="I87" t="s">
        <v>124</v>
      </c>
      <c r="J87" s="15">
        <v>12990.5</v>
      </c>
      <c r="K87" s="15">
        <v>0</v>
      </c>
      <c r="L87" s="15">
        <f t="shared" si="5"/>
        <v>12990.5</v>
      </c>
      <c r="M87" t="s">
        <v>209</v>
      </c>
      <c r="N87" t="s">
        <v>344</v>
      </c>
      <c r="O87" t="s">
        <v>211</v>
      </c>
      <c r="P87" t="s">
        <v>151</v>
      </c>
      <c r="Q87" t="s">
        <v>128</v>
      </c>
      <c r="R87" s="16">
        <v>45743.916666666701</v>
      </c>
      <c r="S87" t="s">
        <v>130</v>
      </c>
      <c r="T87" t="s">
        <v>251</v>
      </c>
      <c r="U87" t="s">
        <v>344</v>
      </c>
      <c r="V87" t="b">
        <f t="shared" si="6"/>
        <v>0</v>
      </c>
      <c r="W87" t="b">
        <f>AND(OR(WEEKDAY(C87,2)=5,WEEKDAY(C87,2)=6),'01_Parameters'!$C$11="Enabled")</f>
        <v>0</v>
      </c>
      <c r="X87" t="b">
        <f t="shared" si="7"/>
        <v>1</v>
      </c>
      <c r="Y87" t="b">
        <f t="shared" si="8"/>
        <v>0</v>
      </c>
      <c r="Z87" t="b">
        <f t="shared" si="9"/>
        <v>0</v>
      </c>
    </row>
    <row r="88" spans="1:26" ht="15" customHeight="1">
      <c r="A88" t="s">
        <v>342</v>
      </c>
      <c r="B88" t="s">
        <v>345</v>
      </c>
      <c r="C88" s="14">
        <v>45743</v>
      </c>
      <c r="D88" s="14">
        <v>45740</v>
      </c>
      <c r="E88">
        <v>2025</v>
      </c>
      <c r="F88">
        <v>3</v>
      </c>
      <c r="G88" t="s">
        <v>132</v>
      </c>
      <c r="H88" t="s">
        <v>133</v>
      </c>
      <c r="I88" t="s">
        <v>134</v>
      </c>
      <c r="J88" s="15">
        <v>0</v>
      </c>
      <c r="K88" s="15">
        <v>12990.5</v>
      </c>
      <c r="L88" s="15">
        <f t="shared" si="5"/>
        <v>-12990.5</v>
      </c>
      <c r="M88" t="s">
        <v>209</v>
      </c>
      <c r="N88" t="s">
        <v>344</v>
      </c>
      <c r="O88" t="s">
        <v>211</v>
      </c>
      <c r="P88" t="s">
        <v>151</v>
      </c>
      <c r="Q88" t="s">
        <v>128</v>
      </c>
      <c r="R88" s="16">
        <v>45743.916666666701</v>
      </c>
      <c r="S88" t="s">
        <v>130</v>
      </c>
      <c r="T88" t="s">
        <v>251</v>
      </c>
      <c r="U88" t="s">
        <v>344</v>
      </c>
      <c r="V88" t="b">
        <f t="shared" si="6"/>
        <v>0</v>
      </c>
      <c r="W88" t="b">
        <f>AND(OR(WEEKDAY(C88,2)=5,WEEKDAY(C88,2)=6),'01_Parameters'!$C$11="Enabled")</f>
        <v>0</v>
      </c>
      <c r="X88" t="b">
        <f t="shared" si="7"/>
        <v>1</v>
      </c>
      <c r="Y88" t="b">
        <f t="shared" si="8"/>
        <v>0</v>
      </c>
      <c r="Z88" t="b">
        <f t="shared" si="9"/>
        <v>0</v>
      </c>
    </row>
    <row r="89" spans="1:26" ht="15" customHeight="1">
      <c r="A89" t="s">
        <v>346</v>
      </c>
      <c r="B89" t="s">
        <v>347</v>
      </c>
      <c r="C89" s="14">
        <v>45694</v>
      </c>
      <c r="D89" s="14">
        <v>45690</v>
      </c>
      <c r="E89">
        <v>2025</v>
      </c>
      <c r="F89">
        <v>2</v>
      </c>
      <c r="G89" t="s">
        <v>122</v>
      </c>
      <c r="H89" t="s">
        <v>123</v>
      </c>
      <c r="I89" t="s">
        <v>124</v>
      </c>
      <c r="J89" s="15">
        <v>4265.6499999999996</v>
      </c>
      <c r="K89" s="15">
        <v>0</v>
      </c>
      <c r="L89" s="15">
        <f t="shared" si="5"/>
        <v>4265.6499999999996</v>
      </c>
      <c r="M89" t="s">
        <v>209</v>
      </c>
      <c r="N89" t="s">
        <v>348</v>
      </c>
      <c r="O89" t="s">
        <v>211</v>
      </c>
      <c r="P89" t="s">
        <v>175</v>
      </c>
      <c r="Q89" t="s">
        <v>150</v>
      </c>
      <c r="R89" s="16">
        <v>45694.6875</v>
      </c>
      <c r="S89" t="s">
        <v>130</v>
      </c>
      <c r="T89" t="s">
        <v>349</v>
      </c>
      <c r="U89" t="s">
        <v>348</v>
      </c>
      <c r="V89" t="b">
        <f t="shared" si="6"/>
        <v>0</v>
      </c>
      <c r="W89" t="b">
        <f>AND(OR(WEEKDAY(C89,2)=5,WEEKDAY(C89,2)=6),'01_Parameters'!$C$11="Enabled")</f>
        <v>0</v>
      </c>
      <c r="X89" t="b">
        <f t="shared" si="7"/>
        <v>0</v>
      </c>
      <c r="Y89" t="b">
        <f t="shared" si="8"/>
        <v>0</v>
      </c>
      <c r="Z89" t="b">
        <f t="shared" si="9"/>
        <v>0</v>
      </c>
    </row>
    <row r="90" spans="1:26" ht="15" customHeight="1">
      <c r="A90" t="s">
        <v>346</v>
      </c>
      <c r="B90" t="s">
        <v>350</v>
      </c>
      <c r="C90" s="14">
        <v>45694</v>
      </c>
      <c r="D90" s="14">
        <v>45690</v>
      </c>
      <c r="E90">
        <v>2025</v>
      </c>
      <c r="F90">
        <v>2</v>
      </c>
      <c r="G90" t="s">
        <v>132</v>
      </c>
      <c r="H90" t="s">
        <v>133</v>
      </c>
      <c r="I90" t="s">
        <v>134</v>
      </c>
      <c r="J90" s="15">
        <v>0</v>
      </c>
      <c r="K90" s="15">
        <v>4265.6499999999996</v>
      </c>
      <c r="L90" s="15">
        <f t="shared" si="5"/>
        <v>-4265.6499999999996</v>
      </c>
      <c r="M90" t="s">
        <v>209</v>
      </c>
      <c r="N90" t="s">
        <v>348</v>
      </c>
      <c r="O90" t="s">
        <v>211</v>
      </c>
      <c r="P90" t="s">
        <v>175</v>
      </c>
      <c r="Q90" t="s">
        <v>150</v>
      </c>
      <c r="R90" s="16">
        <v>45694.6875</v>
      </c>
      <c r="S90" t="s">
        <v>130</v>
      </c>
      <c r="T90" t="s">
        <v>349</v>
      </c>
      <c r="U90" t="s">
        <v>348</v>
      </c>
      <c r="V90" t="b">
        <f t="shared" si="6"/>
        <v>0</v>
      </c>
      <c r="W90" t="b">
        <f>AND(OR(WEEKDAY(C90,2)=5,WEEKDAY(C90,2)=6),'01_Parameters'!$C$11="Enabled")</f>
        <v>0</v>
      </c>
      <c r="X90" t="b">
        <f t="shared" si="7"/>
        <v>0</v>
      </c>
      <c r="Y90" t="b">
        <f t="shared" si="8"/>
        <v>0</v>
      </c>
      <c r="Z90" t="b">
        <f t="shared" si="9"/>
        <v>0</v>
      </c>
    </row>
    <row r="91" spans="1:26" ht="15" customHeight="1">
      <c r="A91" t="s">
        <v>351</v>
      </c>
      <c r="B91" t="s">
        <v>352</v>
      </c>
      <c r="C91" s="14">
        <v>45681</v>
      </c>
      <c r="D91" s="14">
        <v>45680</v>
      </c>
      <c r="E91">
        <v>2025</v>
      </c>
      <c r="F91">
        <v>1</v>
      </c>
      <c r="G91" t="s">
        <v>144</v>
      </c>
      <c r="H91" t="s">
        <v>145</v>
      </c>
      <c r="I91" t="s">
        <v>146</v>
      </c>
      <c r="J91" s="15">
        <v>21797.53</v>
      </c>
      <c r="K91" s="15">
        <v>0</v>
      </c>
      <c r="L91" s="15">
        <f t="shared" si="5"/>
        <v>21797.53</v>
      </c>
      <c r="M91" t="s">
        <v>147</v>
      </c>
      <c r="N91" t="s">
        <v>353</v>
      </c>
      <c r="O91" t="s">
        <v>149</v>
      </c>
      <c r="P91" t="s">
        <v>140</v>
      </c>
      <c r="Q91" t="s">
        <v>150</v>
      </c>
      <c r="R91" s="16">
        <v>45681.645833333299</v>
      </c>
      <c r="S91" t="s">
        <v>130</v>
      </c>
      <c r="V91" t="b">
        <f t="shared" si="6"/>
        <v>0</v>
      </c>
      <c r="W91" t="b">
        <f>AND(OR(WEEKDAY(C91,2)=5,WEEKDAY(C91,2)=6),'01_Parameters'!$C$11="Enabled")</f>
        <v>1</v>
      </c>
      <c r="X91" t="b">
        <f t="shared" si="7"/>
        <v>0</v>
      </c>
      <c r="Y91" t="b">
        <f t="shared" si="8"/>
        <v>0</v>
      </c>
      <c r="Z91" t="b">
        <f t="shared" si="9"/>
        <v>0</v>
      </c>
    </row>
    <row r="92" spans="1:26" ht="15" customHeight="1">
      <c r="A92" t="s">
        <v>351</v>
      </c>
      <c r="B92" t="s">
        <v>354</v>
      </c>
      <c r="C92" s="14">
        <v>45681</v>
      </c>
      <c r="D92" s="14">
        <v>45680</v>
      </c>
      <c r="E92">
        <v>2025</v>
      </c>
      <c r="F92">
        <v>1</v>
      </c>
      <c r="G92" t="s">
        <v>153</v>
      </c>
      <c r="H92" t="s">
        <v>154</v>
      </c>
      <c r="I92" t="s">
        <v>155</v>
      </c>
      <c r="J92" s="15">
        <v>0</v>
      </c>
      <c r="K92" s="15">
        <v>21797.53</v>
      </c>
      <c r="L92" s="15">
        <f t="shared" si="5"/>
        <v>-21797.53</v>
      </c>
      <c r="M92" t="s">
        <v>147</v>
      </c>
      <c r="N92" t="s">
        <v>353</v>
      </c>
      <c r="O92" t="s">
        <v>149</v>
      </c>
      <c r="P92" t="s">
        <v>140</v>
      </c>
      <c r="Q92" t="s">
        <v>150</v>
      </c>
      <c r="R92" s="16">
        <v>45681.645833333299</v>
      </c>
      <c r="S92" t="s">
        <v>130</v>
      </c>
      <c r="V92" t="b">
        <f t="shared" si="6"/>
        <v>0</v>
      </c>
      <c r="W92" t="b">
        <f>AND(OR(WEEKDAY(C92,2)=5,WEEKDAY(C92,2)=6),'01_Parameters'!$C$11="Enabled")</f>
        <v>1</v>
      </c>
      <c r="X92" t="b">
        <f t="shared" si="7"/>
        <v>0</v>
      </c>
      <c r="Y92" t="b">
        <f t="shared" si="8"/>
        <v>0</v>
      </c>
      <c r="Z92" t="b">
        <f t="shared" si="9"/>
        <v>0</v>
      </c>
    </row>
    <row r="93" spans="1:26" ht="15" customHeight="1">
      <c r="A93" t="s">
        <v>355</v>
      </c>
      <c r="B93" t="s">
        <v>356</v>
      </c>
      <c r="C93" s="14">
        <v>45876</v>
      </c>
      <c r="D93" s="14">
        <v>45871</v>
      </c>
      <c r="E93">
        <v>2025</v>
      </c>
      <c r="F93">
        <v>8</v>
      </c>
      <c r="G93" t="s">
        <v>137</v>
      </c>
      <c r="H93" t="s">
        <v>138</v>
      </c>
      <c r="I93" t="s">
        <v>124</v>
      </c>
      <c r="J93" s="15">
        <v>145000</v>
      </c>
      <c r="K93" s="15">
        <v>0</v>
      </c>
      <c r="L93" s="15">
        <f t="shared" si="5"/>
        <v>145000</v>
      </c>
      <c r="M93" t="s">
        <v>209</v>
      </c>
      <c r="N93" t="s">
        <v>357</v>
      </c>
      <c r="O93" t="s">
        <v>211</v>
      </c>
      <c r="P93" t="s">
        <v>175</v>
      </c>
      <c r="Q93" t="s">
        <v>150</v>
      </c>
      <c r="R93" s="16">
        <v>45876.864583333299</v>
      </c>
      <c r="S93" t="s">
        <v>130</v>
      </c>
      <c r="T93" t="s">
        <v>229</v>
      </c>
      <c r="U93" t="s">
        <v>357</v>
      </c>
      <c r="V93" t="b">
        <f t="shared" si="6"/>
        <v>0</v>
      </c>
      <c r="W93" t="b">
        <f>AND(OR(WEEKDAY(C93,2)=5,WEEKDAY(C93,2)=6),'01_Parameters'!$C$11="Enabled")</f>
        <v>0</v>
      </c>
      <c r="X93" t="b">
        <f t="shared" si="7"/>
        <v>1</v>
      </c>
      <c r="Y93" t="b">
        <f t="shared" si="8"/>
        <v>1</v>
      </c>
      <c r="Z93" t="b">
        <f t="shared" si="9"/>
        <v>0</v>
      </c>
    </row>
    <row r="94" spans="1:26" ht="15" customHeight="1">
      <c r="A94" t="s">
        <v>355</v>
      </c>
      <c r="B94" t="s">
        <v>358</v>
      </c>
      <c r="C94" s="14">
        <v>45876</v>
      </c>
      <c r="D94" s="14">
        <v>45871</v>
      </c>
      <c r="E94">
        <v>2025</v>
      </c>
      <c r="F94">
        <v>8</v>
      </c>
      <c r="G94" t="s">
        <v>132</v>
      </c>
      <c r="H94" t="s">
        <v>133</v>
      </c>
      <c r="I94" t="s">
        <v>134</v>
      </c>
      <c r="J94" s="15">
        <v>0</v>
      </c>
      <c r="K94" s="15">
        <v>145000</v>
      </c>
      <c r="L94" s="15">
        <f t="shared" si="5"/>
        <v>-145000</v>
      </c>
      <c r="M94" t="s">
        <v>209</v>
      </c>
      <c r="N94" t="s">
        <v>357</v>
      </c>
      <c r="O94" t="s">
        <v>211</v>
      </c>
      <c r="P94" t="s">
        <v>175</v>
      </c>
      <c r="Q94" t="s">
        <v>150</v>
      </c>
      <c r="R94" s="16">
        <v>45876.864583333299</v>
      </c>
      <c r="S94" t="s">
        <v>130</v>
      </c>
      <c r="T94" t="s">
        <v>229</v>
      </c>
      <c r="U94" t="s">
        <v>357</v>
      </c>
      <c r="V94" t="b">
        <f t="shared" si="6"/>
        <v>0</v>
      </c>
      <c r="W94" t="b">
        <f>AND(OR(WEEKDAY(C94,2)=5,WEEKDAY(C94,2)=6),'01_Parameters'!$C$11="Enabled")</f>
        <v>0</v>
      </c>
      <c r="X94" t="b">
        <f t="shared" si="7"/>
        <v>1</v>
      </c>
      <c r="Y94" t="b">
        <f t="shared" si="8"/>
        <v>1</v>
      </c>
      <c r="Z94" t="b">
        <f t="shared" si="9"/>
        <v>0</v>
      </c>
    </row>
    <row r="95" spans="1:26" ht="15" customHeight="1">
      <c r="A95" t="s">
        <v>359</v>
      </c>
      <c r="B95" t="s">
        <v>360</v>
      </c>
      <c r="C95" s="14">
        <v>45784</v>
      </c>
      <c r="D95" s="14">
        <v>45782</v>
      </c>
      <c r="E95">
        <v>2025</v>
      </c>
      <c r="F95">
        <v>5</v>
      </c>
      <c r="G95" t="s">
        <v>158</v>
      </c>
      <c r="H95" t="s">
        <v>159</v>
      </c>
      <c r="I95" t="s">
        <v>124</v>
      </c>
      <c r="J95" s="15">
        <v>2364.12</v>
      </c>
      <c r="K95" s="15">
        <v>0</v>
      </c>
      <c r="L95" s="15">
        <f t="shared" si="5"/>
        <v>2364.12</v>
      </c>
      <c r="M95" t="s">
        <v>160</v>
      </c>
      <c r="N95" t="s">
        <v>361</v>
      </c>
      <c r="O95" t="s">
        <v>162</v>
      </c>
      <c r="P95" t="s">
        <v>151</v>
      </c>
      <c r="Q95" t="s">
        <v>128</v>
      </c>
      <c r="R95" s="16">
        <v>45784.489583333299</v>
      </c>
      <c r="S95" t="s">
        <v>130</v>
      </c>
      <c r="V95" t="b">
        <f t="shared" si="6"/>
        <v>0</v>
      </c>
      <c r="W95" t="b">
        <f>AND(OR(WEEKDAY(C95,2)=5,WEEKDAY(C95,2)=6),'01_Parameters'!$C$11="Enabled")</f>
        <v>0</v>
      </c>
      <c r="X95" t="b">
        <f t="shared" si="7"/>
        <v>0</v>
      </c>
      <c r="Y95" t="b">
        <f t="shared" si="8"/>
        <v>0</v>
      </c>
      <c r="Z95" t="b">
        <f t="shared" si="9"/>
        <v>0</v>
      </c>
    </row>
    <row r="96" spans="1:26" ht="15" customHeight="1">
      <c r="A96" t="s">
        <v>359</v>
      </c>
      <c r="B96" t="s">
        <v>362</v>
      </c>
      <c r="C96" s="14">
        <v>45784</v>
      </c>
      <c r="D96" s="14">
        <v>45782</v>
      </c>
      <c r="E96">
        <v>2025</v>
      </c>
      <c r="F96">
        <v>5</v>
      </c>
      <c r="G96" t="s">
        <v>164</v>
      </c>
      <c r="H96" t="s">
        <v>165</v>
      </c>
      <c r="I96" t="s">
        <v>146</v>
      </c>
      <c r="J96" s="15">
        <v>0</v>
      </c>
      <c r="K96" s="15">
        <v>2364.12</v>
      </c>
      <c r="L96" s="15">
        <f t="shared" si="5"/>
        <v>-2364.12</v>
      </c>
      <c r="M96" t="s">
        <v>160</v>
      </c>
      <c r="N96" t="s">
        <v>361</v>
      </c>
      <c r="O96" t="s">
        <v>162</v>
      </c>
      <c r="P96" t="s">
        <v>151</v>
      </c>
      <c r="Q96" t="s">
        <v>128</v>
      </c>
      <c r="R96" s="16">
        <v>45784.489583333299</v>
      </c>
      <c r="S96" t="s">
        <v>130</v>
      </c>
      <c r="V96" t="b">
        <f t="shared" si="6"/>
        <v>0</v>
      </c>
      <c r="W96" t="b">
        <f>AND(OR(WEEKDAY(C96,2)=5,WEEKDAY(C96,2)=6),'01_Parameters'!$C$11="Enabled")</f>
        <v>0</v>
      </c>
      <c r="X96" t="b">
        <f t="shared" si="7"/>
        <v>0</v>
      </c>
      <c r="Y96" t="b">
        <f t="shared" si="8"/>
        <v>0</v>
      </c>
      <c r="Z96" t="b">
        <f t="shared" si="9"/>
        <v>0</v>
      </c>
    </row>
    <row r="97" spans="1:26" ht="15" customHeight="1">
      <c r="A97" t="s">
        <v>363</v>
      </c>
      <c r="B97" t="s">
        <v>364</v>
      </c>
      <c r="C97" s="14">
        <v>45739</v>
      </c>
      <c r="D97" s="14">
        <v>45737</v>
      </c>
      <c r="E97">
        <v>2025</v>
      </c>
      <c r="F97">
        <v>3</v>
      </c>
      <c r="G97" t="s">
        <v>144</v>
      </c>
      <c r="H97" t="s">
        <v>145</v>
      </c>
      <c r="I97" t="s">
        <v>146</v>
      </c>
      <c r="J97" s="15">
        <v>48342.6</v>
      </c>
      <c r="K97" s="15">
        <v>0</v>
      </c>
      <c r="L97" s="15">
        <f t="shared" si="5"/>
        <v>48342.6</v>
      </c>
      <c r="M97" t="s">
        <v>147</v>
      </c>
      <c r="N97" t="s">
        <v>365</v>
      </c>
      <c r="O97" t="s">
        <v>149</v>
      </c>
      <c r="P97" t="s">
        <v>140</v>
      </c>
      <c r="Q97" t="s">
        <v>150</v>
      </c>
      <c r="R97" s="16">
        <v>45739.6875</v>
      </c>
      <c r="S97" t="s">
        <v>130</v>
      </c>
      <c r="V97" t="b">
        <f t="shared" si="6"/>
        <v>0</v>
      </c>
      <c r="W97" t="b">
        <f>AND(OR(WEEKDAY(C97,2)=5,WEEKDAY(C97,2)=6),'01_Parameters'!$C$11="Enabled")</f>
        <v>0</v>
      </c>
      <c r="X97" t="b">
        <f t="shared" si="7"/>
        <v>0</v>
      </c>
      <c r="Y97" t="b">
        <f t="shared" si="8"/>
        <v>0</v>
      </c>
      <c r="Z97" t="b">
        <f t="shared" si="9"/>
        <v>0</v>
      </c>
    </row>
    <row r="98" spans="1:26" ht="15" customHeight="1">
      <c r="A98" t="s">
        <v>363</v>
      </c>
      <c r="B98" t="s">
        <v>366</v>
      </c>
      <c r="C98" s="14">
        <v>45739</v>
      </c>
      <c r="D98" s="14">
        <v>45737</v>
      </c>
      <c r="E98">
        <v>2025</v>
      </c>
      <c r="F98">
        <v>3</v>
      </c>
      <c r="G98" t="s">
        <v>153</v>
      </c>
      <c r="H98" t="s">
        <v>154</v>
      </c>
      <c r="I98" t="s">
        <v>155</v>
      </c>
      <c r="J98" s="15">
        <v>0</v>
      </c>
      <c r="K98" s="15">
        <v>48342.6</v>
      </c>
      <c r="L98" s="15">
        <f t="shared" si="5"/>
        <v>-48342.6</v>
      </c>
      <c r="M98" t="s">
        <v>147</v>
      </c>
      <c r="N98" t="s">
        <v>365</v>
      </c>
      <c r="O98" t="s">
        <v>149</v>
      </c>
      <c r="P98" t="s">
        <v>140</v>
      </c>
      <c r="Q98" t="s">
        <v>150</v>
      </c>
      <c r="R98" s="16">
        <v>45739.6875</v>
      </c>
      <c r="S98" t="s">
        <v>130</v>
      </c>
      <c r="V98" t="b">
        <f t="shared" si="6"/>
        <v>0</v>
      </c>
      <c r="W98" t="b">
        <f>AND(OR(WEEKDAY(C98,2)=5,WEEKDAY(C98,2)=6),'01_Parameters'!$C$11="Enabled")</f>
        <v>0</v>
      </c>
      <c r="X98" t="b">
        <f t="shared" si="7"/>
        <v>0</v>
      </c>
      <c r="Y98" t="b">
        <f t="shared" si="8"/>
        <v>0</v>
      </c>
      <c r="Z98" t="b">
        <f t="shared" si="9"/>
        <v>0</v>
      </c>
    </row>
    <row r="99" spans="1:26" ht="15" customHeight="1">
      <c r="A99" t="s">
        <v>367</v>
      </c>
      <c r="B99" t="s">
        <v>368</v>
      </c>
      <c r="C99" s="14">
        <v>45726</v>
      </c>
      <c r="D99" s="14">
        <v>45725</v>
      </c>
      <c r="E99">
        <v>2025</v>
      </c>
      <c r="F99">
        <v>3</v>
      </c>
      <c r="G99" t="s">
        <v>334</v>
      </c>
      <c r="H99" t="s">
        <v>335</v>
      </c>
      <c r="I99" t="s">
        <v>124</v>
      </c>
      <c r="J99" s="15">
        <v>163301.84</v>
      </c>
      <c r="K99" s="15">
        <v>0</v>
      </c>
      <c r="L99" s="15">
        <f t="shared" si="5"/>
        <v>163301.84</v>
      </c>
      <c r="M99" t="s">
        <v>125</v>
      </c>
      <c r="N99" t="s">
        <v>369</v>
      </c>
      <c r="O99" t="s">
        <v>127</v>
      </c>
      <c r="P99" t="s">
        <v>129</v>
      </c>
      <c r="Q99" t="s">
        <v>150</v>
      </c>
      <c r="R99" s="16">
        <v>45726.635416666701</v>
      </c>
      <c r="S99" t="s">
        <v>130</v>
      </c>
      <c r="V99" t="b">
        <f t="shared" si="6"/>
        <v>0</v>
      </c>
      <c r="W99" t="b">
        <f>AND(OR(WEEKDAY(C99,2)=5,WEEKDAY(C99,2)=6),'01_Parameters'!$C$11="Enabled")</f>
        <v>0</v>
      </c>
      <c r="X99" t="b">
        <f t="shared" si="7"/>
        <v>0</v>
      </c>
      <c r="Y99" t="b">
        <f t="shared" si="8"/>
        <v>1</v>
      </c>
      <c r="Z99" t="b">
        <f t="shared" si="9"/>
        <v>0</v>
      </c>
    </row>
    <row r="100" spans="1:26" ht="15" customHeight="1">
      <c r="A100" t="s">
        <v>367</v>
      </c>
      <c r="B100" t="s">
        <v>370</v>
      </c>
      <c r="C100" s="14">
        <v>45726</v>
      </c>
      <c r="D100" s="14">
        <v>45725</v>
      </c>
      <c r="E100">
        <v>2025</v>
      </c>
      <c r="F100">
        <v>3</v>
      </c>
      <c r="G100" t="s">
        <v>132</v>
      </c>
      <c r="H100" t="s">
        <v>133</v>
      </c>
      <c r="I100" t="s">
        <v>134</v>
      </c>
      <c r="J100" s="15">
        <v>0</v>
      </c>
      <c r="K100" s="15">
        <v>163301.84</v>
      </c>
      <c r="L100" s="15">
        <f t="shared" si="5"/>
        <v>-163301.84</v>
      </c>
      <c r="M100" t="s">
        <v>125</v>
      </c>
      <c r="N100" t="s">
        <v>369</v>
      </c>
      <c r="O100" t="s">
        <v>127</v>
      </c>
      <c r="P100" t="s">
        <v>129</v>
      </c>
      <c r="Q100" t="s">
        <v>150</v>
      </c>
      <c r="R100" s="16">
        <v>45726.635416666701</v>
      </c>
      <c r="S100" t="s">
        <v>130</v>
      </c>
      <c r="V100" t="b">
        <f t="shared" si="6"/>
        <v>0</v>
      </c>
      <c r="W100" t="b">
        <f>AND(OR(WEEKDAY(C100,2)=5,WEEKDAY(C100,2)=6),'01_Parameters'!$C$11="Enabled")</f>
        <v>0</v>
      </c>
      <c r="X100" t="b">
        <f t="shared" si="7"/>
        <v>0</v>
      </c>
      <c r="Y100" t="b">
        <f t="shared" si="8"/>
        <v>1</v>
      </c>
      <c r="Z100" t="b">
        <f t="shared" si="9"/>
        <v>0</v>
      </c>
    </row>
    <row r="101" spans="1:26" ht="15" customHeight="1">
      <c r="A101" t="s">
        <v>371</v>
      </c>
      <c r="B101" t="s">
        <v>372</v>
      </c>
      <c r="C101" s="14">
        <v>45686</v>
      </c>
      <c r="D101" s="14">
        <v>45681</v>
      </c>
      <c r="E101">
        <v>2025</v>
      </c>
      <c r="F101">
        <v>1</v>
      </c>
      <c r="G101" t="s">
        <v>193</v>
      </c>
      <c r="H101" t="s">
        <v>194</v>
      </c>
      <c r="I101" t="s">
        <v>124</v>
      </c>
      <c r="J101" s="15">
        <v>76858.06</v>
      </c>
      <c r="K101" s="15">
        <v>0</v>
      </c>
      <c r="L101" s="15">
        <f t="shared" si="5"/>
        <v>76858.06</v>
      </c>
      <c r="M101" t="s">
        <v>195</v>
      </c>
      <c r="N101" t="s">
        <v>373</v>
      </c>
      <c r="O101" t="s">
        <v>197</v>
      </c>
      <c r="P101" t="s">
        <v>150</v>
      </c>
      <c r="Q101" t="s">
        <v>128</v>
      </c>
      <c r="R101" s="16">
        <v>45686.59375</v>
      </c>
      <c r="S101" t="s">
        <v>130</v>
      </c>
      <c r="V101" t="b">
        <f t="shared" si="6"/>
        <v>0</v>
      </c>
      <c r="W101" t="b">
        <f>AND(OR(WEEKDAY(C101,2)=5,WEEKDAY(C101,2)=6),'01_Parameters'!$C$11="Enabled")</f>
        <v>0</v>
      </c>
      <c r="X101" t="b">
        <f t="shared" si="7"/>
        <v>0</v>
      </c>
      <c r="Y101" t="b">
        <f t="shared" si="8"/>
        <v>0</v>
      </c>
      <c r="Z101" t="b">
        <f t="shared" si="9"/>
        <v>0</v>
      </c>
    </row>
    <row r="102" spans="1:26" ht="15" customHeight="1">
      <c r="A102" t="s">
        <v>371</v>
      </c>
      <c r="B102" t="s">
        <v>374</v>
      </c>
      <c r="C102" s="14">
        <v>45686</v>
      </c>
      <c r="D102" s="14">
        <v>45681</v>
      </c>
      <c r="E102">
        <v>2025</v>
      </c>
      <c r="F102">
        <v>1</v>
      </c>
      <c r="G102" t="s">
        <v>199</v>
      </c>
      <c r="H102" t="s">
        <v>200</v>
      </c>
      <c r="I102" t="s">
        <v>146</v>
      </c>
      <c r="J102" s="15">
        <v>0</v>
      </c>
      <c r="K102" s="15">
        <v>76858.06</v>
      </c>
      <c r="L102" s="15">
        <f t="shared" si="5"/>
        <v>-76858.06</v>
      </c>
      <c r="M102" t="s">
        <v>195</v>
      </c>
      <c r="N102" t="s">
        <v>373</v>
      </c>
      <c r="O102" t="s">
        <v>197</v>
      </c>
      <c r="P102" t="s">
        <v>150</v>
      </c>
      <c r="Q102" t="s">
        <v>128</v>
      </c>
      <c r="R102" s="16">
        <v>45686.59375</v>
      </c>
      <c r="S102" t="s">
        <v>130</v>
      </c>
      <c r="V102" t="b">
        <f t="shared" si="6"/>
        <v>0</v>
      </c>
      <c r="W102" t="b">
        <f>AND(OR(WEEKDAY(C102,2)=5,WEEKDAY(C102,2)=6),'01_Parameters'!$C$11="Enabled")</f>
        <v>0</v>
      </c>
      <c r="X102" t="b">
        <f t="shared" si="7"/>
        <v>0</v>
      </c>
      <c r="Y102" t="b">
        <f t="shared" si="8"/>
        <v>0</v>
      </c>
      <c r="Z102" t="b">
        <f t="shared" si="9"/>
        <v>0</v>
      </c>
    </row>
    <row r="103" spans="1:26" ht="15" customHeight="1">
      <c r="A103" t="s">
        <v>375</v>
      </c>
      <c r="B103" t="s">
        <v>376</v>
      </c>
      <c r="C103" s="14">
        <v>45908</v>
      </c>
      <c r="D103" s="14">
        <v>45904</v>
      </c>
      <c r="E103">
        <v>2025</v>
      </c>
      <c r="F103">
        <v>9</v>
      </c>
      <c r="G103" t="s">
        <v>144</v>
      </c>
      <c r="H103" t="s">
        <v>145</v>
      </c>
      <c r="I103" t="s">
        <v>146</v>
      </c>
      <c r="J103" s="15">
        <v>11358.33</v>
      </c>
      <c r="K103" s="15">
        <v>0</v>
      </c>
      <c r="L103" s="15">
        <f t="shared" si="5"/>
        <v>11358.33</v>
      </c>
      <c r="M103" t="s">
        <v>147</v>
      </c>
      <c r="N103" t="s">
        <v>377</v>
      </c>
      <c r="O103" t="s">
        <v>149</v>
      </c>
      <c r="P103" t="s">
        <v>129</v>
      </c>
      <c r="Q103" t="s">
        <v>175</v>
      </c>
      <c r="R103" s="16">
        <v>45908.6875</v>
      </c>
      <c r="S103" t="s">
        <v>130</v>
      </c>
      <c r="V103" t="b">
        <f t="shared" si="6"/>
        <v>0</v>
      </c>
      <c r="W103" t="b">
        <f>AND(OR(WEEKDAY(C103,2)=5,WEEKDAY(C103,2)=6),'01_Parameters'!$C$11="Enabled")</f>
        <v>0</v>
      </c>
      <c r="X103" t="b">
        <f t="shared" si="7"/>
        <v>0</v>
      </c>
      <c r="Y103" t="b">
        <f t="shared" si="8"/>
        <v>0</v>
      </c>
      <c r="Z103" t="b">
        <f t="shared" si="9"/>
        <v>0</v>
      </c>
    </row>
    <row r="104" spans="1:26" ht="15" customHeight="1">
      <c r="A104" t="s">
        <v>375</v>
      </c>
      <c r="B104" t="s">
        <v>378</v>
      </c>
      <c r="C104" s="14">
        <v>45908</v>
      </c>
      <c r="D104" s="14">
        <v>45904</v>
      </c>
      <c r="E104">
        <v>2025</v>
      </c>
      <c r="F104">
        <v>9</v>
      </c>
      <c r="G104" t="s">
        <v>153</v>
      </c>
      <c r="H104" t="s">
        <v>154</v>
      </c>
      <c r="I104" t="s">
        <v>155</v>
      </c>
      <c r="J104" s="15">
        <v>0</v>
      </c>
      <c r="K104" s="15">
        <v>11358.33</v>
      </c>
      <c r="L104" s="15">
        <f t="shared" si="5"/>
        <v>-11358.33</v>
      </c>
      <c r="M104" t="s">
        <v>147</v>
      </c>
      <c r="N104" t="s">
        <v>377</v>
      </c>
      <c r="O104" t="s">
        <v>149</v>
      </c>
      <c r="P104" t="s">
        <v>129</v>
      </c>
      <c r="Q104" t="s">
        <v>175</v>
      </c>
      <c r="R104" s="16">
        <v>45908.6875</v>
      </c>
      <c r="S104" t="s">
        <v>130</v>
      </c>
      <c r="V104" t="b">
        <f t="shared" si="6"/>
        <v>0</v>
      </c>
      <c r="W104" t="b">
        <f>AND(OR(WEEKDAY(C104,2)=5,WEEKDAY(C104,2)=6),'01_Parameters'!$C$11="Enabled")</f>
        <v>0</v>
      </c>
      <c r="X104" t="b">
        <f t="shared" si="7"/>
        <v>0</v>
      </c>
      <c r="Y104" t="b">
        <f t="shared" si="8"/>
        <v>0</v>
      </c>
      <c r="Z104" t="b">
        <f t="shared" si="9"/>
        <v>0</v>
      </c>
    </row>
    <row r="105" spans="1:26" ht="15" customHeight="1">
      <c r="A105" t="s">
        <v>379</v>
      </c>
      <c r="B105" t="s">
        <v>380</v>
      </c>
      <c r="C105" s="14">
        <v>45780</v>
      </c>
      <c r="D105" s="14">
        <v>45775</v>
      </c>
      <c r="E105">
        <v>2025</v>
      </c>
      <c r="F105">
        <v>5</v>
      </c>
      <c r="G105" t="s">
        <v>122</v>
      </c>
      <c r="H105" t="s">
        <v>123</v>
      </c>
      <c r="I105" t="s">
        <v>124</v>
      </c>
      <c r="J105" s="15">
        <v>137339.26999999999</v>
      </c>
      <c r="K105" s="15">
        <v>0</v>
      </c>
      <c r="L105" s="15">
        <f t="shared" si="5"/>
        <v>137339.26999999999</v>
      </c>
      <c r="M105" t="s">
        <v>125</v>
      </c>
      <c r="N105" t="s">
        <v>381</v>
      </c>
      <c r="O105" t="s">
        <v>127</v>
      </c>
      <c r="P105" t="s">
        <v>140</v>
      </c>
      <c r="Q105" t="s">
        <v>151</v>
      </c>
      <c r="R105" s="16">
        <v>45780.625</v>
      </c>
      <c r="S105" t="s">
        <v>130</v>
      </c>
      <c r="V105" t="b">
        <f t="shared" si="6"/>
        <v>0</v>
      </c>
      <c r="W105" t="b">
        <f>AND(OR(WEEKDAY(C105,2)=5,WEEKDAY(C105,2)=6),'01_Parameters'!$C$11="Enabled")</f>
        <v>1</v>
      </c>
      <c r="X105" t="b">
        <f t="shared" si="7"/>
        <v>0</v>
      </c>
      <c r="Y105" t="b">
        <f t="shared" si="8"/>
        <v>1</v>
      </c>
      <c r="Z105" t="b">
        <f t="shared" si="9"/>
        <v>0</v>
      </c>
    </row>
    <row r="106" spans="1:26" ht="15" customHeight="1">
      <c r="A106" t="s">
        <v>379</v>
      </c>
      <c r="B106" t="s">
        <v>382</v>
      </c>
      <c r="C106" s="14">
        <v>45780</v>
      </c>
      <c r="D106" s="14">
        <v>45775</v>
      </c>
      <c r="E106">
        <v>2025</v>
      </c>
      <c r="F106">
        <v>5</v>
      </c>
      <c r="G106" t="s">
        <v>132</v>
      </c>
      <c r="H106" t="s">
        <v>133</v>
      </c>
      <c r="I106" t="s">
        <v>134</v>
      </c>
      <c r="J106" s="15">
        <v>0</v>
      </c>
      <c r="K106" s="15">
        <v>137339.26999999999</v>
      </c>
      <c r="L106" s="15">
        <f t="shared" si="5"/>
        <v>-137339.26999999999</v>
      </c>
      <c r="M106" t="s">
        <v>125</v>
      </c>
      <c r="N106" t="s">
        <v>381</v>
      </c>
      <c r="O106" t="s">
        <v>127</v>
      </c>
      <c r="P106" t="s">
        <v>140</v>
      </c>
      <c r="Q106" t="s">
        <v>151</v>
      </c>
      <c r="R106" s="16">
        <v>45780.625</v>
      </c>
      <c r="S106" t="s">
        <v>130</v>
      </c>
      <c r="V106" t="b">
        <f t="shared" si="6"/>
        <v>0</v>
      </c>
      <c r="W106" t="b">
        <f>AND(OR(WEEKDAY(C106,2)=5,WEEKDAY(C106,2)=6),'01_Parameters'!$C$11="Enabled")</f>
        <v>1</v>
      </c>
      <c r="X106" t="b">
        <f t="shared" si="7"/>
        <v>0</v>
      </c>
      <c r="Y106" t="b">
        <f t="shared" si="8"/>
        <v>1</v>
      </c>
      <c r="Z106" t="b">
        <f t="shared" si="9"/>
        <v>0</v>
      </c>
    </row>
    <row r="107" spans="1:26" ht="15" customHeight="1">
      <c r="A107" t="s">
        <v>383</v>
      </c>
      <c r="B107" t="s">
        <v>384</v>
      </c>
      <c r="C107" s="14">
        <v>45966</v>
      </c>
      <c r="D107" s="14">
        <v>45964</v>
      </c>
      <c r="E107">
        <v>2025</v>
      </c>
      <c r="F107">
        <v>11</v>
      </c>
      <c r="G107" t="s">
        <v>158</v>
      </c>
      <c r="H107" t="s">
        <v>159</v>
      </c>
      <c r="I107" t="s">
        <v>124</v>
      </c>
      <c r="J107" s="15">
        <v>34328.9</v>
      </c>
      <c r="K107" s="15">
        <v>0</v>
      </c>
      <c r="L107" s="15">
        <f t="shared" si="5"/>
        <v>34328.9</v>
      </c>
      <c r="M107" t="s">
        <v>160</v>
      </c>
      <c r="N107" t="s">
        <v>385</v>
      </c>
      <c r="O107" t="s">
        <v>162</v>
      </c>
      <c r="P107" t="s">
        <v>175</v>
      </c>
      <c r="Q107" t="s">
        <v>140</v>
      </c>
      <c r="R107" s="16">
        <v>45966.25</v>
      </c>
      <c r="S107" t="s">
        <v>130</v>
      </c>
      <c r="V107" t="b">
        <f t="shared" si="6"/>
        <v>0</v>
      </c>
      <c r="W107" t="b">
        <f>AND(OR(WEEKDAY(C107,2)=5,WEEKDAY(C107,2)=6),'01_Parameters'!$C$11="Enabled")</f>
        <v>0</v>
      </c>
      <c r="X107" t="b">
        <f t="shared" si="7"/>
        <v>1</v>
      </c>
      <c r="Y107" t="b">
        <f t="shared" si="8"/>
        <v>0</v>
      </c>
      <c r="Z107" t="b">
        <f t="shared" si="9"/>
        <v>0</v>
      </c>
    </row>
    <row r="108" spans="1:26" ht="15" customHeight="1">
      <c r="A108" t="s">
        <v>383</v>
      </c>
      <c r="B108" t="s">
        <v>386</v>
      </c>
      <c r="C108" s="14">
        <v>45966</v>
      </c>
      <c r="D108" s="14">
        <v>45964</v>
      </c>
      <c r="E108">
        <v>2025</v>
      </c>
      <c r="F108">
        <v>11</v>
      </c>
      <c r="G108" t="s">
        <v>164</v>
      </c>
      <c r="H108" t="s">
        <v>165</v>
      </c>
      <c r="I108" t="s">
        <v>146</v>
      </c>
      <c r="J108" s="15">
        <v>0</v>
      </c>
      <c r="K108" s="15">
        <v>34328.9</v>
      </c>
      <c r="L108" s="15">
        <f t="shared" si="5"/>
        <v>-34328.9</v>
      </c>
      <c r="M108" t="s">
        <v>160</v>
      </c>
      <c r="N108" t="s">
        <v>385</v>
      </c>
      <c r="O108" t="s">
        <v>162</v>
      </c>
      <c r="P108" t="s">
        <v>175</v>
      </c>
      <c r="Q108" t="s">
        <v>140</v>
      </c>
      <c r="R108" s="16">
        <v>45966.25</v>
      </c>
      <c r="S108" t="s">
        <v>130</v>
      </c>
      <c r="V108" t="b">
        <f t="shared" si="6"/>
        <v>0</v>
      </c>
      <c r="W108" t="b">
        <f>AND(OR(WEEKDAY(C108,2)=5,WEEKDAY(C108,2)=6),'01_Parameters'!$C$11="Enabled")</f>
        <v>0</v>
      </c>
      <c r="X108" t="b">
        <f t="shared" si="7"/>
        <v>1</v>
      </c>
      <c r="Y108" t="b">
        <f t="shared" si="8"/>
        <v>0</v>
      </c>
      <c r="Z108" t="b">
        <f t="shared" si="9"/>
        <v>0</v>
      </c>
    </row>
    <row r="109" spans="1:26" ht="15" customHeight="1">
      <c r="A109" t="s">
        <v>387</v>
      </c>
      <c r="B109" t="s">
        <v>388</v>
      </c>
      <c r="C109" s="14">
        <v>45721</v>
      </c>
      <c r="D109" s="14">
        <v>45720</v>
      </c>
      <c r="E109">
        <v>2025</v>
      </c>
      <c r="F109">
        <v>3</v>
      </c>
      <c r="G109" t="s">
        <v>193</v>
      </c>
      <c r="H109" t="s">
        <v>194</v>
      </c>
      <c r="I109" t="s">
        <v>124</v>
      </c>
      <c r="J109" s="15">
        <v>15133.98</v>
      </c>
      <c r="K109" s="15">
        <v>0</v>
      </c>
      <c r="L109" s="15">
        <f t="shared" si="5"/>
        <v>15133.98</v>
      </c>
      <c r="M109" t="s">
        <v>195</v>
      </c>
      <c r="N109" t="s">
        <v>389</v>
      </c>
      <c r="O109" t="s">
        <v>197</v>
      </c>
      <c r="P109" t="s">
        <v>175</v>
      </c>
      <c r="Q109" t="s">
        <v>151</v>
      </c>
      <c r="R109" s="16">
        <v>45721.885416666701</v>
      </c>
      <c r="S109" t="s">
        <v>130</v>
      </c>
      <c r="V109" t="b">
        <f t="shared" si="6"/>
        <v>0</v>
      </c>
      <c r="W109" t="b">
        <f>AND(OR(WEEKDAY(C109,2)=5,WEEKDAY(C109,2)=6),'01_Parameters'!$C$11="Enabled")</f>
        <v>0</v>
      </c>
      <c r="X109" t="b">
        <f t="shared" si="7"/>
        <v>1</v>
      </c>
      <c r="Y109" t="b">
        <f t="shared" si="8"/>
        <v>0</v>
      </c>
      <c r="Z109" t="b">
        <f t="shared" si="9"/>
        <v>0</v>
      </c>
    </row>
    <row r="110" spans="1:26" ht="15" customHeight="1">
      <c r="A110" t="s">
        <v>387</v>
      </c>
      <c r="B110" t="s">
        <v>390</v>
      </c>
      <c r="C110" s="14">
        <v>45721</v>
      </c>
      <c r="D110" s="14">
        <v>45720</v>
      </c>
      <c r="E110">
        <v>2025</v>
      </c>
      <c r="F110">
        <v>3</v>
      </c>
      <c r="G110" t="s">
        <v>199</v>
      </c>
      <c r="H110" t="s">
        <v>200</v>
      </c>
      <c r="I110" t="s">
        <v>146</v>
      </c>
      <c r="J110" s="15">
        <v>0</v>
      </c>
      <c r="K110" s="15">
        <v>15133.98</v>
      </c>
      <c r="L110" s="15">
        <f t="shared" si="5"/>
        <v>-15133.98</v>
      </c>
      <c r="M110" t="s">
        <v>195</v>
      </c>
      <c r="N110" t="s">
        <v>389</v>
      </c>
      <c r="O110" t="s">
        <v>197</v>
      </c>
      <c r="P110" t="s">
        <v>175</v>
      </c>
      <c r="Q110" t="s">
        <v>151</v>
      </c>
      <c r="R110" s="16">
        <v>45721.885416666701</v>
      </c>
      <c r="S110" t="s">
        <v>130</v>
      </c>
      <c r="V110" t="b">
        <f t="shared" si="6"/>
        <v>0</v>
      </c>
      <c r="W110" t="b">
        <f>AND(OR(WEEKDAY(C110,2)=5,WEEKDAY(C110,2)=6),'01_Parameters'!$C$11="Enabled")</f>
        <v>0</v>
      </c>
      <c r="X110" t="b">
        <f t="shared" si="7"/>
        <v>1</v>
      </c>
      <c r="Y110" t="b">
        <f t="shared" si="8"/>
        <v>0</v>
      </c>
      <c r="Z110" t="b">
        <f t="shared" si="9"/>
        <v>0</v>
      </c>
    </row>
    <row r="111" spans="1:26" ht="15" customHeight="1">
      <c r="A111" t="s">
        <v>391</v>
      </c>
      <c r="B111" t="s">
        <v>392</v>
      </c>
      <c r="C111" s="14">
        <v>45804</v>
      </c>
      <c r="D111" s="14">
        <v>45800</v>
      </c>
      <c r="E111">
        <v>2025</v>
      </c>
      <c r="F111">
        <v>5</v>
      </c>
      <c r="G111" t="s">
        <v>158</v>
      </c>
      <c r="H111" t="s">
        <v>159</v>
      </c>
      <c r="I111" t="s">
        <v>124</v>
      </c>
      <c r="J111" s="15">
        <v>54954.22</v>
      </c>
      <c r="K111" s="15">
        <v>0</v>
      </c>
      <c r="L111" s="15">
        <f t="shared" si="5"/>
        <v>54954.22</v>
      </c>
      <c r="M111" t="s">
        <v>160</v>
      </c>
      <c r="N111" t="s">
        <v>393</v>
      </c>
      <c r="O111" t="s">
        <v>162</v>
      </c>
      <c r="P111" t="s">
        <v>151</v>
      </c>
      <c r="Q111" t="s">
        <v>129</v>
      </c>
      <c r="R111" s="16">
        <v>45804.645833333299</v>
      </c>
      <c r="S111" t="s">
        <v>130</v>
      </c>
      <c r="V111" t="b">
        <f t="shared" si="6"/>
        <v>0</v>
      </c>
      <c r="W111" t="b">
        <f>AND(OR(WEEKDAY(C111,2)=5,WEEKDAY(C111,2)=6),'01_Parameters'!$C$11="Enabled")</f>
        <v>0</v>
      </c>
      <c r="X111" t="b">
        <f t="shared" si="7"/>
        <v>0</v>
      </c>
      <c r="Y111" t="b">
        <f t="shared" si="8"/>
        <v>0</v>
      </c>
      <c r="Z111" t="b">
        <f t="shared" si="9"/>
        <v>0</v>
      </c>
    </row>
    <row r="112" spans="1:26" ht="15" customHeight="1">
      <c r="A112" t="s">
        <v>391</v>
      </c>
      <c r="B112" t="s">
        <v>394</v>
      </c>
      <c r="C112" s="14">
        <v>45804</v>
      </c>
      <c r="D112" s="14">
        <v>45800</v>
      </c>
      <c r="E112">
        <v>2025</v>
      </c>
      <c r="F112">
        <v>5</v>
      </c>
      <c r="G112" t="s">
        <v>164</v>
      </c>
      <c r="H112" t="s">
        <v>165</v>
      </c>
      <c r="I112" t="s">
        <v>146</v>
      </c>
      <c r="J112" s="15">
        <v>0</v>
      </c>
      <c r="K112" s="15">
        <v>54954.22</v>
      </c>
      <c r="L112" s="15">
        <f t="shared" si="5"/>
        <v>-54954.22</v>
      </c>
      <c r="M112" t="s">
        <v>160</v>
      </c>
      <c r="N112" t="s">
        <v>393</v>
      </c>
      <c r="O112" t="s">
        <v>162</v>
      </c>
      <c r="P112" t="s">
        <v>151</v>
      </c>
      <c r="Q112" t="s">
        <v>129</v>
      </c>
      <c r="R112" s="16">
        <v>45804.645833333299</v>
      </c>
      <c r="S112" t="s">
        <v>130</v>
      </c>
      <c r="V112" t="b">
        <f t="shared" si="6"/>
        <v>0</v>
      </c>
      <c r="W112" t="b">
        <f>AND(OR(WEEKDAY(C112,2)=5,WEEKDAY(C112,2)=6),'01_Parameters'!$C$11="Enabled")</f>
        <v>0</v>
      </c>
      <c r="X112" t="b">
        <f t="shared" si="7"/>
        <v>0</v>
      </c>
      <c r="Y112" t="b">
        <f t="shared" si="8"/>
        <v>0</v>
      </c>
      <c r="Z112" t="b">
        <f t="shared" si="9"/>
        <v>0</v>
      </c>
    </row>
    <row r="113" spans="1:26" ht="15" customHeight="1">
      <c r="A113" t="s">
        <v>395</v>
      </c>
      <c r="B113" t="s">
        <v>396</v>
      </c>
      <c r="C113" s="14">
        <v>45904</v>
      </c>
      <c r="D113" s="14">
        <v>45899</v>
      </c>
      <c r="E113">
        <v>2025</v>
      </c>
      <c r="F113">
        <v>9</v>
      </c>
      <c r="G113" t="s">
        <v>179</v>
      </c>
      <c r="H113" t="s">
        <v>180</v>
      </c>
      <c r="I113" t="s">
        <v>124</v>
      </c>
      <c r="J113" s="15">
        <v>48259.98</v>
      </c>
      <c r="K113" s="15">
        <v>0</v>
      </c>
      <c r="L113" s="15">
        <f t="shared" si="5"/>
        <v>48259.98</v>
      </c>
      <c r="M113" t="s">
        <v>181</v>
      </c>
      <c r="N113" t="s">
        <v>397</v>
      </c>
      <c r="O113" t="s">
        <v>183</v>
      </c>
      <c r="P113" t="s">
        <v>140</v>
      </c>
      <c r="Q113" t="s">
        <v>128</v>
      </c>
      <c r="R113" s="16">
        <v>45904.479166666701</v>
      </c>
      <c r="S113" t="s">
        <v>130</v>
      </c>
      <c r="V113" t="b">
        <f t="shared" si="6"/>
        <v>0</v>
      </c>
      <c r="W113" t="b">
        <f>AND(OR(WEEKDAY(C113,2)=5,WEEKDAY(C113,2)=6),'01_Parameters'!$C$11="Enabled")</f>
        <v>0</v>
      </c>
      <c r="X113" t="b">
        <f t="shared" si="7"/>
        <v>0</v>
      </c>
      <c r="Y113" t="b">
        <f t="shared" si="8"/>
        <v>0</v>
      </c>
      <c r="Z113" t="b">
        <f t="shared" si="9"/>
        <v>0</v>
      </c>
    </row>
    <row r="114" spans="1:26" ht="15" customHeight="1">
      <c r="A114" t="s">
        <v>395</v>
      </c>
      <c r="B114" t="s">
        <v>398</v>
      </c>
      <c r="C114" s="14">
        <v>45904</v>
      </c>
      <c r="D114" s="14">
        <v>45899</v>
      </c>
      <c r="E114">
        <v>2025</v>
      </c>
      <c r="F114">
        <v>9</v>
      </c>
      <c r="G114" t="s">
        <v>185</v>
      </c>
      <c r="H114" t="s">
        <v>186</v>
      </c>
      <c r="I114" t="s">
        <v>134</v>
      </c>
      <c r="J114" s="15">
        <v>0</v>
      </c>
      <c r="K114" s="15">
        <v>48259.98</v>
      </c>
      <c r="L114" s="15">
        <f t="shared" si="5"/>
        <v>-48259.98</v>
      </c>
      <c r="M114" t="s">
        <v>181</v>
      </c>
      <c r="N114" t="s">
        <v>397</v>
      </c>
      <c r="O114" t="s">
        <v>183</v>
      </c>
      <c r="P114" t="s">
        <v>140</v>
      </c>
      <c r="Q114" t="s">
        <v>128</v>
      </c>
      <c r="R114" s="16">
        <v>45904.479166666701</v>
      </c>
      <c r="S114" t="s">
        <v>130</v>
      </c>
      <c r="V114" t="b">
        <f t="shared" si="6"/>
        <v>0</v>
      </c>
      <c r="W114" t="b">
        <f>AND(OR(WEEKDAY(C114,2)=5,WEEKDAY(C114,2)=6),'01_Parameters'!$C$11="Enabled")</f>
        <v>0</v>
      </c>
      <c r="X114" t="b">
        <f t="shared" si="7"/>
        <v>0</v>
      </c>
      <c r="Y114" t="b">
        <f t="shared" si="8"/>
        <v>0</v>
      </c>
      <c r="Z114" t="b">
        <f t="shared" si="9"/>
        <v>0</v>
      </c>
    </row>
    <row r="115" spans="1:26" ht="15" customHeight="1">
      <c r="A115" t="s">
        <v>399</v>
      </c>
      <c r="B115" t="s">
        <v>400</v>
      </c>
      <c r="C115" s="14">
        <v>45833</v>
      </c>
      <c r="D115" s="14">
        <v>45833</v>
      </c>
      <c r="E115">
        <v>2025</v>
      </c>
      <c r="F115">
        <v>6</v>
      </c>
      <c r="G115" t="s">
        <v>179</v>
      </c>
      <c r="H115" t="s">
        <v>180</v>
      </c>
      <c r="I115" t="s">
        <v>124</v>
      </c>
      <c r="J115" s="15">
        <v>38958.69</v>
      </c>
      <c r="K115" s="15">
        <v>0</v>
      </c>
      <c r="L115" s="15">
        <f t="shared" si="5"/>
        <v>38958.69</v>
      </c>
      <c r="M115" t="s">
        <v>181</v>
      </c>
      <c r="N115" t="s">
        <v>401</v>
      </c>
      <c r="O115" t="s">
        <v>183</v>
      </c>
      <c r="P115" t="s">
        <v>140</v>
      </c>
      <c r="Q115" t="s">
        <v>150</v>
      </c>
      <c r="R115" s="16">
        <v>45833.71875</v>
      </c>
      <c r="S115" t="s">
        <v>130</v>
      </c>
      <c r="V115" t="b">
        <f t="shared" si="6"/>
        <v>0</v>
      </c>
      <c r="W115" t="b">
        <f>AND(OR(WEEKDAY(C115,2)=5,WEEKDAY(C115,2)=6),'01_Parameters'!$C$11="Enabled")</f>
        <v>0</v>
      </c>
      <c r="X115" t="b">
        <f t="shared" si="7"/>
        <v>0</v>
      </c>
      <c r="Y115" t="b">
        <f t="shared" si="8"/>
        <v>0</v>
      </c>
      <c r="Z115" t="b">
        <f t="shared" si="9"/>
        <v>0</v>
      </c>
    </row>
    <row r="116" spans="1:26" ht="15" customHeight="1">
      <c r="A116" t="s">
        <v>399</v>
      </c>
      <c r="B116" t="s">
        <v>402</v>
      </c>
      <c r="C116" s="14">
        <v>45833</v>
      </c>
      <c r="D116" s="14">
        <v>45833</v>
      </c>
      <c r="E116">
        <v>2025</v>
      </c>
      <c r="F116">
        <v>6</v>
      </c>
      <c r="G116" t="s">
        <v>185</v>
      </c>
      <c r="H116" t="s">
        <v>186</v>
      </c>
      <c r="I116" t="s">
        <v>134</v>
      </c>
      <c r="J116" s="15">
        <v>0</v>
      </c>
      <c r="K116" s="15">
        <v>38958.69</v>
      </c>
      <c r="L116" s="15">
        <f t="shared" si="5"/>
        <v>-38958.69</v>
      </c>
      <c r="M116" t="s">
        <v>181</v>
      </c>
      <c r="N116" t="s">
        <v>401</v>
      </c>
      <c r="O116" t="s">
        <v>183</v>
      </c>
      <c r="P116" t="s">
        <v>140</v>
      </c>
      <c r="Q116" t="s">
        <v>150</v>
      </c>
      <c r="R116" s="16">
        <v>45833.71875</v>
      </c>
      <c r="S116" t="s">
        <v>130</v>
      </c>
      <c r="V116" t="b">
        <f t="shared" si="6"/>
        <v>0</v>
      </c>
      <c r="W116" t="b">
        <f>AND(OR(WEEKDAY(C116,2)=5,WEEKDAY(C116,2)=6),'01_Parameters'!$C$11="Enabled")</f>
        <v>0</v>
      </c>
      <c r="X116" t="b">
        <f t="shared" si="7"/>
        <v>0</v>
      </c>
      <c r="Y116" t="b">
        <f t="shared" si="8"/>
        <v>0</v>
      </c>
      <c r="Z116" t="b">
        <f t="shared" si="9"/>
        <v>0</v>
      </c>
    </row>
    <row r="117" spans="1:26" ht="15" customHeight="1">
      <c r="A117" t="s">
        <v>403</v>
      </c>
      <c r="B117" t="s">
        <v>404</v>
      </c>
      <c r="C117" s="14">
        <v>45866</v>
      </c>
      <c r="D117" s="14">
        <v>45864</v>
      </c>
      <c r="E117">
        <v>2025</v>
      </c>
      <c r="F117">
        <v>7</v>
      </c>
      <c r="G117" t="s">
        <v>193</v>
      </c>
      <c r="H117" t="s">
        <v>194</v>
      </c>
      <c r="I117" t="s">
        <v>124</v>
      </c>
      <c r="J117" s="15">
        <v>84617.07</v>
      </c>
      <c r="K117" s="15">
        <v>0</v>
      </c>
      <c r="L117" s="15">
        <f t="shared" si="5"/>
        <v>84617.07</v>
      </c>
      <c r="M117" t="s">
        <v>195</v>
      </c>
      <c r="N117" t="s">
        <v>405</v>
      </c>
      <c r="O117" t="s">
        <v>197</v>
      </c>
      <c r="P117" t="s">
        <v>140</v>
      </c>
      <c r="Q117" t="s">
        <v>129</v>
      </c>
      <c r="R117" s="16">
        <v>45866.416666666701</v>
      </c>
      <c r="S117" t="s">
        <v>130</v>
      </c>
      <c r="V117" t="b">
        <f t="shared" si="6"/>
        <v>0</v>
      </c>
      <c r="W117" t="b">
        <f>AND(OR(WEEKDAY(C117,2)=5,WEEKDAY(C117,2)=6),'01_Parameters'!$C$11="Enabled")</f>
        <v>0</v>
      </c>
      <c r="X117" t="b">
        <f t="shared" si="7"/>
        <v>0</v>
      </c>
      <c r="Y117" t="b">
        <f t="shared" si="8"/>
        <v>0</v>
      </c>
      <c r="Z117" t="b">
        <f t="shared" si="9"/>
        <v>0</v>
      </c>
    </row>
    <row r="118" spans="1:26" ht="15" customHeight="1">
      <c r="A118" t="s">
        <v>403</v>
      </c>
      <c r="B118" t="s">
        <v>406</v>
      </c>
      <c r="C118" s="14">
        <v>45866</v>
      </c>
      <c r="D118" s="14">
        <v>45864</v>
      </c>
      <c r="E118">
        <v>2025</v>
      </c>
      <c r="F118">
        <v>7</v>
      </c>
      <c r="G118" t="s">
        <v>199</v>
      </c>
      <c r="H118" t="s">
        <v>200</v>
      </c>
      <c r="I118" t="s">
        <v>146</v>
      </c>
      <c r="J118" s="15">
        <v>0</v>
      </c>
      <c r="K118" s="15">
        <v>84617.07</v>
      </c>
      <c r="L118" s="15">
        <f t="shared" si="5"/>
        <v>-84617.07</v>
      </c>
      <c r="M118" t="s">
        <v>195</v>
      </c>
      <c r="N118" t="s">
        <v>405</v>
      </c>
      <c r="O118" t="s">
        <v>197</v>
      </c>
      <c r="P118" t="s">
        <v>140</v>
      </c>
      <c r="Q118" t="s">
        <v>129</v>
      </c>
      <c r="R118" s="16">
        <v>45866.416666666701</v>
      </c>
      <c r="S118" t="s">
        <v>130</v>
      </c>
      <c r="V118" t="b">
        <f t="shared" si="6"/>
        <v>0</v>
      </c>
      <c r="W118" t="b">
        <f>AND(OR(WEEKDAY(C118,2)=5,WEEKDAY(C118,2)=6),'01_Parameters'!$C$11="Enabled")</f>
        <v>0</v>
      </c>
      <c r="X118" t="b">
        <f t="shared" si="7"/>
        <v>0</v>
      </c>
      <c r="Y118" t="b">
        <f t="shared" si="8"/>
        <v>0</v>
      </c>
      <c r="Z118" t="b">
        <f t="shared" si="9"/>
        <v>0</v>
      </c>
    </row>
    <row r="119" spans="1:26" ht="15" customHeight="1">
      <c r="A119" t="s">
        <v>407</v>
      </c>
      <c r="B119" t="s">
        <v>408</v>
      </c>
      <c r="C119" s="14">
        <v>45680</v>
      </c>
      <c r="D119" s="14">
        <v>45680</v>
      </c>
      <c r="E119">
        <v>2025</v>
      </c>
      <c r="F119">
        <v>1</v>
      </c>
      <c r="G119" t="s">
        <v>193</v>
      </c>
      <c r="H119" t="s">
        <v>194</v>
      </c>
      <c r="I119" t="s">
        <v>124</v>
      </c>
      <c r="J119" s="15">
        <v>76894.73</v>
      </c>
      <c r="K119" s="15">
        <v>0</v>
      </c>
      <c r="L119" s="15">
        <f t="shared" si="5"/>
        <v>76894.73</v>
      </c>
      <c r="M119" t="s">
        <v>195</v>
      </c>
      <c r="N119" t="s">
        <v>409</v>
      </c>
      <c r="O119" t="s">
        <v>197</v>
      </c>
      <c r="P119" t="s">
        <v>175</v>
      </c>
      <c r="Q119" t="s">
        <v>151</v>
      </c>
      <c r="R119" s="16">
        <v>45680.447916666701</v>
      </c>
      <c r="S119" t="s">
        <v>130</v>
      </c>
      <c r="V119" t="b">
        <f t="shared" si="6"/>
        <v>0</v>
      </c>
      <c r="W119" t="b">
        <f>AND(OR(WEEKDAY(C119,2)=5,WEEKDAY(C119,2)=6),'01_Parameters'!$C$11="Enabled")</f>
        <v>0</v>
      </c>
      <c r="X119" t="b">
        <f t="shared" si="7"/>
        <v>0</v>
      </c>
      <c r="Y119" t="b">
        <f t="shared" si="8"/>
        <v>0</v>
      </c>
      <c r="Z119" t="b">
        <f t="shared" si="9"/>
        <v>0</v>
      </c>
    </row>
    <row r="120" spans="1:26" ht="15" customHeight="1">
      <c r="A120" t="s">
        <v>407</v>
      </c>
      <c r="B120" t="s">
        <v>410</v>
      </c>
      <c r="C120" s="14">
        <v>45680</v>
      </c>
      <c r="D120" s="14">
        <v>45680</v>
      </c>
      <c r="E120">
        <v>2025</v>
      </c>
      <c r="F120">
        <v>1</v>
      </c>
      <c r="G120" t="s">
        <v>199</v>
      </c>
      <c r="H120" t="s">
        <v>200</v>
      </c>
      <c r="I120" t="s">
        <v>146</v>
      </c>
      <c r="J120" s="15">
        <v>0</v>
      </c>
      <c r="K120" s="15">
        <v>76894.73</v>
      </c>
      <c r="L120" s="15">
        <f t="shared" si="5"/>
        <v>-76894.73</v>
      </c>
      <c r="M120" t="s">
        <v>195</v>
      </c>
      <c r="N120" t="s">
        <v>409</v>
      </c>
      <c r="O120" t="s">
        <v>197</v>
      </c>
      <c r="P120" t="s">
        <v>175</v>
      </c>
      <c r="Q120" t="s">
        <v>151</v>
      </c>
      <c r="R120" s="16">
        <v>45680.447916666701</v>
      </c>
      <c r="S120" t="s">
        <v>130</v>
      </c>
      <c r="V120" t="b">
        <f t="shared" si="6"/>
        <v>0</v>
      </c>
      <c r="W120" t="b">
        <f>AND(OR(WEEKDAY(C120,2)=5,WEEKDAY(C120,2)=6),'01_Parameters'!$C$11="Enabled")</f>
        <v>0</v>
      </c>
      <c r="X120" t="b">
        <f t="shared" si="7"/>
        <v>0</v>
      </c>
      <c r="Y120" t="b">
        <f t="shared" si="8"/>
        <v>0</v>
      </c>
      <c r="Z120" t="b">
        <f t="shared" si="9"/>
        <v>0</v>
      </c>
    </row>
    <row r="121" spans="1:26" ht="15" customHeight="1">
      <c r="A121" t="s">
        <v>411</v>
      </c>
      <c r="B121" t="s">
        <v>412</v>
      </c>
      <c r="C121" s="14">
        <v>45874</v>
      </c>
      <c r="D121" s="14">
        <v>45874</v>
      </c>
      <c r="E121">
        <v>2025</v>
      </c>
      <c r="F121">
        <v>8</v>
      </c>
      <c r="G121" t="s">
        <v>144</v>
      </c>
      <c r="H121" t="s">
        <v>145</v>
      </c>
      <c r="I121" t="s">
        <v>146</v>
      </c>
      <c r="J121" s="15">
        <v>57451.7</v>
      </c>
      <c r="K121" s="15">
        <v>0</v>
      </c>
      <c r="L121" s="15">
        <f t="shared" si="5"/>
        <v>57451.7</v>
      </c>
      <c r="M121" t="s">
        <v>147</v>
      </c>
      <c r="N121" t="s">
        <v>413</v>
      </c>
      <c r="O121" t="s">
        <v>149</v>
      </c>
      <c r="P121" t="s">
        <v>129</v>
      </c>
      <c r="Q121" t="s">
        <v>140</v>
      </c>
      <c r="R121" s="16">
        <v>45874.791666666701</v>
      </c>
      <c r="S121" t="s">
        <v>130</v>
      </c>
      <c r="V121" t="b">
        <f t="shared" si="6"/>
        <v>0</v>
      </c>
      <c r="W121" t="b">
        <f>AND(OR(WEEKDAY(C121,2)=5,WEEKDAY(C121,2)=6),'01_Parameters'!$C$11="Enabled")</f>
        <v>0</v>
      </c>
      <c r="X121" t="b">
        <f t="shared" si="7"/>
        <v>1</v>
      </c>
      <c r="Y121" t="b">
        <f t="shared" si="8"/>
        <v>0</v>
      </c>
      <c r="Z121" t="b">
        <f t="shared" si="9"/>
        <v>0</v>
      </c>
    </row>
    <row r="122" spans="1:26" ht="15" customHeight="1">
      <c r="A122" t="s">
        <v>411</v>
      </c>
      <c r="B122" t="s">
        <v>414</v>
      </c>
      <c r="C122" s="14">
        <v>45874</v>
      </c>
      <c r="D122" s="14">
        <v>45874</v>
      </c>
      <c r="E122">
        <v>2025</v>
      </c>
      <c r="F122">
        <v>8</v>
      </c>
      <c r="G122" t="s">
        <v>153</v>
      </c>
      <c r="H122" t="s">
        <v>154</v>
      </c>
      <c r="I122" t="s">
        <v>155</v>
      </c>
      <c r="J122" s="15">
        <v>0</v>
      </c>
      <c r="K122" s="15">
        <v>57451.7</v>
      </c>
      <c r="L122" s="15">
        <f t="shared" si="5"/>
        <v>-57451.7</v>
      </c>
      <c r="M122" t="s">
        <v>147</v>
      </c>
      <c r="N122" t="s">
        <v>413</v>
      </c>
      <c r="O122" t="s">
        <v>149</v>
      </c>
      <c r="P122" t="s">
        <v>129</v>
      </c>
      <c r="Q122" t="s">
        <v>140</v>
      </c>
      <c r="R122" s="16">
        <v>45874.791666666701</v>
      </c>
      <c r="S122" t="s">
        <v>130</v>
      </c>
      <c r="V122" t="b">
        <f t="shared" si="6"/>
        <v>0</v>
      </c>
      <c r="W122" t="b">
        <f>AND(OR(WEEKDAY(C122,2)=5,WEEKDAY(C122,2)=6),'01_Parameters'!$C$11="Enabled")</f>
        <v>0</v>
      </c>
      <c r="X122" t="b">
        <f t="shared" si="7"/>
        <v>1</v>
      </c>
      <c r="Y122" t="b">
        <f t="shared" si="8"/>
        <v>0</v>
      </c>
      <c r="Z122" t="b">
        <f t="shared" si="9"/>
        <v>0</v>
      </c>
    </row>
    <row r="123" spans="1:26" ht="15" customHeight="1">
      <c r="A123" t="s">
        <v>415</v>
      </c>
      <c r="B123" t="s">
        <v>416</v>
      </c>
      <c r="C123" s="14">
        <v>45847</v>
      </c>
      <c r="D123" s="14">
        <v>45844</v>
      </c>
      <c r="E123">
        <v>2025</v>
      </c>
      <c r="F123">
        <v>7</v>
      </c>
      <c r="G123" t="s">
        <v>417</v>
      </c>
      <c r="H123" t="s">
        <v>418</v>
      </c>
      <c r="I123" t="s">
        <v>124</v>
      </c>
      <c r="J123" s="15">
        <v>81460.61</v>
      </c>
      <c r="K123" s="15">
        <v>0</v>
      </c>
      <c r="L123" s="15">
        <f t="shared" si="5"/>
        <v>81460.61</v>
      </c>
      <c r="M123" t="s">
        <v>125</v>
      </c>
      <c r="N123" t="s">
        <v>419</v>
      </c>
      <c r="O123" t="s">
        <v>127</v>
      </c>
      <c r="P123" t="s">
        <v>151</v>
      </c>
      <c r="Q123" t="s">
        <v>140</v>
      </c>
      <c r="R123" s="16">
        <v>45847.322916666701</v>
      </c>
      <c r="S123" t="s">
        <v>130</v>
      </c>
      <c r="V123" t="b">
        <f t="shared" si="6"/>
        <v>0</v>
      </c>
      <c r="W123" t="b">
        <f>AND(OR(WEEKDAY(C123,2)=5,WEEKDAY(C123,2)=6),'01_Parameters'!$C$11="Enabled")</f>
        <v>0</v>
      </c>
      <c r="X123" t="b">
        <f t="shared" si="7"/>
        <v>1</v>
      </c>
      <c r="Y123" t="b">
        <f t="shared" si="8"/>
        <v>0</v>
      </c>
      <c r="Z123" t="b">
        <f t="shared" si="9"/>
        <v>0</v>
      </c>
    </row>
    <row r="124" spans="1:26" ht="15" customHeight="1">
      <c r="A124" t="s">
        <v>415</v>
      </c>
      <c r="B124" t="s">
        <v>420</v>
      </c>
      <c r="C124" s="14">
        <v>45847</v>
      </c>
      <c r="D124" s="14">
        <v>45844</v>
      </c>
      <c r="E124">
        <v>2025</v>
      </c>
      <c r="F124">
        <v>7</v>
      </c>
      <c r="G124" t="s">
        <v>132</v>
      </c>
      <c r="H124" t="s">
        <v>133</v>
      </c>
      <c r="I124" t="s">
        <v>134</v>
      </c>
      <c r="J124" s="15">
        <v>0</v>
      </c>
      <c r="K124" s="15">
        <v>81460.61</v>
      </c>
      <c r="L124" s="15">
        <f t="shared" si="5"/>
        <v>-81460.61</v>
      </c>
      <c r="M124" t="s">
        <v>125</v>
      </c>
      <c r="N124" t="s">
        <v>419</v>
      </c>
      <c r="O124" t="s">
        <v>127</v>
      </c>
      <c r="P124" t="s">
        <v>151</v>
      </c>
      <c r="Q124" t="s">
        <v>140</v>
      </c>
      <c r="R124" s="16">
        <v>45847.322916666701</v>
      </c>
      <c r="S124" t="s">
        <v>130</v>
      </c>
      <c r="V124" t="b">
        <f t="shared" si="6"/>
        <v>0</v>
      </c>
      <c r="W124" t="b">
        <f>AND(OR(WEEKDAY(C124,2)=5,WEEKDAY(C124,2)=6),'01_Parameters'!$C$11="Enabled")</f>
        <v>0</v>
      </c>
      <c r="X124" t="b">
        <f t="shared" si="7"/>
        <v>1</v>
      </c>
      <c r="Y124" t="b">
        <f t="shared" si="8"/>
        <v>0</v>
      </c>
      <c r="Z124" t="b">
        <f t="shared" si="9"/>
        <v>0</v>
      </c>
    </row>
    <row r="125" spans="1:26" ht="15" customHeight="1">
      <c r="A125" t="s">
        <v>421</v>
      </c>
      <c r="B125" t="s">
        <v>422</v>
      </c>
      <c r="C125" s="14">
        <v>45779</v>
      </c>
      <c r="D125" s="14">
        <v>45776</v>
      </c>
      <c r="E125">
        <v>2025</v>
      </c>
      <c r="F125">
        <v>5</v>
      </c>
      <c r="G125" t="s">
        <v>179</v>
      </c>
      <c r="H125" t="s">
        <v>180</v>
      </c>
      <c r="I125" t="s">
        <v>124</v>
      </c>
      <c r="J125" s="15">
        <v>4099.04</v>
      </c>
      <c r="K125" s="15">
        <v>0</v>
      </c>
      <c r="L125" s="15">
        <f t="shared" si="5"/>
        <v>4099.04</v>
      </c>
      <c r="M125" t="s">
        <v>181</v>
      </c>
      <c r="N125" t="s">
        <v>423</v>
      </c>
      <c r="O125" t="s">
        <v>183</v>
      </c>
      <c r="P125" t="s">
        <v>150</v>
      </c>
      <c r="Q125" t="s">
        <v>140</v>
      </c>
      <c r="R125" s="16">
        <v>45779.885416666701</v>
      </c>
      <c r="S125" t="s">
        <v>130</v>
      </c>
      <c r="V125" t="b">
        <f t="shared" si="6"/>
        <v>0</v>
      </c>
      <c r="W125" t="b">
        <f>AND(OR(WEEKDAY(C125,2)=5,WEEKDAY(C125,2)=6),'01_Parameters'!$C$11="Enabled")</f>
        <v>1</v>
      </c>
      <c r="X125" t="b">
        <f t="shared" si="7"/>
        <v>1</v>
      </c>
      <c r="Y125" t="b">
        <f t="shared" si="8"/>
        <v>0</v>
      </c>
      <c r="Z125" t="b">
        <f t="shared" si="9"/>
        <v>0</v>
      </c>
    </row>
    <row r="126" spans="1:26" ht="15" customHeight="1">
      <c r="A126" t="s">
        <v>421</v>
      </c>
      <c r="B126" t="s">
        <v>424</v>
      </c>
      <c r="C126" s="14">
        <v>45779</v>
      </c>
      <c r="D126" s="14">
        <v>45776</v>
      </c>
      <c r="E126">
        <v>2025</v>
      </c>
      <c r="F126">
        <v>5</v>
      </c>
      <c r="G126" t="s">
        <v>185</v>
      </c>
      <c r="H126" t="s">
        <v>186</v>
      </c>
      <c r="I126" t="s">
        <v>134</v>
      </c>
      <c r="J126" s="15">
        <v>0</v>
      </c>
      <c r="K126" s="15">
        <v>4099.04</v>
      </c>
      <c r="L126" s="15">
        <f t="shared" si="5"/>
        <v>-4099.04</v>
      </c>
      <c r="M126" t="s">
        <v>181</v>
      </c>
      <c r="N126" t="s">
        <v>423</v>
      </c>
      <c r="O126" t="s">
        <v>183</v>
      </c>
      <c r="P126" t="s">
        <v>150</v>
      </c>
      <c r="Q126" t="s">
        <v>140</v>
      </c>
      <c r="R126" s="16">
        <v>45779.885416666701</v>
      </c>
      <c r="S126" t="s">
        <v>130</v>
      </c>
      <c r="V126" t="b">
        <f t="shared" si="6"/>
        <v>0</v>
      </c>
      <c r="W126" t="b">
        <f>AND(OR(WEEKDAY(C126,2)=5,WEEKDAY(C126,2)=6),'01_Parameters'!$C$11="Enabled")</f>
        <v>1</v>
      </c>
      <c r="X126" t="b">
        <f t="shared" si="7"/>
        <v>1</v>
      </c>
      <c r="Y126" t="b">
        <f t="shared" si="8"/>
        <v>0</v>
      </c>
      <c r="Z126" t="b">
        <f t="shared" si="9"/>
        <v>0</v>
      </c>
    </row>
    <row r="127" spans="1:26" ht="15" customHeight="1">
      <c r="A127" t="s">
        <v>425</v>
      </c>
      <c r="B127" t="s">
        <v>426</v>
      </c>
      <c r="C127" s="14">
        <v>45700</v>
      </c>
      <c r="D127" s="14">
        <v>45699</v>
      </c>
      <c r="E127">
        <v>2025</v>
      </c>
      <c r="F127">
        <v>2</v>
      </c>
      <c r="G127" t="s">
        <v>144</v>
      </c>
      <c r="H127" t="s">
        <v>145</v>
      </c>
      <c r="I127" t="s">
        <v>146</v>
      </c>
      <c r="J127" s="15">
        <v>64480.57</v>
      </c>
      <c r="K127" s="15">
        <v>0</v>
      </c>
      <c r="L127" s="15">
        <f t="shared" si="5"/>
        <v>64480.57</v>
      </c>
      <c r="M127" t="s">
        <v>147</v>
      </c>
      <c r="N127" t="s">
        <v>427</v>
      </c>
      <c r="O127" t="s">
        <v>149</v>
      </c>
      <c r="P127" t="s">
        <v>128</v>
      </c>
      <c r="Q127" t="s">
        <v>150</v>
      </c>
      <c r="R127" s="16">
        <v>45700.802083333299</v>
      </c>
      <c r="S127" t="s">
        <v>130</v>
      </c>
      <c r="V127" t="b">
        <f t="shared" si="6"/>
        <v>0</v>
      </c>
      <c r="W127" t="b">
        <f>AND(OR(WEEKDAY(C127,2)=5,WEEKDAY(C127,2)=6),'01_Parameters'!$C$11="Enabled")</f>
        <v>0</v>
      </c>
      <c r="X127" t="b">
        <f t="shared" si="7"/>
        <v>1</v>
      </c>
      <c r="Y127" t="b">
        <f t="shared" si="8"/>
        <v>0</v>
      </c>
      <c r="Z127" t="b">
        <f t="shared" si="9"/>
        <v>0</v>
      </c>
    </row>
    <row r="128" spans="1:26" ht="15" customHeight="1">
      <c r="A128" t="s">
        <v>425</v>
      </c>
      <c r="B128" t="s">
        <v>428</v>
      </c>
      <c r="C128" s="14">
        <v>45700</v>
      </c>
      <c r="D128" s="14">
        <v>45699</v>
      </c>
      <c r="E128">
        <v>2025</v>
      </c>
      <c r="F128">
        <v>2</v>
      </c>
      <c r="G128" t="s">
        <v>153</v>
      </c>
      <c r="H128" t="s">
        <v>154</v>
      </c>
      <c r="I128" t="s">
        <v>155</v>
      </c>
      <c r="J128" s="15">
        <v>0</v>
      </c>
      <c r="K128" s="15">
        <v>64480.57</v>
      </c>
      <c r="L128" s="15">
        <f t="shared" si="5"/>
        <v>-64480.57</v>
      </c>
      <c r="M128" t="s">
        <v>147</v>
      </c>
      <c r="N128" t="s">
        <v>427</v>
      </c>
      <c r="O128" t="s">
        <v>149</v>
      </c>
      <c r="P128" t="s">
        <v>128</v>
      </c>
      <c r="Q128" t="s">
        <v>150</v>
      </c>
      <c r="R128" s="16">
        <v>45700.802083333299</v>
      </c>
      <c r="S128" t="s">
        <v>130</v>
      </c>
      <c r="V128" t="b">
        <f t="shared" si="6"/>
        <v>0</v>
      </c>
      <c r="W128" t="b">
        <f>AND(OR(WEEKDAY(C128,2)=5,WEEKDAY(C128,2)=6),'01_Parameters'!$C$11="Enabled")</f>
        <v>0</v>
      </c>
      <c r="X128" t="b">
        <f t="shared" si="7"/>
        <v>1</v>
      </c>
      <c r="Y128" t="b">
        <f t="shared" si="8"/>
        <v>0</v>
      </c>
      <c r="Z128" t="b">
        <f t="shared" si="9"/>
        <v>0</v>
      </c>
    </row>
    <row r="129" spans="1:26" ht="15" customHeight="1">
      <c r="A129" t="s">
        <v>429</v>
      </c>
      <c r="B129" t="s">
        <v>430</v>
      </c>
      <c r="C129" s="14">
        <v>45754</v>
      </c>
      <c r="D129" s="14">
        <v>45753</v>
      </c>
      <c r="E129">
        <v>2025</v>
      </c>
      <c r="F129">
        <v>4</v>
      </c>
      <c r="G129" t="s">
        <v>137</v>
      </c>
      <c r="H129" t="s">
        <v>138</v>
      </c>
      <c r="I129" t="s">
        <v>124</v>
      </c>
      <c r="J129" s="15">
        <v>90904.16</v>
      </c>
      <c r="K129" s="15">
        <v>0</v>
      </c>
      <c r="L129" s="15">
        <f t="shared" si="5"/>
        <v>90904.16</v>
      </c>
      <c r="M129" t="s">
        <v>125</v>
      </c>
      <c r="N129" t="s">
        <v>431</v>
      </c>
      <c r="O129" t="s">
        <v>127</v>
      </c>
      <c r="P129" t="s">
        <v>140</v>
      </c>
      <c r="Q129" t="s">
        <v>128</v>
      </c>
      <c r="R129" s="16">
        <v>45754.708333333299</v>
      </c>
      <c r="S129" t="s">
        <v>130</v>
      </c>
      <c r="V129" t="b">
        <f t="shared" si="6"/>
        <v>0</v>
      </c>
      <c r="W129" t="b">
        <f>AND(OR(WEEKDAY(C129,2)=5,WEEKDAY(C129,2)=6),'01_Parameters'!$C$11="Enabled")</f>
        <v>0</v>
      </c>
      <c r="X129" t="b">
        <f t="shared" si="7"/>
        <v>0</v>
      </c>
      <c r="Y129" t="b">
        <f t="shared" si="8"/>
        <v>0</v>
      </c>
      <c r="Z129" t="b">
        <f t="shared" si="9"/>
        <v>0</v>
      </c>
    </row>
    <row r="130" spans="1:26" ht="15" customHeight="1">
      <c r="A130" t="s">
        <v>429</v>
      </c>
      <c r="B130" t="s">
        <v>432</v>
      </c>
      <c r="C130" s="14">
        <v>45754</v>
      </c>
      <c r="D130" s="14">
        <v>45753</v>
      </c>
      <c r="E130">
        <v>2025</v>
      </c>
      <c r="F130">
        <v>4</v>
      </c>
      <c r="G130" t="s">
        <v>132</v>
      </c>
      <c r="H130" t="s">
        <v>133</v>
      </c>
      <c r="I130" t="s">
        <v>134</v>
      </c>
      <c r="J130" s="15">
        <v>0</v>
      </c>
      <c r="K130" s="15">
        <v>90904.16</v>
      </c>
      <c r="L130" s="15">
        <f t="shared" si="5"/>
        <v>-90904.16</v>
      </c>
      <c r="M130" t="s">
        <v>125</v>
      </c>
      <c r="N130" t="s">
        <v>431</v>
      </c>
      <c r="O130" t="s">
        <v>127</v>
      </c>
      <c r="P130" t="s">
        <v>140</v>
      </c>
      <c r="Q130" t="s">
        <v>128</v>
      </c>
      <c r="R130" s="16">
        <v>45754.708333333299</v>
      </c>
      <c r="S130" t="s">
        <v>130</v>
      </c>
      <c r="V130" t="b">
        <f t="shared" si="6"/>
        <v>0</v>
      </c>
      <c r="W130" t="b">
        <f>AND(OR(WEEKDAY(C130,2)=5,WEEKDAY(C130,2)=6),'01_Parameters'!$C$11="Enabled")</f>
        <v>0</v>
      </c>
      <c r="X130" t="b">
        <f t="shared" si="7"/>
        <v>0</v>
      </c>
      <c r="Y130" t="b">
        <f t="shared" si="8"/>
        <v>0</v>
      </c>
      <c r="Z130" t="b">
        <f t="shared" si="9"/>
        <v>0</v>
      </c>
    </row>
    <row r="131" spans="1:26" ht="15" customHeight="1">
      <c r="A131" t="s">
        <v>433</v>
      </c>
      <c r="B131" t="s">
        <v>434</v>
      </c>
      <c r="C131" s="14">
        <v>45678</v>
      </c>
      <c r="D131" s="14">
        <v>45677</v>
      </c>
      <c r="E131">
        <v>2025</v>
      </c>
      <c r="F131">
        <v>1</v>
      </c>
      <c r="G131" t="s">
        <v>158</v>
      </c>
      <c r="H131" t="s">
        <v>159</v>
      </c>
      <c r="I131" t="s">
        <v>124</v>
      </c>
      <c r="J131" s="15">
        <v>80133.89</v>
      </c>
      <c r="K131" s="15">
        <v>0</v>
      </c>
      <c r="L131" s="15">
        <f t="shared" si="5"/>
        <v>80133.89</v>
      </c>
      <c r="M131" t="s">
        <v>160</v>
      </c>
      <c r="N131" t="s">
        <v>435</v>
      </c>
      <c r="O131" t="s">
        <v>162</v>
      </c>
      <c r="P131" t="s">
        <v>150</v>
      </c>
      <c r="Q131" t="s">
        <v>140</v>
      </c>
      <c r="R131" s="16">
        <v>45678.708333333299</v>
      </c>
      <c r="S131" t="s">
        <v>130</v>
      </c>
      <c r="V131" t="b">
        <f t="shared" si="6"/>
        <v>0</v>
      </c>
      <c r="W131" t="b">
        <f>AND(OR(WEEKDAY(C131,2)=5,WEEKDAY(C131,2)=6),'01_Parameters'!$C$11="Enabled")</f>
        <v>0</v>
      </c>
      <c r="X131" t="b">
        <f t="shared" si="7"/>
        <v>0</v>
      </c>
      <c r="Y131" t="b">
        <f t="shared" si="8"/>
        <v>0</v>
      </c>
      <c r="Z131" t="b">
        <f t="shared" si="9"/>
        <v>0</v>
      </c>
    </row>
    <row r="132" spans="1:26" ht="15" customHeight="1">
      <c r="A132" t="s">
        <v>433</v>
      </c>
      <c r="B132" t="s">
        <v>436</v>
      </c>
      <c r="C132" s="14">
        <v>45678</v>
      </c>
      <c r="D132" s="14">
        <v>45677</v>
      </c>
      <c r="E132">
        <v>2025</v>
      </c>
      <c r="F132">
        <v>1</v>
      </c>
      <c r="G132" t="s">
        <v>164</v>
      </c>
      <c r="H132" t="s">
        <v>165</v>
      </c>
      <c r="I132" t="s">
        <v>146</v>
      </c>
      <c r="J132" s="15">
        <v>0</v>
      </c>
      <c r="K132" s="15">
        <v>80133.89</v>
      </c>
      <c r="L132" s="15">
        <f t="shared" si="5"/>
        <v>-80133.89</v>
      </c>
      <c r="M132" t="s">
        <v>160</v>
      </c>
      <c r="N132" t="s">
        <v>435</v>
      </c>
      <c r="O132" t="s">
        <v>162</v>
      </c>
      <c r="P132" t="s">
        <v>150</v>
      </c>
      <c r="Q132" t="s">
        <v>140</v>
      </c>
      <c r="R132" s="16">
        <v>45678.708333333299</v>
      </c>
      <c r="S132" t="s">
        <v>130</v>
      </c>
      <c r="V132" t="b">
        <f t="shared" si="6"/>
        <v>0</v>
      </c>
      <c r="W132" t="b">
        <f>AND(OR(WEEKDAY(C132,2)=5,WEEKDAY(C132,2)=6),'01_Parameters'!$C$11="Enabled")</f>
        <v>0</v>
      </c>
      <c r="X132" t="b">
        <f t="shared" si="7"/>
        <v>0</v>
      </c>
      <c r="Y132" t="b">
        <f t="shared" si="8"/>
        <v>0</v>
      </c>
      <c r="Z132" t="b">
        <f t="shared" si="9"/>
        <v>0</v>
      </c>
    </row>
    <row r="133" spans="1:26" ht="15" customHeight="1">
      <c r="A133" t="s">
        <v>437</v>
      </c>
      <c r="B133" t="s">
        <v>438</v>
      </c>
      <c r="C133" s="14">
        <v>45678</v>
      </c>
      <c r="D133" s="14">
        <v>45674</v>
      </c>
      <c r="E133">
        <v>2025</v>
      </c>
      <c r="F133">
        <v>1</v>
      </c>
      <c r="G133" t="s">
        <v>172</v>
      </c>
      <c r="H133" t="s">
        <v>173</v>
      </c>
      <c r="I133" t="s">
        <v>124</v>
      </c>
      <c r="J133" s="15">
        <v>31517.43</v>
      </c>
      <c r="K133" s="15">
        <v>0</v>
      </c>
      <c r="L133" s="15">
        <f t="shared" ref="L133:L196" si="10">J133-K133</f>
        <v>31517.43</v>
      </c>
      <c r="M133" t="s">
        <v>209</v>
      </c>
      <c r="N133" t="s">
        <v>439</v>
      </c>
      <c r="O133" t="s">
        <v>211</v>
      </c>
      <c r="P133" t="s">
        <v>140</v>
      </c>
      <c r="Q133" t="s">
        <v>151</v>
      </c>
      <c r="R133" s="16">
        <v>45678.895833333299</v>
      </c>
      <c r="S133" t="s">
        <v>130</v>
      </c>
      <c r="T133" t="s">
        <v>440</v>
      </c>
      <c r="U133" t="s">
        <v>439</v>
      </c>
      <c r="V133" t="b">
        <f t="shared" ref="V133:V196" si="11">AND(C133&gt;=Year_End_Window_Start,C133&lt;=Year_End_Window_End)</f>
        <v>0</v>
      </c>
      <c r="W133" t="b">
        <f>AND(OR(WEEKDAY(C133,2)=5,WEEKDAY(C133,2)=6),'01_Parameters'!$C$11="Enabled")</f>
        <v>0</v>
      </c>
      <c r="X133" t="b">
        <f t="shared" ref="X133:X196" si="12">AND(HOUR(R133)&lt;Business_Day_Start,HOUR(R133)&gt;=0)+AND(HOUR(R133)&gt;=Business_Day_End,HOUR(R133)&lt;=23)&gt;0</f>
        <v>1</v>
      </c>
      <c r="Y133" t="b">
        <f t="shared" ref="Y133:Y196" si="13">ABS(L133)&gt;High_Value_GL_Threshold</f>
        <v>0</v>
      </c>
      <c r="Z133" t="b">
        <f t="shared" ref="Z133:Z196" si="14">AND(ABS(L133)&gt;=Round_Number_Threshold,MOD(ABS(L133),Round_Number_Threshold)=0)</f>
        <v>0</v>
      </c>
    </row>
    <row r="134" spans="1:26" ht="15" customHeight="1">
      <c r="A134" t="s">
        <v>437</v>
      </c>
      <c r="B134" t="s">
        <v>441</v>
      </c>
      <c r="C134" s="14">
        <v>45678</v>
      </c>
      <c r="D134" s="14">
        <v>45674</v>
      </c>
      <c r="E134">
        <v>2025</v>
      </c>
      <c r="F134">
        <v>1</v>
      </c>
      <c r="G134" t="s">
        <v>132</v>
      </c>
      <c r="H134" t="s">
        <v>133</v>
      </c>
      <c r="I134" t="s">
        <v>134</v>
      </c>
      <c r="J134" s="15">
        <v>0</v>
      </c>
      <c r="K134" s="15">
        <v>31517.43</v>
      </c>
      <c r="L134" s="15">
        <f t="shared" si="10"/>
        <v>-31517.43</v>
      </c>
      <c r="M134" t="s">
        <v>209</v>
      </c>
      <c r="N134" t="s">
        <v>439</v>
      </c>
      <c r="O134" t="s">
        <v>211</v>
      </c>
      <c r="P134" t="s">
        <v>140</v>
      </c>
      <c r="Q134" t="s">
        <v>151</v>
      </c>
      <c r="R134" s="16">
        <v>45678.895833333299</v>
      </c>
      <c r="S134" t="s">
        <v>130</v>
      </c>
      <c r="T134" t="s">
        <v>440</v>
      </c>
      <c r="U134" t="s">
        <v>439</v>
      </c>
      <c r="V134" t="b">
        <f t="shared" si="11"/>
        <v>0</v>
      </c>
      <c r="W134" t="b">
        <f>AND(OR(WEEKDAY(C134,2)=5,WEEKDAY(C134,2)=6),'01_Parameters'!$C$11="Enabled")</f>
        <v>0</v>
      </c>
      <c r="X134" t="b">
        <f t="shared" si="12"/>
        <v>1</v>
      </c>
      <c r="Y134" t="b">
        <f t="shared" si="13"/>
        <v>0</v>
      </c>
      <c r="Z134" t="b">
        <f t="shared" si="14"/>
        <v>0</v>
      </c>
    </row>
    <row r="135" spans="1:26" ht="15" customHeight="1">
      <c r="A135" t="s">
        <v>442</v>
      </c>
      <c r="B135" t="s">
        <v>443</v>
      </c>
      <c r="C135" s="14">
        <v>45891</v>
      </c>
      <c r="D135" s="14">
        <v>45886</v>
      </c>
      <c r="E135">
        <v>2025</v>
      </c>
      <c r="F135">
        <v>8</v>
      </c>
      <c r="G135" t="s">
        <v>193</v>
      </c>
      <c r="H135" t="s">
        <v>194</v>
      </c>
      <c r="I135" t="s">
        <v>124</v>
      </c>
      <c r="J135" s="15">
        <v>34911.120000000003</v>
      </c>
      <c r="K135" s="15">
        <v>0</v>
      </c>
      <c r="L135" s="15">
        <f t="shared" si="10"/>
        <v>34911.120000000003</v>
      </c>
      <c r="M135" t="s">
        <v>195</v>
      </c>
      <c r="N135" t="s">
        <v>444</v>
      </c>
      <c r="O135" t="s">
        <v>197</v>
      </c>
      <c r="P135" t="s">
        <v>151</v>
      </c>
      <c r="Q135" t="s">
        <v>175</v>
      </c>
      <c r="R135" s="16">
        <v>45891.270833333299</v>
      </c>
      <c r="S135" t="s">
        <v>288</v>
      </c>
      <c r="V135" t="b">
        <f t="shared" si="11"/>
        <v>0</v>
      </c>
      <c r="W135" t="b">
        <f>AND(OR(WEEKDAY(C135,2)=5,WEEKDAY(C135,2)=6),'01_Parameters'!$C$11="Enabled")</f>
        <v>1</v>
      </c>
      <c r="X135" t="b">
        <f t="shared" si="12"/>
        <v>1</v>
      </c>
      <c r="Y135" t="b">
        <f t="shared" si="13"/>
        <v>0</v>
      </c>
      <c r="Z135" t="b">
        <f t="shared" si="14"/>
        <v>0</v>
      </c>
    </row>
    <row r="136" spans="1:26" ht="15" customHeight="1">
      <c r="A136" t="s">
        <v>442</v>
      </c>
      <c r="B136" t="s">
        <v>445</v>
      </c>
      <c r="C136" s="14">
        <v>45891</v>
      </c>
      <c r="D136" s="14">
        <v>45886</v>
      </c>
      <c r="E136">
        <v>2025</v>
      </c>
      <c r="F136">
        <v>8</v>
      </c>
      <c r="G136" t="s">
        <v>199</v>
      </c>
      <c r="H136" t="s">
        <v>200</v>
      </c>
      <c r="I136" t="s">
        <v>146</v>
      </c>
      <c r="J136" s="15">
        <v>0</v>
      </c>
      <c r="K136" s="15">
        <v>34911.120000000003</v>
      </c>
      <c r="L136" s="15">
        <f t="shared" si="10"/>
        <v>-34911.120000000003</v>
      </c>
      <c r="M136" t="s">
        <v>195</v>
      </c>
      <c r="N136" t="s">
        <v>444</v>
      </c>
      <c r="O136" t="s">
        <v>197</v>
      </c>
      <c r="P136" t="s">
        <v>151</v>
      </c>
      <c r="Q136" t="s">
        <v>175</v>
      </c>
      <c r="R136" s="16">
        <v>45891.270833333299</v>
      </c>
      <c r="S136" t="s">
        <v>288</v>
      </c>
      <c r="V136" t="b">
        <f t="shared" si="11"/>
        <v>0</v>
      </c>
      <c r="W136" t="b">
        <f>AND(OR(WEEKDAY(C136,2)=5,WEEKDAY(C136,2)=6),'01_Parameters'!$C$11="Enabled")</f>
        <v>1</v>
      </c>
      <c r="X136" t="b">
        <f t="shared" si="12"/>
        <v>1</v>
      </c>
      <c r="Y136" t="b">
        <f t="shared" si="13"/>
        <v>0</v>
      </c>
      <c r="Z136" t="b">
        <f t="shared" si="14"/>
        <v>0</v>
      </c>
    </row>
    <row r="137" spans="1:26" ht="15" customHeight="1">
      <c r="A137" t="s">
        <v>446</v>
      </c>
      <c r="B137" t="s">
        <v>447</v>
      </c>
      <c r="C137" s="14">
        <v>45891</v>
      </c>
      <c r="D137" s="14">
        <v>45887</v>
      </c>
      <c r="E137">
        <v>2025</v>
      </c>
      <c r="F137">
        <v>8</v>
      </c>
      <c r="G137" t="s">
        <v>137</v>
      </c>
      <c r="H137" t="s">
        <v>138</v>
      </c>
      <c r="I137" t="s">
        <v>124</v>
      </c>
      <c r="J137" s="15">
        <v>63290.74</v>
      </c>
      <c r="K137" s="15">
        <v>0</v>
      </c>
      <c r="L137" s="15">
        <f t="shared" si="10"/>
        <v>63290.74</v>
      </c>
      <c r="M137" t="s">
        <v>209</v>
      </c>
      <c r="N137" t="s">
        <v>448</v>
      </c>
      <c r="O137" t="s">
        <v>211</v>
      </c>
      <c r="P137" t="s">
        <v>129</v>
      </c>
      <c r="Q137" t="s">
        <v>140</v>
      </c>
      <c r="R137" s="16">
        <v>45891.6875</v>
      </c>
      <c r="S137" t="s">
        <v>288</v>
      </c>
      <c r="T137" t="s">
        <v>440</v>
      </c>
      <c r="U137" t="s">
        <v>448</v>
      </c>
      <c r="V137" t="b">
        <f t="shared" si="11"/>
        <v>0</v>
      </c>
      <c r="W137" t="b">
        <f>AND(OR(WEEKDAY(C137,2)=5,WEEKDAY(C137,2)=6),'01_Parameters'!$C$11="Enabled")</f>
        <v>1</v>
      </c>
      <c r="X137" t="b">
        <f t="shared" si="12"/>
        <v>0</v>
      </c>
      <c r="Y137" t="b">
        <f t="shared" si="13"/>
        <v>0</v>
      </c>
      <c r="Z137" t="b">
        <f t="shared" si="14"/>
        <v>0</v>
      </c>
    </row>
    <row r="138" spans="1:26" ht="15" customHeight="1">
      <c r="A138" t="s">
        <v>446</v>
      </c>
      <c r="B138" t="s">
        <v>449</v>
      </c>
      <c r="C138" s="14">
        <v>45891</v>
      </c>
      <c r="D138" s="14">
        <v>45887</v>
      </c>
      <c r="E138">
        <v>2025</v>
      </c>
      <c r="F138">
        <v>8</v>
      </c>
      <c r="G138" t="s">
        <v>132</v>
      </c>
      <c r="H138" t="s">
        <v>133</v>
      </c>
      <c r="I138" t="s">
        <v>134</v>
      </c>
      <c r="J138" s="15">
        <v>0</v>
      </c>
      <c r="K138" s="15">
        <v>63290.74</v>
      </c>
      <c r="L138" s="15">
        <f t="shared" si="10"/>
        <v>-63290.74</v>
      </c>
      <c r="M138" t="s">
        <v>209</v>
      </c>
      <c r="N138" t="s">
        <v>448</v>
      </c>
      <c r="O138" t="s">
        <v>211</v>
      </c>
      <c r="P138" t="s">
        <v>129</v>
      </c>
      <c r="Q138" t="s">
        <v>140</v>
      </c>
      <c r="R138" s="16">
        <v>45891.6875</v>
      </c>
      <c r="S138" t="s">
        <v>288</v>
      </c>
      <c r="T138" t="s">
        <v>440</v>
      </c>
      <c r="U138" t="s">
        <v>448</v>
      </c>
      <c r="V138" t="b">
        <f t="shared" si="11"/>
        <v>0</v>
      </c>
      <c r="W138" t="b">
        <f>AND(OR(WEEKDAY(C138,2)=5,WEEKDAY(C138,2)=6),'01_Parameters'!$C$11="Enabled")</f>
        <v>1</v>
      </c>
      <c r="X138" t="b">
        <f t="shared" si="12"/>
        <v>0</v>
      </c>
      <c r="Y138" t="b">
        <f t="shared" si="13"/>
        <v>0</v>
      </c>
      <c r="Z138" t="b">
        <f t="shared" si="14"/>
        <v>0</v>
      </c>
    </row>
    <row r="139" spans="1:26" ht="15" customHeight="1">
      <c r="A139" t="s">
        <v>450</v>
      </c>
      <c r="B139" t="s">
        <v>451</v>
      </c>
      <c r="C139" s="14">
        <v>45915</v>
      </c>
      <c r="D139" s="14">
        <v>45914</v>
      </c>
      <c r="E139">
        <v>2025</v>
      </c>
      <c r="F139">
        <v>9</v>
      </c>
      <c r="G139" t="s">
        <v>137</v>
      </c>
      <c r="H139" t="s">
        <v>138</v>
      </c>
      <c r="I139" t="s">
        <v>124</v>
      </c>
      <c r="J139" s="15">
        <v>112027.97</v>
      </c>
      <c r="K139" s="15">
        <v>0</v>
      </c>
      <c r="L139" s="15">
        <f t="shared" si="10"/>
        <v>112027.97</v>
      </c>
      <c r="M139" t="s">
        <v>125</v>
      </c>
      <c r="N139" t="s">
        <v>452</v>
      </c>
      <c r="O139" t="s">
        <v>127</v>
      </c>
      <c r="P139" t="s">
        <v>151</v>
      </c>
      <c r="Q139" t="s">
        <v>150</v>
      </c>
      <c r="R139" s="16">
        <v>45915.270833333299</v>
      </c>
      <c r="S139" t="s">
        <v>130</v>
      </c>
      <c r="V139" t="b">
        <f t="shared" si="11"/>
        <v>0</v>
      </c>
      <c r="W139" t="b">
        <f>AND(OR(WEEKDAY(C139,2)=5,WEEKDAY(C139,2)=6),'01_Parameters'!$C$11="Enabled")</f>
        <v>0</v>
      </c>
      <c r="X139" t="b">
        <f t="shared" si="12"/>
        <v>1</v>
      </c>
      <c r="Y139" t="b">
        <f t="shared" si="13"/>
        <v>1</v>
      </c>
      <c r="Z139" t="b">
        <f t="shared" si="14"/>
        <v>0</v>
      </c>
    </row>
    <row r="140" spans="1:26" ht="15" customHeight="1">
      <c r="A140" t="s">
        <v>450</v>
      </c>
      <c r="B140" t="s">
        <v>453</v>
      </c>
      <c r="C140" s="14">
        <v>45915</v>
      </c>
      <c r="D140" s="14">
        <v>45914</v>
      </c>
      <c r="E140">
        <v>2025</v>
      </c>
      <c r="F140">
        <v>9</v>
      </c>
      <c r="G140" t="s">
        <v>132</v>
      </c>
      <c r="H140" t="s">
        <v>133</v>
      </c>
      <c r="I140" t="s">
        <v>134</v>
      </c>
      <c r="J140" s="15">
        <v>0</v>
      </c>
      <c r="K140" s="15">
        <v>112027.97</v>
      </c>
      <c r="L140" s="15">
        <f t="shared" si="10"/>
        <v>-112027.97</v>
      </c>
      <c r="M140" t="s">
        <v>125</v>
      </c>
      <c r="N140" t="s">
        <v>452</v>
      </c>
      <c r="O140" t="s">
        <v>127</v>
      </c>
      <c r="P140" t="s">
        <v>151</v>
      </c>
      <c r="Q140" t="s">
        <v>150</v>
      </c>
      <c r="R140" s="16">
        <v>45915.270833333299</v>
      </c>
      <c r="S140" t="s">
        <v>130</v>
      </c>
      <c r="V140" t="b">
        <f t="shared" si="11"/>
        <v>0</v>
      </c>
      <c r="W140" t="b">
        <f>AND(OR(WEEKDAY(C140,2)=5,WEEKDAY(C140,2)=6),'01_Parameters'!$C$11="Enabled")</f>
        <v>0</v>
      </c>
      <c r="X140" t="b">
        <f t="shared" si="12"/>
        <v>1</v>
      </c>
      <c r="Y140" t="b">
        <f t="shared" si="13"/>
        <v>1</v>
      </c>
      <c r="Z140" t="b">
        <f t="shared" si="14"/>
        <v>0</v>
      </c>
    </row>
    <row r="141" spans="1:26" ht="15" customHeight="1">
      <c r="A141" t="s">
        <v>454</v>
      </c>
      <c r="B141" t="s">
        <v>455</v>
      </c>
      <c r="C141" s="14">
        <v>45891</v>
      </c>
      <c r="D141" s="14">
        <v>45887</v>
      </c>
      <c r="E141">
        <v>2025</v>
      </c>
      <c r="F141">
        <v>8</v>
      </c>
      <c r="G141" t="s">
        <v>417</v>
      </c>
      <c r="H141" t="s">
        <v>418</v>
      </c>
      <c r="I141" t="s">
        <v>124</v>
      </c>
      <c r="J141" s="15">
        <v>59506.8</v>
      </c>
      <c r="K141" s="15">
        <v>0</v>
      </c>
      <c r="L141" s="15">
        <f t="shared" si="10"/>
        <v>59506.8</v>
      </c>
      <c r="M141" t="s">
        <v>125</v>
      </c>
      <c r="N141" t="s">
        <v>456</v>
      </c>
      <c r="O141" t="s">
        <v>127</v>
      </c>
      <c r="P141" t="s">
        <v>128</v>
      </c>
      <c r="Q141" t="s">
        <v>151</v>
      </c>
      <c r="R141" s="16">
        <v>45891.927083333299</v>
      </c>
      <c r="S141" t="s">
        <v>130</v>
      </c>
      <c r="V141" t="b">
        <f t="shared" si="11"/>
        <v>0</v>
      </c>
      <c r="W141" t="b">
        <f>AND(OR(WEEKDAY(C141,2)=5,WEEKDAY(C141,2)=6),'01_Parameters'!$C$11="Enabled")</f>
        <v>1</v>
      </c>
      <c r="X141" t="b">
        <f t="shared" si="12"/>
        <v>1</v>
      </c>
      <c r="Y141" t="b">
        <f t="shared" si="13"/>
        <v>0</v>
      </c>
      <c r="Z141" t="b">
        <f t="shared" si="14"/>
        <v>0</v>
      </c>
    </row>
    <row r="142" spans="1:26" ht="15" customHeight="1">
      <c r="A142" t="s">
        <v>454</v>
      </c>
      <c r="B142" t="s">
        <v>457</v>
      </c>
      <c r="C142" s="14">
        <v>45891</v>
      </c>
      <c r="D142" s="14">
        <v>45887</v>
      </c>
      <c r="E142">
        <v>2025</v>
      </c>
      <c r="F142">
        <v>8</v>
      </c>
      <c r="G142" t="s">
        <v>132</v>
      </c>
      <c r="H142" t="s">
        <v>133</v>
      </c>
      <c r="I142" t="s">
        <v>134</v>
      </c>
      <c r="J142" s="15">
        <v>0</v>
      </c>
      <c r="K142" s="15">
        <v>59506.8</v>
      </c>
      <c r="L142" s="15">
        <f t="shared" si="10"/>
        <v>-59506.8</v>
      </c>
      <c r="M142" t="s">
        <v>125</v>
      </c>
      <c r="N142" t="s">
        <v>456</v>
      </c>
      <c r="O142" t="s">
        <v>127</v>
      </c>
      <c r="P142" t="s">
        <v>128</v>
      </c>
      <c r="Q142" t="s">
        <v>151</v>
      </c>
      <c r="R142" s="16">
        <v>45891.927083333299</v>
      </c>
      <c r="S142" t="s">
        <v>130</v>
      </c>
      <c r="V142" t="b">
        <f t="shared" si="11"/>
        <v>0</v>
      </c>
      <c r="W142" t="b">
        <f>AND(OR(WEEKDAY(C142,2)=5,WEEKDAY(C142,2)=6),'01_Parameters'!$C$11="Enabled")</f>
        <v>1</v>
      </c>
      <c r="X142" t="b">
        <f t="shared" si="12"/>
        <v>1</v>
      </c>
      <c r="Y142" t="b">
        <f t="shared" si="13"/>
        <v>0</v>
      </c>
      <c r="Z142" t="b">
        <f t="shared" si="14"/>
        <v>0</v>
      </c>
    </row>
    <row r="143" spans="1:26" ht="15" customHeight="1">
      <c r="A143" t="s">
        <v>458</v>
      </c>
      <c r="B143" t="s">
        <v>459</v>
      </c>
      <c r="C143" s="14">
        <v>45714</v>
      </c>
      <c r="D143" s="14">
        <v>45712</v>
      </c>
      <c r="E143">
        <v>2025</v>
      </c>
      <c r="F143">
        <v>2</v>
      </c>
      <c r="G143" t="s">
        <v>144</v>
      </c>
      <c r="H143" t="s">
        <v>145</v>
      </c>
      <c r="I143" t="s">
        <v>146</v>
      </c>
      <c r="J143" s="15">
        <v>19313.52</v>
      </c>
      <c r="K143" s="15">
        <v>0</v>
      </c>
      <c r="L143" s="15">
        <f t="shared" si="10"/>
        <v>19313.52</v>
      </c>
      <c r="M143" t="s">
        <v>147</v>
      </c>
      <c r="N143" t="s">
        <v>460</v>
      </c>
      <c r="O143" t="s">
        <v>149</v>
      </c>
      <c r="P143" t="s">
        <v>140</v>
      </c>
      <c r="Q143" t="s">
        <v>129</v>
      </c>
      <c r="R143" s="16">
        <v>45714.760416666701</v>
      </c>
      <c r="S143" t="s">
        <v>130</v>
      </c>
      <c r="V143" t="b">
        <f t="shared" si="11"/>
        <v>0</v>
      </c>
      <c r="W143" t="b">
        <f>AND(OR(WEEKDAY(C143,2)=5,WEEKDAY(C143,2)=6),'01_Parameters'!$C$11="Enabled")</f>
        <v>0</v>
      </c>
      <c r="X143" t="b">
        <f t="shared" si="12"/>
        <v>1</v>
      </c>
      <c r="Y143" t="b">
        <f t="shared" si="13"/>
        <v>0</v>
      </c>
      <c r="Z143" t="b">
        <f t="shared" si="14"/>
        <v>0</v>
      </c>
    </row>
    <row r="144" spans="1:26" ht="15" customHeight="1">
      <c r="A144" t="s">
        <v>458</v>
      </c>
      <c r="B144" t="s">
        <v>461</v>
      </c>
      <c r="C144" s="14">
        <v>45714</v>
      </c>
      <c r="D144" s="14">
        <v>45712</v>
      </c>
      <c r="E144">
        <v>2025</v>
      </c>
      <c r="F144">
        <v>2</v>
      </c>
      <c r="G144" t="s">
        <v>153</v>
      </c>
      <c r="H144" t="s">
        <v>154</v>
      </c>
      <c r="I144" t="s">
        <v>155</v>
      </c>
      <c r="J144" s="15">
        <v>0</v>
      </c>
      <c r="K144" s="15">
        <v>19313.52</v>
      </c>
      <c r="L144" s="15">
        <f t="shared" si="10"/>
        <v>-19313.52</v>
      </c>
      <c r="M144" t="s">
        <v>147</v>
      </c>
      <c r="N144" t="s">
        <v>460</v>
      </c>
      <c r="O144" t="s">
        <v>149</v>
      </c>
      <c r="P144" t="s">
        <v>140</v>
      </c>
      <c r="Q144" t="s">
        <v>129</v>
      </c>
      <c r="R144" s="16">
        <v>45714.760416666701</v>
      </c>
      <c r="S144" t="s">
        <v>130</v>
      </c>
      <c r="V144" t="b">
        <f t="shared" si="11"/>
        <v>0</v>
      </c>
      <c r="W144" t="b">
        <f>AND(OR(WEEKDAY(C144,2)=5,WEEKDAY(C144,2)=6),'01_Parameters'!$C$11="Enabled")</f>
        <v>0</v>
      </c>
      <c r="X144" t="b">
        <f t="shared" si="12"/>
        <v>1</v>
      </c>
      <c r="Y144" t="b">
        <f t="shared" si="13"/>
        <v>0</v>
      </c>
      <c r="Z144" t="b">
        <f t="shared" si="14"/>
        <v>0</v>
      </c>
    </row>
    <row r="145" spans="1:26" ht="15" customHeight="1">
      <c r="A145" t="s">
        <v>462</v>
      </c>
      <c r="B145" t="s">
        <v>463</v>
      </c>
      <c r="C145" s="14">
        <v>45894</v>
      </c>
      <c r="D145" s="14">
        <v>45890</v>
      </c>
      <c r="E145">
        <v>2025</v>
      </c>
      <c r="F145">
        <v>8</v>
      </c>
      <c r="G145" t="s">
        <v>179</v>
      </c>
      <c r="H145" t="s">
        <v>180</v>
      </c>
      <c r="I145" t="s">
        <v>124</v>
      </c>
      <c r="J145" s="15">
        <v>61809.74</v>
      </c>
      <c r="K145" s="15">
        <v>0</v>
      </c>
      <c r="L145" s="15">
        <f t="shared" si="10"/>
        <v>61809.74</v>
      </c>
      <c r="M145" t="s">
        <v>181</v>
      </c>
      <c r="N145" t="s">
        <v>464</v>
      </c>
      <c r="O145" t="s">
        <v>183</v>
      </c>
      <c r="P145" t="s">
        <v>175</v>
      </c>
      <c r="Q145" t="s">
        <v>150</v>
      </c>
      <c r="R145" s="16">
        <v>45894.739583333299</v>
      </c>
      <c r="S145" t="s">
        <v>130</v>
      </c>
      <c r="V145" t="b">
        <f t="shared" si="11"/>
        <v>0</v>
      </c>
      <c r="W145" t="b">
        <f>AND(OR(WEEKDAY(C145,2)=5,WEEKDAY(C145,2)=6),'01_Parameters'!$C$11="Enabled")</f>
        <v>0</v>
      </c>
      <c r="X145" t="b">
        <f t="shared" si="12"/>
        <v>0</v>
      </c>
      <c r="Y145" t="b">
        <f t="shared" si="13"/>
        <v>0</v>
      </c>
      <c r="Z145" t="b">
        <f t="shared" si="14"/>
        <v>0</v>
      </c>
    </row>
    <row r="146" spans="1:26" ht="15" customHeight="1">
      <c r="A146" t="s">
        <v>462</v>
      </c>
      <c r="B146" t="s">
        <v>465</v>
      </c>
      <c r="C146" s="14">
        <v>45894</v>
      </c>
      <c r="D146" s="14">
        <v>45890</v>
      </c>
      <c r="E146">
        <v>2025</v>
      </c>
      <c r="F146">
        <v>8</v>
      </c>
      <c r="G146" t="s">
        <v>185</v>
      </c>
      <c r="H146" t="s">
        <v>186</v>
      </c>
      <c r="I146" t="s">
        <v>134</v>
      </c>
      <c r="J146" s="15">
        <v>0</v>
      </c>
      <c r="K146" s="15">
        <v>61809.74</v>
      </c>
      <c r="L146" s="15">
        <f t="shared" si="10"/>
        <v>-61809.74</v>
      </c>
      <c r="M146" t="s">
        <v>181</v>
      </c>
      <c r="N146" t="s">
        <v>464</v>
      </c>
      <c r="O146" t="s">
        <v>183</v>
      </c>
      <c r="P146" t="s">
        <v>175</v>
      </c>
      <c r="Q146" t="s">
        <v>150</v>
      </c>
      <c r="R146" s="16">
        <v>45894.739583333299</v>
      </c>
      <c r="S146" t="s">
        <v>130</v>
      </c>
      <c r="V146" t="b">
        <f t="shared" si="11"/>
        <v>0</v>
      </c>
      <c r="W146" t="b">
        <f>AND(OR(WEEKDAY(C146,2)=5,WEEKDAY(C146,2)=6),'01_Parameters'!$C$11="Enabled")</f>
        <v>0</v>
      </c>
      <c r="X146" t="b">
        <f t="shared" si="12"/>
        <v>0</v>
      </c>
      <c r="Y146" t="b">
        <f t="shared" si="13"/>
        <v>0</v>
      </c>
      <c r="Z146" t="b">
        <f t="shared" si="14"/>
        <v>0</v>
      </c>
    </row>
    <row r="147" spans="1:26" ht="15" customHeight="1">
      <c r="A147" t="s">
        <v>466</v>
      </c>
      <c r="B147" t="s">
        <v>467</v>
      </c>
      <c r="C147" s="14">
        <v>45794</v>
      </c>
      <c r="D147" s="14">
        <v>45793</v>
      </c>
      <c r="E147">
        <v>2025</v>
      </c>
      <c r="F147">
        <v>5</v>
      </c>
      <c r="G147" t="s">
        <v>334</v>
      </c>
      <c r="H147" t="s">
        <v>335</v>
      </c>
      <c r="I147" t="s">
        <v>124</v>
      </c>
      <c r="J147" s="15">
        <v>65828.990000000005</v>
      </c>
      <c r="K147" s="15">
        <v>0</v>
      </c>
      <c r="L147" s="15">
        <f t="shared" si="10"/>
        <v>65828.990000000005</v>
      </c>
      <c r="M147" t="s">
        <v>125</v>
      </c>
      <c r="N147" t="s">
        <v>468</v>
      </c>
      <c r="O147" t="s">
        <v>127</v>
      </c>
      <c r="P147" t="s">
        <v>150</v>
      </c>
      <c r="Q147" t="s">
        <v>129</v>
      </c>
      <c r="R147" s="16">
        <v>45794.770833333299</v>
      </c>
      <c r="S147" t="s">
        <v>130</v>
      </c>
      <c r="V147" t="b">
        <f t="shared" si="11"/>
        <v>0</v>
      </c>
      <c r="W147" t="b">
        <f>AND(OR(WEEKDAY(C147,2)=5,WEEKDAY(C147,2)=6),'01_Parameters'!$C$11="Enabled")</f>
        <v>1</v>
      </c>
      <c r="X147" t="b">
        <f t="shared" si="12"/>
        <v>1</v>
      </c>
      <c r="Y147" t="b">
        <f t="shared" si="13"/>
        <v>0</v>
      </c>
      <c r="Z147" t="b">
        <f t="shared" si="14"/>
        <v>0</v>
      </c>
    </row>
    <row r="148" spans="1:26" ht="15" customHeight="1">
      <c r="A148" t="s">
        <v>466</v>
      </c>
      <c r="B148" t="s">
        <v>469</v>
      </c>
      <c r="C148" s="14">
        <v>45794</v>
      </c>
      <c r="D148" s="14">
        <v>45793</v>
      </c>
      <c r="E148">
        <v>2025</v>
      </c>
      <c r="F148">
        <v>5</v>
      </c>
      <c r="G148" t="s">
        <v>132</v>
      </c>
      <c r="H148" t="s">
        <v>133</v>
      </c>
      <c r="I148" t="s">
        <v>134</v>
      </c>
      <c r="J148" s="15">
        <v>0</v>
      </c>
      <c r="K148" s="15">
        <v>65828.990000000005</v>
      </c>
      <c r="L148" s="15">
        <f t="shared" si="10"/>
        <v>-65828.990000000005</v>
      </c>
      <c r="M148" t="s">
        <v>125</v>
      </c>
      <c r="N148" t="s">
        <v>468</v>
      </c>
      <c r="O148" t="s">
        <v>127</v>
      </c>
      <c r="P148" t="s">
        <v>150</v>
      </c>
      <c r="Q148" t="s">
        <v>129</v>
      </c>
      <c r="R148" s="16">
        <v>45794.770833333299</v>
      </c>
      <c r="S148" t="s">
        <v>130</v>
      </c>
      <c r="V148" t="b">
        <f t="shared" si="11"/>
        <v>0</v>
      </c>
      <c r="W148" t="b">
        <f>AND(OR(WEEKDAY(C148,2)=5,WEEKDAY(C148,2)=6),'01_Parameters'!$C$11="Enabled")</f>
        <v>1</v>
      </c>
      <c r="X148" t="b">
        <f t="shared" si="12"/>
        <v>1</v>
      </c>
      <c r="Y148" t="b">
        <f t="shared" si="13"/>
        <v>0</v>
      </c>
      <c r="Z148" t="b">
        <f t="shared" si="14"/>
        <v>0</v>
      </c>
    </row>
    <row r="149" spans="1:26" ht="15" customHeight="1">
      <c r="A149" t="s">
        <v>470</v>
      </c>
      <c r="B149" t="s">
        <v>471</v>
      </c>
      <c r="C149" s="14">
        <v>45870</v>
      </c>
      <c r="D149" s="14">
        <v>45866</v>
      </c>
      <c r="E149">
        <v>2025</v>
      </c>
      <c r="F149">
        <v>8</v>
      </c>
      <c r="G149" t="s">
        <v>158</v>
      </c>
      <c r="H149" t="s">
        <v>159</v>
      </c>
      <c r="I149" t="s">
        <v>124</v>
      </c>
      <c r="J149" s="15">
        <v>13649.24</v>
      </c>
      <c r="K149" s="15">
        <v>0</v>
      </c>
      <c r="L149" s="15">
        <f t="shared" si="10"/>
        <v>13649.24</v>
      </c>
      <c r="M149" t="s">
        <v>160</v>
      </c>
      <c r="N149" t="s">
        <v>472</v>
      </c>
      <c r="O149" t="s">
        <v>162</v>
      </c>
      <c r="P149" t="s">
        <v>175</v>
      </c>
      <c r="Q149" t="s">
        <v>140</v>
      </c>
      <c r="R149" s="16">
        <v>45870.770833333299</v>
      </c>
      <c r="S149" t="s">
        <v>130</v>
      </c>
      <c r="V149" t="b">
        <f t="shared" si="11"/>
        <v>0</v>
      </c>
      <c r="W149" t="b">
        <f>AND(OR(WEEKDAY(C149,2)=5,WEEKDAY(C149,2)=6),'01_Parameters'!$C$11="Enabled")</f>
        <v>1</v>
      </c>
      <c r="X149" t="b">
        <f t="shared" si="12"/>
        <v>1</v>
      </c>
      <c r="Y149" t="b">
        <f t="shared" si="13"/>
        <v>0</v>
      </c>
      <c r="Z149" t="b">
        <f t="shared" si="14"/>
        <v>0</v>
      </c>
    </row>
    <row r="150" spans="1:26" ht="15" customHeight="1">
      <c r="A150" t="s">
        <v>470</v>
      </c>
      <c r="B150" t="s">
        <v>473</v>
      </c>
      <c r="C150" s="14">
        <v>45870</v>
      </c>
      <c r="D150" s="14">
        <v>45866</v>
      </c>
      <c r="E150">
        <v>2025</v>
      </c>
      <c r="F150">
        <v>8</v>
      </c>
      <c r="G150" t="s">
        <v>164</v>
      </c>
      <c r="H150" t="s">
        <v>165</v>
      </c>
      <c r="I150" t="s">
        <v>146</v>
      </c>
      <c r="J150" s="15">
        <v>0</v>
      </c>
      <c r="K150" s="15">
        <v>13649.24</v>
      </c>
      <c r="L150" s="15">
        <f t="shared" si="10"/>
        <v>-13649.24</v>
      </c>
      <c r="M150" t="s">
        <v>160</v>
      </c>
      <c r="N150" t="s">
        <v>472</v>
      </c>
      <c r="O150" t="s">
        <v>162</v>
      </c>
      <c r="P150" t="s">
        <v>175</v>
      </c>
      <c r="Q150" t="s">
        <v>140</v>
      </c>
      <c r="R150" s="16">
        <v>45870.770833333299</v>
      </c>
      <c r="S150" t="s">
        <v>130</v>
      </c>
      <c r="V150" t="b">
        <f t="shared" si="11"/>
        <v>0</v>
      </c>
      <c r="W150" t="b">
        <f>AND(OR(WEEKDAY(C150,2)=5,WEEKDAY(C150,2)=6),'01_Parameters'!$C$11="Enabled")</f>
        <v>1</v>
      </c>
      <c r="X150" t="b">
        <f t="shared" si="12"/>
        <v>1</v>
      </c>
      <c r="Y150" t="b">
        <f t="shared" si="13"/>
        <v>0</v>
      </c>
      <c r="Z150" t="b">
        <f t="shared" si="14"/>
        <v>0</v>
      </c>
    </row>
    <row r="151" spans="1:26" ht="15" customHeight="1">
      <c r="A151" t="s">
        <v>474</v>
      </c>
      <c r="B151" t="s">
        <v>475</v>
      </c>
      <c r="C151" s="14">
        <v>45693</v>
      </c>
      <c r="D151" s="14">
        <v>45689</v>
      </c>
      <c r="E151">
        <v>2025</v>
      </c>
      <c r="F151">
        <v>2</v>
      </c>
      <c r="G151" t="s">
        <v>158</v>
      </c>
      <c r="H151" t="s">
        <v>159</v>
      </c>
      <c r="I151" t="s">
        <v>124</v>
      </c>
      <c r="J151" s="15">
        <v>75385.899999999994</v>
      </c>
      <c r="K151" s="15">
        <v>0</v>
      </c>
      <c r="L151" s="15">
        <f t="shared" si="10"/>
        <v>75385.899999999994</v>
      </c>
      <c r="M151" t="s">
        <v>160</v>
      </c>
      <c r="N151" t="s">
        <v>476</v>
      </c>
      <c r="O151" t="s">
        <v>162</v>
      </c>
      <c r="P151" t="s">
        <v>175</v>
      </c>
      <c r="Q151" t="s">
        <v>150</v>
      </c>
      <c r="R151" s="16">
        <v>45693.875</v>
      </c>
      <c r="S151" t="s">
        <v>130</v>
      </c>
      <c r="V151" t="b">
        <f t="shared" si="11"/>
        <v>0</v>
      </c>
      <c r="W151" t="b">
        <f>AND(OR(WEEKDAY(C151,2)=5,WEEKDAY(C151,2)=6),'01_Parameters'!$C$11="Enabled")</f>
        <v>0</v>
      </c>
      <c r="X151" t="b">
        <f t="shared" si="12"/>
        <v>1</v>
      </c>
      <c r="Y151" t="b">
        <f t="shared" si="13"/>
        <v>0</v>
      </c>
      <c r="Z151" t="b">
        <f t="shared" si="14"/>
        <v>0</v>
      </c>
    </row>
    <row r="152" spans="1:26" ht="15" customHeight="1">
      <c r="A152" t="s">
        <v>474</v>
      </c>
      <c r="B152" t="s">
        <v>477</v>
      </c>
      <c r="C152" s="14">
        <v>45693</v>
      </c>
      <c r="D152" s="14">
        <v>45689</v>
      </c>
      <c r="E152">
        <v>2025</v>
      </c>
      <c r="F152">
        <v>2</v>
      </c>
      <c r="G152" t="s">
        <v>164</v>
      </c>
      <c r="H152" t="s">
        <v>165</v>
      </c>
      <c r="I152" t="s">
        <v>146</v>
      </c>
      <c r="J152" s="15">
        <v>0</v>
      </c>
      <c r="K152" s="15">
        <v>75385.899999999994</v>
      </c>
      <c r="L152" s="15">
        <f t="shared" si="10"/>
        <v>-75385.899999999994</v>
      </c>
      <c r="M152" t="s">
        <v>160</v>
      </c>
      <c r="N152" t="s">
        <v>476</v>
      </c>
      <c r="O152" t="s">
        <v>162</v>
      </c>
      <c r="P152" t="s">
        <v>175</v>
      </c>
      <c r="Q152" t="s">
        <v>150</v>
      </c>
      <c r="R152" s="16">
        <v>45693.875</v>
      </c>
      <c r="S152" t="s">
        <v>130</v>
      </c>
      <c r="V152" t="b">
        <f t="shared" si="11"/>
        <v>0</v>
      </c>
      <c r="W152" t="b">
        <f>AND(OR(WEEKDAY(C152,2)=5,WEEKDAY(C152,2)=6),'01_Parameters'!$C$11="Enabled")</f>
        <v>0</v>
      </c>
      <c r="X152" t="b">
        <f t="shared" si="12"/>
        <v>1</v>
      </c>
      <c r="Y152" t="b">
        <f t="shared" si="13"/>
        <v>0</v>
      </c>
      <c r="Z152" t="b">
        <f t="shared" si="14"/>
        <v>0</v>
      </c>
    </row>
    <row r="153" spans="1:26" ht="15" customHeight="1">
      <c r="A153" t="s">
        <v>478</v>
      </c>
      <c r="B153" t="s">
        <v>479</v>
      </c>
      <c r="C153" s="14">
        <v>46018</v>
      </c>
      <c r="D153" s="14">
        <v>46015</v>
      </c>
      <c r="E153">
        <v>2025</v>
      </c>
      <c r="F153">
        <v>12</v>
      </c>
      <c r="G153" t="s">
        <v>144</v>
      </c>
      <c r="H153" t="s">
        <v>145</v>
      </c>
      <c r="I153" t="s">
        <v>146</v>
      </c>
      <c r="J153" s="15">
        <v>20073.78</v>
      </c>
      <c r="K153" s="15">
        <v>0</v>
      </c>
      <c r="L153" s="15">
        <f t="shared" si="10"/>
        <v>20073.78</v>
      </c>
      <c r="M153" t="s">
        <v>147</v>
      </c>
      <c r="N153" t="s">
        <v>480</v>
      </c>
      <c r="O153" t="s">
        <v>149</v>
      </c>
      <c r="P153" t="s">
        <v>129</v>
      </c>
      <c r="Q153" t="s">
        <v>140</v>
      </c>
      <c r="R153" s="16">
        <v>46018.802083333299</v>
      </c>
      <c r="S153" t="s">
        <v>130</v>
      </c>
      <c r="V153" t="b">
        <f t="shared" si="11"/>
        <v>1</v>
      </c>
      <c r="W153" t="b">
        <f>AND(OR(WEEKDAY(C153,2)=5,WEEKDAY(C153,2)=6),'01_Parameters'!$C$11="Enabled")</f>
        <v>1</v>
      </c>
      <c r="X153" t="b">
        <f t="shared" si="12"/>
        <v>1</v>
      </c>
      <c r="Y153" t="b">
        <f t="shared" si="13"/>
        <v>0</v>
      </c>
      <c r="Z153" t="b">
        <f t="shared" si="14"/>
        <v>0</v>
      </c>
    </row>
    <row r="154" spans="1:26" ht="15" customHeight="1">
      <c r="A154" t="s">
        <v>478</v>
      </c>
      <c r="B154" t="s">
        <v>481</v>
      </c>
      <c r="C154" s="14">
        <v>46018</v>
      </c>
      <c r="D154" s="14">
        <v>46015</v>
      </c>
      <c r="E154">
        <v>2025</v>
      </c>
      <c r="F154">
        <v>12</v>
      </c>
      <c r="G154" t="s">
        <v>153</v>
      </c>
      <c r="H154" t="s">
        <v>154</v>
      </c>
      <c r="I154" t="s">
        <v>155</v>
      </c>
      <c r="J154" s="15">
        <v>0</v>
      </c>
      <c r="K154" s="15">
        <v>20073.78</v>
      </c>
      <c r="L154" s="15">
        <f t="shared" si="10"/>
        <v>-20073.78</v>
      </c>
      <c r="M154" t="s">
        <v>147</v>
      </c>
      <c r="N154" t="s">
        <v>480</v>
      </c>
      <c r="O154" t="s">
        <v>149</v>
      </c>
      <c r="P154" t="s">
        <v>129</v>
      </c>
      <c r="Q154" t="s">
        <v>140</v>
      </c>
      <c r="R154" s="16">
        <v>46018.802083333299</v>
      </c>
      <c r="S154" t="s">
        <v>130</v>
      </c>
      <c r="V154" t="b">
        <f t="shared" si="11"/>
        <v>1</v>
      </c>
      <c r="W154" t="b">
        <f>AND(OR(WEEKDAY(C154,2)=5,WEEKDAY(C154,2)=6),'01_Parameters'!$C$11="Enabled")</f>
        <v>1</v>
      </c>
      <c r="X154" t="b">
        <f t="shared" si="12"/>
        <v>1</v>
      </c>
      <c r="Y154" t="b">
        <f t="shared" si="13"/>
        <v>0</v>
      </c>
      <c r="Z154" t="b">
        <f t="shared" si="14"/>
        <v>0</v>
      </c>
    </row>
    <row r="155" spans="1:26" ht="15" customHeight="1">
      <c r="A155" t="s">
        <v>482</v>
      </c>
      <c r="B155" t="s">
        <v>483</v>
      </c>
      <c r="C155" s="14">
        <v>45679</v>
      </c>
      <c r="D155" s="14">
        <v>45674</v>
      </c>
      <c r="E155">
        <v>2025</v>
      </c>
      <c r="F155">
        <v>1</v>
      </c>
      <c r="G155" t="s">
        <v>193</v>
      </c>
      <c r="H155" t="s">
        <v>194</v>
      </c>
      <c r="I155" t="s">
        <v>124</v>
      </c>
      <c r="J155" s="15">
        <v>73561.929999999993</v>
      </c>
      <c r="K155" s="15">
        <v>0</v>
      </c>
      <c r="L155" s="15">
        <f t="shared" si="10"/>
        <v>73561.929999999993</v>
      </c>
      <c r="M155" t="s">
        <v>195</v>
      </c>
      <c r="N155" t="s">
        <v>484</v>
      </c>
      <c r="O155" t="s">
        <v>197</v>
      </c>
      <c r="P155" t="s">
        <v>129</v>
      </c>
      <c r="Q155" t="s">
        <v>140</v>
      </c>
      <c r="R155" s="16">
        <v>45679.541666666701</v>
      </c>
      <c r="S155" t="s">
        <v>130</v>
      </c>
      <c r="V155" t="b">
        <f t="shared" si="11"/>
        <v>0</v>
      </c>
      <c r="W155" t="b">
        <f>AND(OR(WEEKDAY(C155,2)=5,WEEKDAY(C155,2)=6),'01_Parameters'!$C$11="Enabled")</f>
        <v>0</v>
      </c>
      <c r="X155" t="b">
        <f t="shared" si="12"/>
        <v>0</v>
      </c>
      <c r="Y155" t="b">
        <f t="shared" si="13"/>
        <v>0</v>
      </c>
      <c r="Z155" t="b">
        <f t="shared" si="14"/>
        <v>0</v>
      </c>
    </row>
    <row r="156" spans="1:26" ht="15" customHeight="1">
      <c r="A156" t="s">
        <v>482</v>
      </c>
      <c r="B156" t="s">
        <v>485</v>
      </c>
      <c r="C156" s="14">
        <v>45679</v>
      </c>
      <c r="D156" s="14">
        <v>45674</v>
      </c>
      <c r="E156">
        <v>2025</v>
      </c>
      <c r="F156">
        <v>1</v>
      </c>
      <c r="G156" t="s">
        <v>199</v>
      </c>
      <c r="H156" t="s">
        <v>200</v>
      </c>
      <c r="I156" t="s">
        <v>146</v>
      </c>
      <c r="J156" s="15">
        <v>0</v>
      </c>
      <c r="K156" s="15">
        <v>73561.929999999993</v>
      </c>
      <c r="L156" s="15">
        <f t="shared" si="10"/>
        <v>-73561.929999999993</v>
      </c>
      <c r="M156" t="s">
        <v>195</v>
      </c>
      <c r="N156" t="s">
        <v>484</v>
      </c>
      <c r="O156" t="s">
        <v>197</v>
      </c>
      <c r="P156" t="s">
        <v>129</v>
      </c>
      <c r="Q156" t="s">
        <v>140</v>
      </c>
      <c r="R156" s="16">
        <v>45679.541666666701</v>
      </c>
      <c r="S156" t="s">
        <v>130</v>
      </c>
      <c r="V156" t="b">
        <f t="shared" si="11"/>
        <v>0</v>
      </c>
      <c r="W156" t="b">
        <f>AND(OR(WEEKDAY(C156,2)=5,WEEKDAY(C156,2)=6),'01_Parameters'!$C$11="Enabled")</f>
        <v>0</v>
      </c>
      <c r="X156" t="b">
        <f t="shared" si="12"/>
        <v>0</v>
      </c>
      <c r="Y156" t="b">
        <f t="shared" si="13"/>
        <v>0</v>
      </c>
      <c r="Z156" t="b">
        <f t="shared" si="14"/>
        <v>0</v>
      </c>
    </row>
    <row r="157" spans="1:26" ht="15" customHeight="1">
      <c r="A157" t="s">
        <v>486</v>
      </c>
      <c r="B157" t="s">
        <v>487</v>
      </c>
      <c r="C157" s="14">
        <v>45693</v>
      </c>
      <c r="D157" s="14">
        <v>45691</v>
      </c>
      <c r="E157">
        <v>2025</v>
      </c>
      <c r="F157">
        <v>2</v>
      </c>
      <c r="G157" t="s">
        <v>417</v>
      </c>
      <c r="H157" t="s">
        <v>418</v>
      </c>
      <c r="I157" t="s">
        <v>124</v>
      </c>
      <c r="J157" s="15">
        <v>171319.57</v>
      </c>
      <c r="K157" s="15">
        <v>0</v>
      </c>
      <c r="L157" s="15">
        <f t="shared" si="10"/>
        <v>171319.57</v>
      </c>
      <c r="M157" t="s">
        <v>125</v>
      </c>
      <c r="N157" t="s">
        <v>488</v>
      </c>
      <c r="O157" t="s">
        <v>127</v>
      </c>
      <c r="P157" t="s">
        <v>151</v>
      </c>
      <c r="Q157" t="s">
        <v>175</v>
      </c>
      <c r="R157" s="16">
        <v>45693.833333333299</v>
      </c>
      <c r="S157" t="s">
        <v>130</v>
      </c>
      <c r="V157" t="b">
        <f t="shared" si="11"/>
        <v>0</v>
      </c>
      <c r="W157" t="b">
        <f>AND(OR(WEEKDAY(C157,2)=5,WEEKDAY(C157,2)=6),'01_Parameters'!$C$11="Enabled")</f>
        <v>0</v>
      </c>
      <c r="X157" t="b">
        <f t="shared" si="12"/>
        <v>1</v>
      </c>
      <c r="Y157" t="b">
        <f t="shared" si="13"/>
        <v>1</v>
      </c>
      <c r="Z157" t="b">
        <f t="shared" si="14"/>
        <v>0</v>
      </c>
    </row>
    <row r="158" spans="1:26" ht="15" customHeight="1">
      <c r="A158" t="s">
        <v>486</v>
      </c>
      <c r="B158" t="s">
        <v>489</v>
      </c>
      <c r="C158" s="14">
        <v>45693</v>
      </c>
      <c r="D158" s="14">
        <v>45691</v>
      </c>
      <c r="E158">
        <v>2025</v>
      </c>
      <c r="F158">
        <v>2</v>
      </c>
      <c r="G158" t="s">
        <v>132</v>
      </c>
      <c r="H158" t="s">
        <v>133</v>
      </c>
      <c r="I158" t="s">
        <v>134</v>
      </c>
      <c r="J158" s="15">
        <v>0</v>
      </c>
      <c r="K158" s="15">
        <v>171319.57</v>
      </c>
      <c r="L158" s="15">
        <f t="shared" si="10"/>
        <v>-171319.57</v>
      </c>
      <c r="M158" t="s">
        <v>125</v>
      </c>
      <c r="N158" t="s">
        <v>488</v>
      </c>
      <c r="O158" t="s">
        <v>127</v>
      </c>
      <c r="P158" t="s">
        <v>151</v>
      </c>
      <c r="Q158" t="s">
        <v>175</v>
      </c>
      <c r="R158" s="16">
        <v>45693.833333333299</v>
      </c>
      <c r="S158" t="s">
        <v>130</v>
      </c>
      <c r="V158" t="b">
        <f t="shared" si="11"/>
        <v>0</v>
      </c>
      <c r="W158" t="b">
        <f>AND(OR(WEEKDAY(C158,2)=5,WEEKDAY(C158,2)=6),'01_Parameters'!$C$11="Enabled")</f>
        <v>0</v>
      </c>
      <c r="X158" t="b">
        <f t="shared" si="12"/>
        <v>1</v>
      </c>
      <c r="Y158" t="b">
        <f t="shared" si="13"/>
        <v>1</v>
      </c>
      <c r="Z158" t="b">
        <f t="shared" si="14"/>
        <v>0</v>
      </c>
    </row>
    <row r="159" spans="1:26" ht="15" customHeight="1">
      <c r="A159" t="s">
        <v>490</v>
      </c>
      <c r="B159" t="s">
        <v>491</v>
      </c>
      <c r="C159" s="14">
        <v>45849</v>
      </c>
      <c r="D159" s="14">
        <v>45848</v>
      </c>
      <c r="E159">
        <v>2025</v>
      </c>
      <c r="F159">
        <v>7</v>
      </c>
      <c r="G159" t="s">
        <v>172</v>
      </c>
      <c r="H159" t="s">
        <v>173</v>
      </c>
      <c r="I159" t="s">
        <v>124</v>
      </c>
      <c r="J159" s="15">
        <v>138317.56</v>
      </c>
      <c r="K159" s="15">
        <v>0</v>
      </c>
      <c r="L159" s="15">
        <f t="shared" si="10"/>
        <v>138317.56</v>
      </c>
      <c r="M159" t="s">
        <v>125</v>
      </c>
      <c r="N159" t="s">
        <v>492</v>
      </c>
      <c r="O159" t="s">
        <v>127</v>
      </c>
      <c r="P159" t="s">
        <v>129</v>
      </c>
      <c r="Q159" t="s">
        <v>151</v>
      </c>
      <c r="R159" s="16">
        <v>45849.885416666701</v>
      </c>
      <c r="S159" t="s">
        <v>130</v>
      </c>
      <c r="V159" t="b">
        <f t="shared" si="11"/>
        <v>0</v>
      </c>
      <c r="W159" t="b">
        <f>AND(OR(WEEKDAY(C159,2)=5,WEEKDAY(C159,2)=6),'01_Parameters'!$C$11="Enabled")</f>
        <v>1</v>
      </c>
      <c r="X159" t="b">
        <f t="shared" si="12"/>
        <v>1</v>
      </c>
      <c r="Y159" t="b">
        <f t="shared" si="13"/>
        <v>1</v>
      </c>
      <c r="Z159" t="b">
        <f t="shared" si="14"/>
        <v>0</v>
      </c>
    </row>
    <row r="160" spans="1:26" ht="15" customHeight="1">
      <c r="A160" t="s">
        <v>490</v>
      </c>
      <c r="B160" t="s">
        <v>493</v>
      </c>
      <c r="C160" s="14">
        <v>45849</v>
      </c>
      <c r="D160" s="14">
        <v>45848</v>
      </c>
      <c r="E160">
        <v>2025</v>
      </c>
      <c r="F160">
        <v>7</v>
      </c>
      <c r="G160" t="s">
        <v>132</v>
      </c>
      <c r="H160" t="s">
        <v>133</v>
      </c>
      <c r="I160" t="s">
        <v>134</v>
      </c>
      <c r="J160" s="15">
        <v>0</v>
      </c>
      <c r="K160" s="15">
        <v>138317.56</v>
      </c>
      <c r="L160" s="15">
        <f t="shared" si="10"/>
        <v>-138317.56</v>
      </c>
      <c r="M160" t="s">
        <v>125</v>
      </c>
      <c r="N160" t="s">
        <v>492</v>
      </c>
      <c r="O160" t="s">
        <v>127</v>
      </c>
      <c r="P160" t="s">
        <v>129</v>
      </c>
      <c r="Q160" t="s">
        <v>151</v>
      </c>
      <c r="R160" s="16">
        <v>45849.885416666701</v>
      </c>
      <c r="S160" t="s">
        <v>130</v>
      </c>
      <c r="V160" t="b">
        <f t="shared" si="11"/>
        <v>0</v>
      </c>
      <c r="W160" t="b">
        <f>AND(OR(WEEKDAY(C160,2)=5,WEEKDAY(C160,2)=6),'01_Parameters'!$C$11="Enabled")</f>
        <v>1</v>
      </c>
      <c r="X160" t="b">
        <f t="shared" si="12"/>
        <v>1</v>
      </c>
      <c r="Y160" t="b">
        <f t="shared" si="13"/>
        <v>1</v>
      </c>
      <c r="Z160" t="b">
        <f t="shared" si="14"/>
        <v>0</v>
      </c>
    </row>
    <row r="161" spans="1:26" ht="15" customHeight="1">
      <c r="A161" t="s">
        <v>494</v>
      </c>
      <c r="B161" t="s">
        <v>495</v>
      </c>
      <c r="C161" s="14">
        <v>45886</v>
      </c>
      <c r="D161" s="14">
        <v>45882</v>
      </c>
      <c r="E161">
        <v>2025</v>
      </c>
      <c r="F161">
        <v>8</v>
      </c>
      <c r="G161" t="s">
        <v>122</v>
      </c>
      <c r="H161" t="s">
        <v>123</v>
      </c>
      <c r="I161" t="s">
        <v>124</v>
      </c>
      <c r="J161" s="15">
        <v>57584.37</v>
      </c>
      <c r="K161" s="15">
        <v>0</v>
      </c>
      <c r="L161" s="15">
        <f t="shared" si="10"/>
        <v>57584.37</v>
      </c>
      <c r="M161" t="s">
        <v>209</v>
      </c>
      <c r="N161" t="s">
        <v>496</v>
      </c>
      <c r="O161" t="s">
        <v>211</v>
      </c>
      <c r="P161" t="s">
        <v>151</v>
      </c>
      <c r="Q161" t="s">
        <v>140</v>
      </c>
      <c r="R161" s="16">
        <v>45886.458333333299</v>
      </c>
      <c r="S161" t="s">
        <v>130</v>
      </c>
      <c r="T161" t="s">
        <v>349</v>
      </c>
      <c r="U161" t="s">
        <v>496</v>
      </c>
      <c r="V161" t="b">
        <f t="shared" si="11"/>
        <v>0</v>
      </c>
      <c r="W161" t="b">
        <f>AND(OR(WEEKDAY(C161,2)=5,WEEKDAY(C161,2)=6),'01_Parameters'!$C$11="Enabled")</f>
        <v>0</v>
      </c>
      <c r="X161" t="b">
        <f t="shared" si="12"/>
        <v>0</v>
      </c>
      <c r="Y161" t="b">
        <f t="shared" si="13"/>
        <v>0</v>
      </c>
      <c r="Z161" t="b">
        <f t="shared" si="14"/>
        <v>0</v>
      </c>
    </row>
    <row r="162" spans="1:26" ht="15" customHeight="1">
      <c r="A162" t="s">
        <v>494</v>
      </c>
      <c r="B162" t="s">
        <v>497</v>
      </c>
      <c r="C162" s="14">
        <v>45886</v>
      </c>
      <c r="D162" s="14">
        <v>45882</v>
      </c>
      <c r="E162">
        <v>2025</v>
      </c>
      <c r="F162">
        <v>8</v>
      </c>
      <c r="G162" t="s">
        <v>132</v>
      </c>
      <c r="H162" t="s">
        <v>133</v>
      </c>
      <c r="I162" t="s">
        <v>134</v>
      </c>
      <c r="J162" s="15">
        <v>0</v>
      </c>
      <c r="K162" s="15">
        <v>57584.37</v>
      </c>
      <c r="L162" s="15">
        <f t="shared" si="10"/>
        <v>-57584.37</v>
      </c>
      <c r="M162" t="s">
        <v>209</v>
      </c>
      <c r="N162" t="s">
        <v>496</v>
      </c>
      <c r="O162" t="s">
        <v>211</v>
      </c>
      <c r="P162" t="s">
        <v>151</v>
      </c>
      <c r="Q162" t="s">
        <v>140</v>
      </c>
      <c r="R162" s="16">
        <v>45886.458333333299</v>
      </c>
      <c r="S162" t="s">
        <v>130</v>
      </c>
      <c r="T162" t="s">
        <v>349</v>
      </c>
      <c r="U162" t="s">
        <v>496</v>
      </c>
      <c r="V162" t="b">
        <f t="shared" si="11"/>
        <v>0</v>
      </c>
      <c r="W162" t="b">
        <f>AND(OR(WEEKDAY(C162,2)=5,WEEKDAY(C162,2)=6),'01_Parameters'!$C$11="Enabled")</f>
        <v>0</v>
      </c>
      <c r="X162" t="b">
        <f t="shared" si="12"/>
        <v>0</v>
      </c>
      <c r="Y162" t="b">
        <f t="shared" si="13"/>
        <v>0</v>
      </c>
      <c r="Z162" t="b">
        <f t="shared" si="14"/>
        <v>0</v>
      </c>
    </row>
    <row r="163" spans="1:26" ht="15" customHeight="1">
      <c r="A163" t="s">
        <v>498</v>
      </c>
      <c r="B163" t="s">
        <v>499</v>
      </c>
      <c r="C163" s="14">
        <v>45959</v>
      </c>
      <c r="D163" s="14">
        <v>45959</v>
      </c>
      <c r="E163">
        <v>2025</v>
      </c>
      <c r="F163">
        <v>10</v>
      </c>
      <c r="G163" t="s">
        <v>193</v>
      </c>
      <c r="H163" t="s">
        <v>194</v>
      </c>
      <c r="I163" t="s">
        <v>124</v>
      </c>
      <c r="J163" s="15">
        <v>19808.39</v>
      </c>
      <c r="K163" s="15">
        <v>0</v>
      </c>
      <c r="L163" s="15">
        <f t="shared" si="10"/>
        <v>19808.39</v>
      </c>
      <c r="M163" t="s">
        <v>195</v>
      </c>
      <c r="N163" t="s">
        <v>500</v>
      </c>
      <c r="O163" t="s">
        <v>197</v>
      </c>
      <c r="P163" t="s">
        <v>175</v>
      </c>
      <c r="Q163" t="s">
        <v>151</v>
      </c>
      <c r="R163" s="16">
        <v>45959.875</v>
      </c>
      <c r="S163" t="s">
        <v>130</v>
      </c>
      <c r="V163" t="b">
        <f t="shared" si="11"/>
        <v>0</v>
      </c>
      <c r="W163" t="b">
        <f>AND(OR(WEEKDAY(C163,2)=5,WEEKDAY(C163,2)=6),'01_Parameters'!$C$11="Enabled")</f>
        <v>0</v>
      </c>
      <c r="X163" t="b">
        <f t="shared" si="12"/>
        <v>1</v>
      </c>
      <c r="Y163" t="b">
        <f t="shared" si="13"/>
        <v>0</v>
      </c>
      <c r="Z163" t="b">
        <f t="shared" si="14"/>
        <v>0</v>
      </c>
    </row>
    <row r="164" spans="1:26" ht="15" customHeight="1">
      <c r="A164" t="s">
        <v>498</v>
      </c>
      <c r="B164" t="s">
        <v>501</v>
      </c>
      <c r="C164" s="14">
        <v>45959</v>
      </c>
      <c r="D164" s="14">
        <v>45959</v>
      </c>
      <c r="E164">
        <v>2025</v>
      </c>
      <c r="F164">
        <v>10</v>
      </c>
      <c r="G164" t="s">
        <v>199</v>
      </c>
      <c r="H164" t="s">
        <v>200</v>
      </c>
      <c r="I164" t="s">
        <v>146</v>
      </c>
      <c r="J164" s="15">
        <v>0</v>
      </c>
      <c r="K164" s="15">
        <v>19808.39</v>
      </c>
      <c r="L164" s="15">
        <f t="shared" si="10"/>
        <v>-19808.39</v>
      </c>
      <c r="M164" t="s">
        <v>195</v>
      </c>
      <c r="N164" t="s">
        <v>500</v>
      </c>
      <c r="O164" t="s">
        <v>197</v>
      </c>
      <c r="P164" t="s">
        <v>175</v>
      </c>
      <c r="Q164" t="s">
        <v>151</v>
      </c>
      <c r="R164" s="16">
        <v>45959.875</v>
      </c>
      <c r="S164" t="s">
        <v>130</v>
      </c>
      <c r="V164" t="b">
        <f t="shared" si="11"/>
        <v>0</v>
      </c>
      <c r="W164" t="b">
        <f>AND(OR(WEEKDAY(C164,2)=5,WEEKDAY(C164,2)=6),'01_Parameters'!$C$11="Enabled")</f>
        <v>0</v>
      </c>
      <c r="X164" t="b">
        <f t="shared" si="12"/>
        <v>1</v>
      </c>
      <c r="Y164" t="b">
        <f t="shared" si="13"/>
        <v>0</v>
      </c>
      <c r="Z164" t="b">
        <f t="shared" si="14"/>
        <v>0</v>
      </c>
    </row>
    <row r="165" spans="1:26" ht="15" customHeight="1">
      <c r="A165" t="s">
        <v>502</v>
      </c>
      <c r="B165" t="s">
        <v>503</v>
      </c>
      <c r="C165" s="14">
        <v>45936</v>
      </c>
      <c r="D165" s="14">
        <v>45935</v>
      </c>
      <c r="E165">
        <v>2025</v>
      </c>
      <c r="F165">
        <v>10</v>
      </c>
      <c r="G165" t="s">
        <v>172</v>
      </c>
      <c r="H165" t="s">
        <v>173</v>
      </c>
      <c r="I165" t="s">
        <v>124</v>
      </c>
      <c r="J165" s="15">
        <v>91126.41</v>
      </c>
      <c r="K165" s="15">
        <v>0</v>
      </c>
      <c r="L165" s="15">
        <f t="shared" si="10"/>
        <v>91126.41</v>
      </c>
      <c r="M165" t="s">
        <v>125</v>
      </c>
      <c r="N165" t="s">
        <v>504</v>
      </c>
      <c r="O165" t="s">
        <v>127</v>
      </c>
      <c r="P165" t="s">
        <v>175</v>
      </c>
      <c r="Q165" t="s">
        <v>150</v>
      </c>
      <c r="R165" s="16">
        <v>45936.739583333299</v>
      </c>
      <c r="S165" t="s">
        <v>130</v>
      </c>
      <c r="V165" t="b">
        <f t="shared" si="11"/>
        <v>0</v>
      </c>
      <c r="W165" t="b">
        <f>AND(OR(WEEKDAY(C165,2)=5,WEEKDAY(C165,2)=6),'01_Parameters'!$C$11="Enabled")</f>
        <v>0</v>
      </c>
      <c r="X165" t="b">
        <f t="shared" si="12"/>
        <v>0</v>
      </c>
      <c r="Y165" t="b">
        <f t="shared" si="13"/>
        <v>0</v>
      </c>
      <c r="Z165" t="b">
        <f t="shared" si="14"/>
        <v>0</v>
      </c>
    </row>
    <row r="166" spans="1:26" ht="15" customHeight="1">
      <c r="A166" t="s">
        <v>502</v>
      </c>
      <c r="B166" t="s">
        <v>505</v>
      </c>
      <c r="C166" s="14">
        <v>45936</v>
      </c>
      <c r="D166" s="14">
        <v>45935</v>
      </c>
      <c r="E166">
        <v>2025</v>
      </c>
      <c r="F166">
        <v>10</v>
      </c>
      <c r="G166" t="s">
        <v>132</v>
      </c>
      <c r="H166" t="s">
        <v>133</v>
      </c>
      <c r="I166" t="s">
        <v>134</v>
      </c>
      <c r="J166" s="15">
        <v>0</v>
      </c>
      <c r="K166" s="15">
        <v>91126.41</v>
      </c>
      <c r="L166" s="15">
        <f t="shared" si="10"/>
        <v>-91126.41</v>
      </c>
      <c r="M166" t="s">
        <v>125</v>
      </c>
      <c r="N166" t="s">
        <v>504</v>
      </c>
      <c r="O166" t="s">
        <v>127</v>
      </c>
      <c r="P166" t="s">
        <v>175</v>
      </c>
      <c r="Q166" t="s">
        <v>150</v>
      </c>
      <c r="R166" s="16">
        <v>45936.739583333299</v>
      </c>
      <c r="S166" t="s">
        <v>130</v>
      </c>
      <c r="V166" t="b">
        <f t="shared" si="11"/>
        <v>0</v>
      </c>
      <c r="W166" t="b">
        <f>AND(OR(WEEKDAY(C166,2)=5,WEEKDAY(C166,2)=6),'01_Parameters'!$C$11="Enabled")</f>
        <v>0</v>
      </c>
      <c r="X166" t="b">
        <f t="shared" si="12"/>
        <v>0</v>
      </c>
      <c r="Y166" t="b">
        <f t="shared" si="13"/>
        <v>0</v>
      </c>
      <c r="Z166" t="b">
        <f t="shared" si="14"/>
        <v>0</v>
      </c>
    </row>
    <row r="167" spans="1:26" ht="15" customHeight="1">
      <c r="A167" t="s">
        <v>506</v>
      </c>
      <c r="B167" t="s">
        <v>507</v>
      </c>
      <c r="C167" s="14">
        <v>45870</v>
      </c>
      <c r="D167" s="14">
        <v>45866</v>
      </c>
      <c r="E167">
        <v>2025</v>
      </c>
      <c r="F167">
        <v>8</v>
      </c>
      <c r="G167" t="s">
        <v>158</v>
      </c>
      <c r="H167" t="s">
        <v>159</v>
      </c>
      <c r="I167" t="s">
        <v>124</v>
      </c>
      <c r="J167" s="15">
        <v>11646.82</v>
      </c>
      <c r="K167" s="15">
        <v>0</v>
      </c>
      <c r="L167" s="15">
        <f t="shared" si="10"/>
        <v>11646.82</v>
      </c>
      <c r="M167" t="s">
        <v>160</v>
      </c>
      <c r="N167" t="s">
        <v>508</v>
      </c>
      <c r="O167" t="s">
        <v>162</v>
      </c>
      <c r="P167" t="s">
        <v>129</v>
      </c>
      <c r="Q167" t="s">
        <v>151</v>
      </c>
      <c r="R167" s="16">
        <v>45870.46875</v>
      </c>
      <c r="S167" t="s">
        <v>130</v>
      </c>
      <c r="V167" t="b">
        <f t="shared" si="11"/>
        <v>0</v>
      </c>
      <c r="W167" t="b">
        <f>AND(OR(WEEKDAY(C167,2)=5,WEEKDAY(C167,2)=6),'01_Parameters'!$C$11="Enabled")</f>
        <v>1</v>
      </c>
      <c r="X167" t="b">
        <f t="shared" si="12"/>
        <v>0</v>
      </c>
      <c r="Y167" t="b">
        <f t="shared" si="13"/>
        <v>0</v>
      </c>
      <c r="Z167" t="b">
        <f t="shared" si="14"/>
        <v>0</v>
      </c>
    </row>
    <row r="168" spans="1:26" ht="15" customHeight="1">
      <c r="A168" t="s">
        <v>506</v>
      </c>
      <c r="B168" t="s">
        <v>509</v>
      </c>
      <c r="C168" s="14">
        <v>45870</v>
      </c>
      <c r="D168" s="14">
        <v>45866</v>
      </c>
      <c r="E168">
        <v>2025</v>
      </c>
      <c r="F168">
        <v>8</v>
      </c>
      <c r="G168" t="s">
        <v>164</v>
      </c>
      <c r="H168" t="s">
        <v>165</v>
      </c>
      <c r="I168" t="s">
        <v>146</v>
      </c>
      <c r="J168" s="15">
        <v>0</v>
      </c>
      <c r="K168" s="15">
        <v>11646.82</v>
      </c>
      <c r="L168" s="15">
        <f t="shared" si="10"/>
        <v>-11646.82</v>
      </c>
      <c r="M168" t="s">
        <v>160</v>
      </c>
      <c r="N168" t="s">
        <v>508</v>
      </c>
      <c r="O168" t="s">
        <v>162</v>
      </c>
      <c r="P168" t="s">
        <v>129</v>
      </c>
      <c r="Q168" t="s">
        <v>151</v>
      </c>
      <c r="R168" s="16">
        <v>45870.46875</v>
      </c>
      <c r="S168" t="s">
        <v>130</v>
      </c>
      <c r="V168" t="b">
        <f t="shared" si="11"/>
        <v>0</v>
      </c>
      <c r="W168" t="b">
        <f>AND(OR(WEEKDAY(C168,2)=5,WEEKDAY(C168,2)=6),'01_Parameters'!$C$11="Enabled")</f>
        <v>1</v>
      </c>
      <c r="X168" t="b">
        <f t="shared" si="12"/>
        <v>0</v>
      </c>
      <c r="Y168" t="b">
        <f t="shared" si="13"/>
        <v>0</v>
      </c>
      <c r="Z168" t="b">
        <f t="shared" si="14"/>
        <v>0</v>
      </c>
    </row>
    <row r="169" spans="1:26" ht="15" customHeight="1">
      <c r="A169" t="s">
        <v>510</v>
      </c>
      <c r="B169" t="s">
        <v>511</v>
      </c>
      <c r="C169" s="14">
        <v>45807</v>
      </c>
      <c r="D169" s="14">
        <v>45807</v>
      </c>
      <c r="E169">
        <v>2025</v>
      </c>
      <c r="F169">
        <v>5</v>
      </c>
      <c r="G169" t="s">
        <v>179</v>
      </c>
      <c r="H169" t="s">
        <v>180</v>
      </c>
      <c r="I169" t="s">
        <v>124</v>
      </c>
      <c r="J169" s="15">
        <v>64808.62</v>
      </c>
      <c r="K169" s="15">
        <v>0</v>
      </c>
      <c r="L169" s="15">
        <f t="shared" si="10"/>
        <v>64808.62</v>
      </c>
      <c r="M169" t="s">
        <v>181</v>
      </c>
      <c r="N169" t="s">
        <v>512</v>
      </c>
      <c r="O169" t="s">
        <v>183</v>
      </c>
      <c r="P169" t="s">
        <v>150</v>
      </c>
      <c r="Q169" t="s">
        <v>140</v>
      </c>
      <c r="R169" s="16">
        <v>45807.46875</v>
      </c>
      <c r="S169" t="s">
        <v>130</v>
      </c>
      <c r="V169" t="b">
        <f t="shared" si="11"/>
        <v>0</v>
      </c>
      <c r="W169" t="b">
        <f>AND(OR(WEEKDAY(C169,2)=5,WEEKDAY(C169,2)=6),'01_Parameters'!$C$11="Enabled")</f>
        <v>1</v>
      </c>
      <c r="X169" t="b">
        <f t="shared" si="12"/>
        <v>0</v>
      </c>
      <c r="Y169" t="b">
        <f t="shared" si="13"/>
        <v>0</v>
      </c>
      <c r="Z169" t="b">
        <f t="shared" si="14"/>
        <v>0</v>
      </c>
    </row>
    <row r="170" spans="1:26" ht="15" customHeight="1">
      <c r="A170" t="s">
        <v>510</v>
      </c>
      <c r="B170" t="s">
        <v>513</v>
      </c>
      <c r="C170" s="14">
        <v>45807</v>
      </c>
      <c r="D170" s="14">
        <v>45807</v>
      </c>
      <c r="E170">
        <v>2025</v>
      </c>
      <c r="F170">
        <v>5</v>
      </c>
      <c r="G170" t="s">
        <v>185</v>
      </c>
      <c r="H170" t="s">
        <v>186</v>
      </c>
      <c r="I170" t="s">
        <v>134</v>
      </c>
      <c r="J170" s="15">
        <v>0</v>
      </c>
      <c r="K170" s="15">
        <v>64808.62</v>
      </c>
      <c r="L170" s="15">
        <f t="shared" si="10"/>
        <v>-64808.62</v>
      </c>
      <c r="M170" t="s">
        <v>181</v>
      </c>
      <c r="N170" t="s">
        <v>512</v>
      </c>
      <c r="O170" t="s">
        <v>183</v>
      </c>
      <c r="P170" t="s">
        <v>150</v>
      </c>
      <c r="Q170" t="s">
        <v>140</v>
      </c>
      <c r="R170" s="16">
        <v>45807.46875</v>
      </c>
      <c r="S170" t="s">
        <v>130</v>
      </c>
      <c r="V170" t="b">
        <f t="shared" si="11"/>
        <v>0</v>
      </c>
      <c r="W170" t="b">
        <f>AND(OR(WEEKDAY(C170,2)=5,WEEKDAY(C170,2)=6),'01_Parameters'!$C$11="Enabled")</f>
        <v>1</v>
      </c>
      <c r="X170" t="b">
        <f t="shared" si="12"/>
        <v>0</v>
      </c>
      <c r="Y170" t="b">
        <f t="shared" si="13"/>
        <v>0</v>
      </c>
      <c r="Z170" t="b">
        <f t="shared" si="14"/>
        <v>0</v>
      </c>
    </row>
    <row r="171" spans="1:26" ht="15" customHeight="1">
      <c r="A171" t="s">
        <v>514</v>
      </c>
      <c r="B171" t="s">
        <v>515</v>
      </c>
      <c r="C171" s="14">
        <v>45826</v>
      </c>
      <c r="D171" s="14">
        <v>45826</v>
      </c>
      <c r="E171">
        <v>2025</v>
      </c>
      <c r="F171">
        <v>6</v>
      </c>
      <c r="G171" t="s">
        <v>144</v>
      </c>
      <c r="H171" t="s">
        <v>145</v>
      </c>
      <c r="I171" t="s">
        <v>146</v>
      </c>
      <c r="J171" s="15">
        <v>78123.73</v>
      </c>
      <c r="K171" s="15">
        <v>0</v>
      </c>
      <c r="L171" s="15">
        <f t="shared" si="10"/>
        <v>78123.73</v>
      </c>
      <c r="M171" t="s">
        <v>147</v>
      </c>
      <c r="N171" t="s">
        <v>516</v>
      </c>
      <c r="O171" t="s">
        <v>149</v>
      </c>
      <c r="P171" t="s">
        <v>129</v>
      </c>
      <c r="Q171" t="s">
        <v>150</v>
      </c>
      <c r="R171" s="16">
        <v>45826.5</v>
      </c>
      <c r="S171" t="s">
        <v>130</v>
      </c>
      <c r="V171" t="b">
        <f t="shared" si="11"/>
        <v>0</v>
      </c>
      <c r="W171" t="b">
        <f>AND(OR(WEEKDAY(C171,2)=5,WEEKDAY(C171,2)=6),'01_Parameters'!$C$11="Enabled")</f>
        <v>0</v>
      </c>
      <c r="X171" t="b">
        <f t="shared" si="12"/>
        <v>0</v>
      </c>
      <c r="Y171" t="b">
        <f t="shared" si="13"/>
        <v>0</v>
      </c>
      <c r="Z171" t="b">
        <f t="shared" si="14"/>
        <v>0</v>
      </c>
    </row>
    <row r="172" spans="1:26" ht="15" customHeight="1">
      <c r="A172" t="s">
        <v>514</v>
      </c>
      <c r="B172" t="s">
        <v>517</v>
      </c>
      <c r="C172" s="14">
        <v>45826</v>
      </c>
      <c r="D172" s="14">
        <v>45826</v>
      </c>
      <c r="E172">
        <v>2025</v>
      </c>
      <c r="F172">
        <v>6</v>
      </c>
      <c r="G172" t="s">
        <v>153</v>
      </c>
      <c r="H172" t="s">
        <v>154</v>
      </c>
      <c r="I172" t="s">
        <v>155</v>
      </c>
      <c r="J172" s="15">
        <v>0</v>
      </c>
      <c r="K172" s="15">
        <v>78123.73</v>
      </c>
      <c r="L172" s="15">
        <f t="shared" si="10"/>
        <v>-78123.73</v>
      </c>
      <c r="M172" t="s">
        <v>147</v>
      </c>
      <c r="N172" t="s">
        <v>516</v>
      </c>
      <c r="O172" t="s">
        <v>149</v>
      </c>
      <c r="P172" t="s">
        <v>129</v>
      </c>
      <c r="Q172" t="s">
        <v>150</v>
      </c>
      <c r="R172" s="16">
        <v>45826.5</v>
      </c>
      <c r="S172" t="s">
        <v>130</v>
      </c>
      <c r="V172" t="b">
        <f t="shared" si="11"/>
        <v>0</v>
      </c>
      <c r="W172" t="b">
        <f>AND(OR(WEEKDAY(C172,2)=5,WEEKDAY(C172,2)=6),'01_Parameters'!$C$11="Enabled")</f>
        <v>0</v>
      </c>
      <c r="X172" t="b">
        <f t="shared" si="12"/>
        <v>0</v>
      </c>
      <c r="Y172" t="b">
        <f t="shared" si="13"/>
        <v>0</v>
      </c>
      <c r="Z172" t="b">
        <f t="shared" si="14"/>
        <v>0</v>
      </c>
    </row>
    <row r="173" spans="1:26" ht="15" customHeight="1">
      <c r="A173" t="s">
        <v>518</v>
      </c>
      <c r="B173" t="s">
        <v>519</v>
      </c>
      <c r="C173" s="14">
        <v>45871</v>
      </c>
      <c r="D173" s="14">
        <v>45866</v>
      </c>
      <c r="E173">
        <v>2025</v>
      </c>
      <c r="F173">
        <v>8</v>
      </c>
      <c r="G173" t="s">
        <v>193</v>
      </c>
      <c r="H173" t="s">
        <v>194</v>
      </c>
      <c r="I173" t="s">
        <v>124</v>
      </c>
      <c r="J173" s="15">
        <v>68846.960000000006</v>
      </c>
      <c r="K173" s="15">
        <v>0</v>
      </c>
      <c r="L173" s="15">
        <f t="shared" si="10"/>
        <v>68846.960000000006</v>
      </c>
      <c r="M173" t="s">
        <v>195</v>
      </c>
      <c r="N173" t="s">
        <v>520</v>
      </c>
      <c r="O173" t="s">
        <v>197</v>
      </c>
      <c r="P173" t="s">
        <v>128</v>
      </c>
      <c r="Q173" t="s">
        <v>151</v>
      </c>
      <c r="R173" s="16">
        <v>45871.25</v>
      </c>
      <c r="S173" t="s">
        <v>130</v>
      </c>
      <c r="V173" t="b">
        <f t="shared" si="11"/>
        <v>0</v>
      </c>
      <c r="W173" t="b">
        <f>AND(OR(WEEKDAY(C173,2)=5,WEEKDAY(C173,2)=6),'01_Parameters'!$C$11="Enabled")</f>
        <v>1</v>
      </c>
      <c r="X173" t="b">
        <f t="shared" si="12"/>
        <v>1</v>
      </c>
      <c r="Y173" t="b">
        <f t="shared" si="13"/>
        <v>0</v>
      </c>
      <c r="Z173" t="b">
        <f t="shared" si="14"/>
        <v>0</v>
      </c>
    </row>
    <row r="174" spans="1:26" ht="15" customHeight="1">
      <c r="A174" t="s">
        <v>518</v>
      </c>
      <c r="B174" t="s">
        <v>521</v>
      </c>
      <c r="C174" s="14">
        <v>45871</v>
      </c>
      <c r="D174" s="14">
        <v>45866</v>
      </c>
      <c r="E174">
        <v>2025</v>
      </c>
      <c r="F174">
        <v>8</v>
      </c>
      <c r="G174" t="s">
        <v>199</v>
      </c>
      <c r="H174" t="s">
        <v>200</v>
      </c>
      <c r="I174" t="s">
        <v>146</v>
      </c>
      <c r="J174" s="15">
        <v>0</v>
      </c>
      <c r="K174" s="15">
        <v>68846.960000000006</v>
      </c>
      <c r="L174" s="15">
        <f t="shared" si="10"/>
        <v>-68846.960000000006</v>
      </c>
      <c r="M174" t="s">
        <v>195</v>
      </c>
      <c r="N174" t="s">
        <v>520</v>
      </c>
      <c r="O174" t="s">
        <v>197</v>
      </c>
      <c r="P174" t="s">
        <v>128</v>
      </c>
      <c r="Q174" t="s">
        <v>151</v>
      </c>
      <c r="R174" s="16">
        <v>45871.25</v>
      </c>
      <c r="S174" t="s">
        <v>130</v>
      </c>
      <c r="V174" t="b">
        <f t="shared" si="11"/>
        <v>0</v>
      </c>
      <c r="W174" t="b">
        <f>AND(OR(WEEKDAY(C174,2)=5,WEEKDAY(C174,2)=6),'01_Parameters'!$C$11="Enabled")</f>
        <v>1</v>
      </c>
      <c r="X174" t="b">
        <f t="shared" si="12"/>
        <v>1</v>
      </c>
      <c r="Y174" t="b">
        <f t="shared" si="13"/>
        <v>0</v>
      </c>
      <c r="Z174" t="b">
        <f t="shared" si="14"/>
        <v>0</v>
      </c>
    </row>
    <row r="175" spans="1:26" ht="15" customHeight="1">
      <c r="A175" t="s">
        <v>522</v>
      </c>
      <c r="B175" t="s">
        <v>523</v>
      </c>
      <c r="C175" s="14">
        <v>45826</v>
      </c>
      <c r="D175" s="14">
        <v>45825</v>
      </c>
      <c r="E175">
        <v>2025</v>
      </c>
      <c r="F175">
        <v>6</v>
      </c>
      <c r="G175" t="s">
        <v>144</v>
      </c>
      <c r="H175" t="s">
        <v>145</v>
      </c>
      <c r="I175" t="s">
        <v>146</v>
      </c>
      <c r="J175" s="15">
        <v>19497.05</v>
      </c>
      <c r="K175" s="15">
        <v>0</v>
      </c>
      <c r="L175" s="15">
        <f t="shared" si="10"/>
        <v>19497.05</v>
      </c>
      <c r="M175" t="s">
        <v>147</v>
      </c>
      <c r="N175" t="s">
        <v>524</v>
      </c>
      <c r="O175" t="s">
        <v>149</v>
      </c>
      <c r="P175" t="s">
        <v>151</v>
      </c>
      <c r="Q175" t="s">
        <v>150</v>
      </c>
      <c r="R175" s="16">
        <v>45826.635416666701</v>
      </c>
      <c r="S175" t="s">
        <v>130</v>
      </c>
      <c r="V175" t="b">
        <f t="shared" si="11"/>
        <v>0</v>
      </c>
      <c r="W175" t="b">
        <f>AND(OR(WEEKDAY(C175,2)=5,WEEKDAY(C175,2)=6),'01_Parameters'!$C$11="Enabled")</f>
        <v>0</v>
      </c>
      <c r="X175" t="b">
        <f t="shared" si="12"/>
        <v>0</v>
      </c>
      <c r="Y175" t="b">
        <f t="shared" si="13"/>
        <v>0</v>
      </c>
      <c r="Z175" t="b">
        <f t="shared" si="14"/>
        <v>0</v>
      </c>
    </row>
    <row r="176" spans="1:26" ht="15" customHeight="1">
      <c r="A176" t="s">
        <v>522</v>
      </c>
      <c r="B176" t="s">
        <v>525</v>
      </c>
      <c r="C176" s="14">
        <v>45826</v>
      </c>
      <c r="D176" s="14">
        <v>45825</v>
      </c>
      <c r="E176">
        <v>2025</v>
      </c>
      <c r="F176">
        <v>6</v>
      </c>
      <c r="G176" t="s">
        <v>153</v>
      </c>
      <c r="H176" t="s">
        <v>154</v>
      </c>
      <c r="I176" t="s">
        <v>155</v>
      </c>
      <c r="J176" s="15">
        <v>0</v>
      </c>
      <c r="K176" s="15">
        <v>19497.05</v>
      </c>
      <c r="L176" s="15">
        <f t="shared" si="10"/>
        <v>-19497.05</v>
      </c>
      <c r="M176" t="s">
        <v>147</v>
      </c>
      <c r="N176" t="s">
        <v>524</v>
      </c>
      <c r="O176" t="s">
        <v>149</v>
      </c>
      <c r="P176" t="s">
        <v>151</v>
      </c>
      <c r="Q176" t="s">
        <v>150</v>
      </c>
      <c r="R176" s="16">
        <v>45826.635416666701</v>
      </c>
      <c r="S176" t="s">
        <v>130</v>
      </c>
      <c r="V176" t="b">
        <f t="shared" si="11"/>
        <v>0</v>
      </c>
      <c r="W176" t="b">
        <f>AND(OR(WEEKDAY(C176,2)=5,WEEKDAY(C176,2)=6),'01_Parameters'!$C$11="Enabled")</f>
        <v>0</v>
      </c>
      <c r="X176" t="b">
        <f t="shared" si="12"/>
        <v>0</v>
      </c>
      <c r="Y176" t="b">
        <f t="shared" si="13"/>
        <v>0</v>
      </c>
      <c r="Z176" t="b">
        <f t="shared" si="14"/>
        <v>0</v>
      </c>
    </row>
    <row r="177" spans="1:26" ht="15" customHeight="1">
      <c r="A177" t="s">
        <v>526</v>
      </c>
      <c r="B177" t="s">
        <v>527</v>
      </c>
      <c r="C177" s="14">
        <v>45975</v>
      </c>
      <c r="D177" s="14">
        <v>45975</v>
      </c>
      <c r="E177">
        <v>2025</v>
      </c>
      <c r="F177">
        <v>11</v>
      </c>
      <c r="G177" t="s">
        <v>193</v>
      </c>
      <c r="H177" t="s">
        <v>194</v>
      </c>
      <c r="I177" t="s">
        <v>124</v>
      </c>
      <c r="J177" s="15">
        <v>22588.2</v>
      </c>
      <c r="K177" s="15">
        <v>0</v>
      </c>
      <c r="L177" s="15">
        <f t="shared" si="10"/>
        <v>22588.2</v>
      </c>
      <c r="M177" t="s">
        <v>195</v>
      </c>
      <c r="N177" t="s">
        <v>528</v>
      </c>
      <c r="O177" t="s">
        <v>197</v>
      </c>
      <c r="P177" t="s">
        <v>150</v>
      </c>
      <c r="Q177" t="s">
        <v>140</v>
      </c>
      <c r="R177" s="16">
        <v>45975.614583333299</v>
      </c>
      <c r="S177" t="s">
        <v>130</v>
      </c>
      <c r="V177" t="b">
        <f t="shared" si="11"/>
        <v>0</v>
      </c>
      <c r="W177" t="b">
        <f>AND(OR(WEEKDAY(C177,2)=5,WEEKDAY(C177,2)=6),'01_Parameters'!$C$11="Enabled")</f>
        <v>1</v>
      </c>
      <c r="X177" t="b">
        <f t="shared" si="12"/>
        <v>0</v>
      </c>
      <c r="Y177" t="b">
        <f t="shared" si="13"/>
        <v>0</v>
      </c>
      <c r="Z177" t="b">
        <f t="shared" si="14"/>
        <v>0</v>
      </c>
    </row>
    <row r="178" spans="1:26" ht="15" customHeight="1">
      <c r="A178" t="s">
        <v>526</v>
      </c>
      <c r="B178" t="s">
        <v>529</v>
      </c>
      <c r="C178" s="14">
        <v>45975</v>
      </c>
      <c r="D178" s="14">
        <v>45975</v>
      </c>
      <c r="E178">
        <v>2025</v>
      </c>
      <c r="F178">
        <v>11</v>
      </c>
      <c r="G178" t="s">
        <v>199</v>
      </c>
      <c r="H178" t="s">
        <v>200</v>
      </c>
      <c r="I178" t="s">
        <v>146</v>
      </c>
      <c r="J178" s="15">
        <v>0</v>
      </c>
      <c r="K178" s="15">
        <v>22588.2</v>
      </c>
      <c r="L178" s="15">
        <f t="shared" si="10"/>
        <v>-22588.2</v>
      </c>
      <c r="M178" t="s">
        <v>195</v>
      </c>
      <c r="N178" t="s">
        <v>528</v>
      </c>
      <c r="O178" t="s">
        <v>197</v>
      </c>
      <c r="P178" t="s">
        <v>150</v>
      </c>
      <c r="Q178" t="s">
        <v>140</v>
      </c>
      <c r="R178" s="16">
        <v>45975.614583333299</v>
      </c>
      <c r="S178" t="s">
        <v>130</v>
      </c>
      <c r="V178" t="b">
        <f t="shared" si="11"/>
        <v>0</v>
      </c>
      <c r="W178" t="b">
        <f>AND(OR(WEEKDAY(C178,2)=5,WEEKDAY(C178,2)=6),'01_Parameters'!$C$11="Enabled")</f>
        <v>1</v>
      </c>
      <c r="X178" t="b">
        <f t="shared" si="12"/>
        <v>0</v>
      </c>
      <c r="Y178" t="b">
        <f t="shared" si="13"/>
        <v>0</v>
      </c>
      <c r="Z178" t="b">
        <f t="shared" si="14"/>
        <v>0</v>
      </c>
    </row>
    <row r="179" spans="1:26" ht="15" customHeight="1">
      <c r="A179" t="s">
        <v>530</v>
      </c>
      <c r="B179" t="s">
        <v>531</v>
      </c>
      <c r="C179" s="14">
        <v>45907</v>
      </c>
      <c r="D179" s="14">
        <v>45905</v>
      </c>
      <c r="E179">
        <v>2025</v>
      </c>
      <c r="F179">
        <v>9</v>
      </c>
      <c r="G179" t="s">
        <v>158</v>
      </c>
      <c r="H179" t="s">
        <v>159</v>
      </c>
      <c r="I179" t="s">
        <v>124</v>
      </c>
      <c r="J179" s="15">
        <v>61669.05</v>
      </c>
      <c r="K179" s="15">
        <v>0</v>
      </c>
      <c r="L179" s="15">
        <f t="shared" si="10"/>
        <v>61669.05</v>
      </c>
      <c r="M179" t="s">
        <v>160</v>
      </c>
      <c r="N179" t="s">
        <v>532</v>
      </c>
      <c r="O179" t="s">
        <v>162</v>
      </c>
      <c r="P179" t="s">
        <v>150</v>
      </c>
      <c r="Q179" t="s">
        <v>129</v>
      </c>
      <c r="R179" s="16">
        <v>45907.375</v>
      </c>
      <c r="S179" t="s">
        <v>130</v>
      </c>
      <c r="V179" t="b">
        <f t="shared" si="11"/>
        <v>0</v>
      </c>
      <c r="W179" t="b">
        <f>AND(OR(WEEKDAY(C179,2)=5,WEEKDAY(C179,2)=6),'01_Parameters'!$C$11="Enabled")</f>
        <v>0</v>
      </c>
      <c r="X179" t="b">
        <f t="shared" si="12"/>
        <v>0</v>
      </c>
      <c r="Y179" t="b">
        <f t="shared" si="13"/>
        <v>0</v>
      </c>
      <c r="Z179" t="b">
        <f t="shared" si="14"/>
        <v>0</v>
      </c>
    </row>
    <row r="180" spans="1:26" ht="15" customHeight="1">
      <c r="A180" t="s">
        <v>530</v>
      </c>
      <c r="B180" t="s">
        <v>533</v>
      </c>
      <c r="C180" s="14">
        <v>45907</v>
      </c>
      <c r="D180" s="14">
        <v>45905</v>
      </c>
      <c r="E180">
        <v>2025</v>
      </c>
      <c r="F180">
        <v>9</v>
      </c>
      <c r="G180" t="s">
        <v>164</v>
      </c>
      <c r="H180" t="s">
        <v>165</v>
      </c>
      <c r="I180" t="s">
        <v>146</v>
      </c>
      <c r="J180" s="15">
        <v>0</v>
      </c>
      <c r="K180" s="15">
        <v>61669.05</v>
      </c>
      <c r="L180" s="15">
        <f t="shared" si="10"/>
        <v>-61669.05</v>
      </c>
      <c r="M180" t="s">
        <v>160</v>
      </c>
      <c r="N180" t="s">
        <v>532</v>
      </c>
      <c r="O180" t="s">
        <v>162</v>
      </c>
      <c r="P180" t="s">
        <v>150</v>
      </c>
      <c r="Q180" t="s">
        <v>129</v>
      </c>
      <c r="R180" s="16">
        <v>45907.375</v>
      </c>
      <c r="S180" t="s">
        <v>130</v>
      </c>
      <c r="V180" t="b">
        <f t="shared" si="11"/>
        <v>0</v>
      </c>
      <c r="W180" t="b">
        <f>AND(OR(WEEKDAY(C180,2)=5,WEEKDAY(C180,2)=6),'01_Parameters'!$C$11="Enabled")</f>
        <v>0</v>
      </c>
      <c r="X180" t="b">
        <f t="shared" si="12"/>
        <v>0</v>
      </c>
      <c r="Y180" t="b">
        <f t="shared" si="13"/>
        <v>0</v>
      </c>
      <c r="Z180" t="b">
        <f t="shared" si="14"/>
        <v>0</v>
      </c>
    </row>
    <row r="181" spans="1:26" ht="15" customHeight="1">
      <c r="A181" t="s">
        <v>534</v>
      </c>
      <c r="B181" t="s">
        <v>535</v>
      </c>
      <c r="C181" s="14">
        <v>45997</v>
      </c>
      <c r="D181" s="14">
        <v>45994</v>
      </c>
      <c r="E181">
        <v>2025</v>
      </c>
      <c r="F181">
        <v>12</v>
      </c>
      <c r="G181" t="s">
        <v>144</v>
      </c>
      <c r="H181" t="s">
        <v>145</v>
      </c>
      <c r="I181" t="s">
        <v>146</v>
      </c>
      <c r="J181" s="15">
        <v>78089.62</v>
      </c>
      <c r="K181" s="15">
        <v>0</v>
      </c>
      <c r="L181" s="15">
        <f t="shared" si="10"/>
        <v>78089.62</v>
      </c>
      <c r="M181" t="s">
        <v>147</v>
      </c>
      <c r="N181" t="s">
        <v>536</v>
      </c>
      <c r="O181" t="s">
        <v>149</v>
      </c>
      <c r="P181" t="s">
        <v>129</v>
      </c>
      <c r="Q181" t="s">
        <v>140</v>
      </c>
      <c r="R181" s="16">
        <v>45997.770833333299</v>
      </c>
      <c r="S181" t="s">
        <v>130</v>
      </c>
      <c r="V181" t="b">
        <f t="shared" si="11"/>
        <v>0</v>
      </c>
      <c r="W181" t="b">
        <f>AND(OR(WEEKDAY(C181,2)=5,WEEKDAY(C181,2)=6),'01_Parameters'!$C$11="Enabled")</f>
        <v>1</v>
      </c>
      <c r="X181" t="b">
        <f t="shared" si="12"/>
        <v>1</v>
      </c>
      <c r="Y181" t="b">
        <f t="shared" si="13"/>
        <v>0</v>
      </c>
      <c r="Z181" t="b">
        <f t="shared" si="14"/>
        <v>0</v>
      </c>
    </row>
    <row r="182" spans="1:26" ht="15" customHeight="1">
      <c r="A182" t="s">
        <v>534</v>
      </c>
      <c r="B182" t="s">
        <v>537</v>
      </c>
      <c r="C182" s="14">
        <v>45997</v>
      </c>
      <c r="D182" s="14">
        <v>45994</v>
      </c>
      <c r="E182">
        <v>2025</v>
      </c>
      <c r="F182">
        <v>12</v>
      </c>
      <c r="G182" t="s">
        <v>153</v>
      </c>
      <c r="H182" t="s">
        <v>154</v>
      </c>
      <c r="I182" t="s">
        <v>155</v>
      </c>
      <c r="J182" s="15">
        <v>0</v>
      </c>
      <c r="K182" s="15">
        <v>78089.62</v>
      </c>
      <c r="L182" s="15">
        <f t="shared" si="10"/>
        <v>-78089.62</v>
      </c>
      <c r="M182" t="s">
        <v>147</v>
      </c>
      <c r="N182" t="s">
        <v>536</v>
      </c>
      <c r="O182" t="s">
        <v>149</v>
      </c>
      <c r="P182" t="s">
        <v>129</v>
      </c>
      <c r="Q182" t="s">
        <v>140</v>
      </c>
      <c r="R182" s="16">
        <v>45997.770833333299</v>
      </c>
      <c r="S182" t="s">
        <v>130</v>
      </c>
      <c r="V182" t="b">
        <f t="shared" si="11"/>
        <v>0</v>
      </c>
      <c r="W182" t="b">
        <f>AND(OR(WEEKDAY(C182,2)=5,WEEKDAY(C182,2)=6),'01_Parameters'!$C$11="Enabled")</f>
        <v>1</v>
      </c>
      <c r="X182" t="b">
        <f t="shared" si="12"/>
        <v>1</v>
      </c>
      <c r="Y182" t="b">
        <f t="shared" si="13"/>
        <v>0</v>
      </c>
      <c r="Z182" t="b">
        <f t="shared" si="14"/>
        <v>0</v>
      </c>
    </row>
    <row r="183" spans="1:26" ht="15" customHeight="1">
      <c r="A183" t="s">
        <v>538</v>
      </c>
      <c r="B183" t="s">
        <v>539</v>
      </c>
      <c r="C183" s="14">
        <v>45880</v>
      </c>
      <c r="D183" s="14">
        <v>45877</v>
      </c>
      <c r="E183">
        <v>2025</v>
      </c>
      <c r="F183">
        <v>8</v>
      </c>
      <c r="G183" t="s">
        <v>158</v>
      </c>
      <c r="H183" t="s">
        <v>159</v>
      </c>
      <c r="I183" t="s">
        <v>124</v>
      </c>
      <c r="J183" s="15">
        <v>22034.639999999999</v>
      </c>
      <c r="K183" s="15">
        <v>0</v>
      </c>
      <c r="L183" s="15">
        <f t="shared" si="10"/>
        <v>22034.639999999999</v>
      </c>
      <c r="M183" t="s">
        <v>160</v>
      </c>
      <c r="N183" t="s">
        <v>540</v>
      </c>
      <c r="O183" t="s">
        <v>162</v>
      </c>
      <c r="P183" t="s">
        <v>150</v>
      </c>
      <c r="Q183" t="s">
        <v>128</v>
      </c>
      <c r="R183" s="16">
        <v>45880.5</v>
      </c>
      <c r="S183" t="s">
        <v>130</v>
      </c>
      <c r="V183" t="b">
        <f t="shared" si="11"/>
        <v>0</v>
      </c>
      <c r="W183" t="b">
        <f>AND(OR(WEEKDAY(C183,2)=5,WEEKDAY(C183,2)=6),'01_Parameters'!$C$11="Enabled")</f>
        <v>0</v>
      </c>
      <c r="X183" t="b">
        <f t="shared" si="12"/>
        <v>0</v>
      </c>
      <c r="Y183" t="b">
        <f t="shared" si="13"/>
        <v>0</v>
      </c>
      <c r="Z183" t="b">
        <f t="shared" si="14"/>
        <v>0</v>
      </c>
    </row>
    <row r="184" spans="1:26" ht="15" customHeight="1">
      <c r="A184" t="s">
        <v>538</v>
      </c>
      <c r="B184" t="s">
        <v>541</v>
      </c>
      <c r="C184" s="14">
        <v>45880</v>
      </c>
      <c r="D184" s="14">
        <v>45877</v>
      </c>
      <c r="E184">
        <v>2025</v>
      </c>
      <c r="F184">
        <v>8</v>
      </c>
      <c r="G184" t="s">
        <v>164</v>
      </c>
      <c r="H184" t="s">
        <v>165</v>
      </c>
      <c r="I184" t="s">
        <v>146</v>
      </c>
      <c r="J184" s="15">
        <v>0</v>
      </c>
      <c r="K184" s="15">
        <v>22034.639999999999</v>
      </c>
      <c r="L184" s="15">
        <f t="shared" si="10"/>
        <v>-22034.639999999999</v>
      </c>
      <c r="M184" t="s">
        <v>160</v>
      </c>
      <c r="N184" t="s">
        <v>540</v>
      </c>
      <c r="O184" t="s">
        <v>162</v>
      </c>
      <c r="P184" t="s">
        <v>150</v>
      </c>
      <c r="Q184" t="s">
        <v>128</v>
      </c>
      <c r="R184" s="16">
        <v>45880.5</v>
      </c>
      <c r="S184" t="s">
        <v>130</v>
      </c>
      <c r="V184" t="b">
        <f t="shared" si="11"/>
        <v>0</v>
      </c>
      <c r="W184" t="b">
        <f>AND(OR(WEEKDAY(C184,2)=5,WEEKDAY(C184,2)=6),'01_Parameters'!$C$11="Enabled")</f>
        <v>0</v>
      </c>
      <c r="X184" t="b">
        <f t="shared" si="12"/>
        <v>0</v>
      </c>
      <c r="Y184" t="b">
        <f t="shared" si="13"/>
        <v>0</v>
      </c>
      <c r="Z184" t="b">
        <f t="shared" si="14"/>
        <v>0</v>
      </c>
    </row>
    <row r="185" spans="1:26" ht="15" customHeight="1">
      <c r="A185" t="s">
        <v>542</v>
      </c>
      <c r="B185" t="s">
        <v>543</v>
      </c>
      <c r="C185" s="14">
        <v>45754</v>
      </c>
      <c r="D185" s="14">
        <v>45750</v>
      </c>
      <c r="E185">
        <v>2025</v>
      </c>
      <c r="F185">
        <v>4</v>
      </c>
      <c r="G185" t="s">
        <v>179</v>
      </c>
      <c r="H185" t="s">
        <v>180</v>
      </c>
      <c r="I185" t="s">
        <v>124</v>
      </c>
      <c r="J185" s="15">
        <v>53659.88</v>
      </c>
      <c r="K185" s="15">
        <v>0</v>
      </c>
      <c r="L185" s="15">
        <f t="shared" si="10"/>
        <v>53659.88</v>
      </c>
      <c r="M185" t="s">
        <v>181</v>
      </c>
      <c r="N185" t="s">
        <v>544</v>
      </c>
      <c r="O185" t="s">
        <v>183</v>
      </c>
      <c r="P185" t="s">
        <v>129</v>
      </c>
      <c r="Q185" t="s">
        <v>175</v>
      </c>
      <c r="R185" s="16">
        <v>45754.25</v>
      </c>
      <c r="S185" t="s">
        <v>130</v>
      </c>
      <c r="V185" t="b">
        <f t="shared" si="11"/>
        <v>0</v>
      </c>
      <c r="W185" t="b">
        <f>AND(OR(WEEKDAY(C185,2)=5,WEEKDAY(C185,2)=6),'01_Parameters'!$C$11="Enabled")</f>
        <v>0</v>
      </c>
      <c r="X185" t="b">
        <f t="shared" si="12"/>
        <v>1</v>
      </c>
      <c r="Y185" t="b">
        <f t="shared" si="13"/>
        <v>0</v>
      </c>
      <c r="Z185" t="b">
        <f t="shared" si="14"/>
        <v>0</v>
      </c>
    </row>
    <row r="186" spans="1:26" ht="15" customHeight="1">
      <c r="A186" t="s">
        <v>542</v>
      </c>
      <c r="B186" t="s">
        <v>545</v>
      </c>
      <c r="C186" s="14">
        <v>45754</v>
      </c>
      <c r="D186" s="14">
        <v>45750</v>
      </c>
      <c r="E186">
        <v>2025</v>
      </c>
      <c r="F186">
        <v>4</v>
      </c>
      <c r="G186" t="s">
        <v>185</v>
      </c>
      <c r="H186" t="s">
        <v>186</v>
      </c>
      <c r="I186" t="s">
        <v>134</v>
      </c>
      <c r="J186" s="15">
        <v>0</v>
      </c>
      <c r="K186" s="15">
        <v>53659.88</v>
      </c>
      <c r="L186" s="15">
        <f t="shared" si="10"/>
        <v>-53659.88</v>
      </c>
      <c r="M186" t="s">
        <v>181</v>
      </c>
      <c r="N186" t="s">
        <v>544</v>
      </c>
      <c r="O186" t="s">
        <v>183</v>
      </c>
      <c r="P186" t="s">
        <v>129</v>
      </c>
      <c r="Q186" t="s">
        <v>175</v>
      </c>
      <c r="R186" s="16">
        <v>45754.25</v>
      </c>
      <c r="S186" t="s">
        <v>130</v>
      </c>
      <c r="V186" t="b">
        <f t="shared" si="11"/>
        <v>0</v>
      </c>
      <c r="W186" t="b">
        <f>AND(OR(WEEKDAY(C186,2)=5,WEEKDAY(C186,2)=6),'01_Parameters'!$C$11="Enabled")</f>
        <v>0</v>
      </c>
      <c r="X186" t="b">
        <f t="shared" si="12"/>
        <v>1</v>
      </c>
      <c r="Y186" t="b">
        <f t="shared" si="13"/>
        <v>0</v>
      </c>
      <c r="Z186" t="b">
        <f t="shared" si="14"/>
        <v>0</v>
      </c>
    </row>
    <row r="187" spans="1:26" ht="15" customHeight="1">
      <c r="A187" t="s">
        <v>546</v>
      </c>
      <c r="B187" t="s">
        <v>547</v>
      </c>
      <c r="C187" s="14">
        <v>45814</v>
      </c>
      <c r="D187" s="14">
        <v>45810</v>
      </c>
      <c r="E187">
        <v>2025</v>
      </c>
      <c r="F187">
        <v>6</v>
      </c>
      <c r="G187" t="s">
        <v>158</v>
      </c>
      <c r="H187" t="s">
        <v>159</v>
      </c>
      <c r="I187" t="s">
        <v>124</v>
      </c>
      <c r="J187" s="15">
        <v>15817.21</v>
      </c>
      <c r="K187" s="15">
        <v>0</v>
      </c>
      <c r="L187" s="15">
        <f t="shared" si="10"/>
        <v>15817.21</v>
      </c>
      <c r="M187" t="s">
        <v>160</v>
      </c>
      <c r="N187" t="s">
        <v>548</v>
      </c>
      <c r="O187" t="s">
        <v>162</v>
      </c>
      <c r="P187" t="s">
        <v>151</v>
      </c>
      <c r="Q187" t="s">
        <v>140</v>
      </c>
      <c r="R187" s="16">
        <v>45814.3125</v>
      </c>
      <c r="S187" t="s">
        <v>130</v>
      </c>
      <c r="V187" t="b">
        <f t="shared" si="11"/>
        <v>0</v>
      </c>
      <c r="W187" t="b">
        <f>AND(OR(WEEKDAY(C187,2)=5,WEEKDAY(C187,2)=6),'01_Parameters'!$C$11="Enabled")</f>
        <v>1</v>
      </c>
      <c r="X187" t="b">
        <f t="shared" si="12"/>
        <v>1</v>
      </c>
      <c r="Y187" t="b">
        <f t="shared" si="13"/>
        <v>0</v>
      </c>
      <c r="Z187" t="b">
        <f t="shared" si="14"/>
        <v>0</v>
      </c>
    </row>
    <row r="188" spans="1:26" ht="15" customHeight="1">
      <c r="A188" t="s">
        <v>546</v>
      </c>
      <c r="B188" t="s">
        <v>549</v>
      </c>
      <c r="C188" s="14">
        <v>45814</v>
      </c>
      <c r="D188" s="14">
        <v>45810</v>
      </c>
      <c r="E188">
        <v>2025</v>
      </c>
      <c r="F188">
        <v>6</v>
      </c>
      <c r="G188" t="s">
        <v>164</v>
      </c>
      <c r="H188" t="s">
        <v>165</v>
      </c>
      <c r="I188" t="s">
        <v>146</v>
      </c>
      <c r="J188" s="15">
        <v>0</v>
      </c>
      <c r="K188" s="15">
        <v>15817.21</v>
      </c>
      <c r="L188" s="15">
        <f t="shared" si="10"/>
        <v>-15817.21</v>
      </c>
      <c r="M188" t="s">
        <v>160</v>
      </c>
      <c r="N188" t="s">
        <v>548</v>
      </c>
      <c r="O188" t="s">
        <v>162</v>
      </c>
      <c r="P188" t="s">
        <v>151</v>
      </c>
      <c r="Q188" t="s">
        <v>140</v>
      </c>
      <c r="R188" s="16">
        <v>45814.3125</v>
      </c>
      <c r="S188" t="s">
        <v>130</v>
      </c>
      <c r="V188" t="b">
        <f t="shared" si="11"/>
        <v>0</v>
      </c>
      <c r="W188" t="b">
        <f>AND(OR(WEEKDAY(C188,2)=5,WEEKDAY(C188,2)=6),'01_Parameters'!$C$11="Enabled")</f>
        <v>1</v>
      </c>
      <c r="X188" t="b">
        <f t="shared" si="12"/>
        <v>1</v>
      </c>
      <c r="Y188" t="b">
        <f t="shared" si="13"/>
        <v>0</v>
      </c>
      <c r="Z188" t="b">
        <f t="shared" si="14"/>
        <v>0</v>
      </c>
    </row>
    <row r="189" spans="1:26" ht="15" customHeight="1">
      <c r="A189" t="s">
        <v>550</v>
      </c>
      <c r="B189" t="s">
        <v>551</v>
      </c>
      <c r="C189" s="14">
        <v>45956</v>
      </c>
      <c r="D189" s="14">
        <v>45953</v>
      </c>
      <c r="E189">
        <v>2025</v>
      </c>
      <c r="F189">
        <v>10</v>
      </c>
      <c r="G189" t="s">
        <v>193</v>
      </c>
      <c r="H189" t="s">
        <v>194</v>
      </c>
      <c r="I189" t="s">
        <v>124</v>
      </c>
      <c r="J189" s="15">
        <v>80244.77</v>
      </c>
      <c r="K189" s="15">
        <v>0</v>
      </c>
      <c r="L189" s="15">
        <f t="shared" si="10"/>
        <v>80244.77</v>
      </c>
      <c r="M189" t="s">
        <v>195</v>
      </c>
      <c r="N189" t="s">
        <v>552</v>
      </c>
      <c r="O189" t="s">
        <v>197</v>
      </c>
      <c r="P189" t="s">
        <v>128</v>
      </c>
      <c r="Q189" t="s">
        <v>150</v>
      </c>
      <c r="R189" s="16">
        <v>45956.708333333299</v>
      </c>
      <c r="S189" t="s">
        <v>288</v>
      </c>
      <c r="V189" t="b">
        <f t="shared" si="11"/>
        <v>0</v>
      </c>
      <c r="W189" t="b">
        <f>AND(OR(WEEKDAY(C189,2)=5,WEEKDAY(C189,2)=6),'01_Parameters'!$C$11="Enabled")</f>
        <v>0</v>
      </c>
      <c r="X189" t="b">
        <f t="shared" si="12"/>
        <v>0</v>
      </c>
      <c r="Y189" t="b">
        <f t="shared" si="13"/>
        <v>0</v>
      </c>
      <c r="Z189" t="b">
        <f t="shared" si="14"/>
        <v>0</v>
      </c>
    </row>
    <row r="190" spans="1:26" ht="15" customHeight="1">
      <c r="A190" t="s">
        <v>550</v>
      </c>
      <c r="B190" t="s">
        <v>553</v>
      </c>
      <c r="C190" s="14">
        <v>45956</v>
      </c>
      <c r="D190" s="14">
        <v>45953</v>
      </c>
      <c r="E190">
        <v>2025</v>
      </c>
      <c r="F190">
        <v>10</v>
      </c>
      <c r="G190" t="s">
        <v>199</v>
      </c>
      <c r="H190" t="s">
        <v>200</v>
      </c>
      <c r="I190" t="s">
        <v>146</v>
      </c>
      <c r="J190" s="15">
        <v>0</v>
      </c>
      <c r="K190" s="15">
        <v>80244.77</v>
      </c>
      <c r="L190" s="15">
        <f t="shared" si="10"/>
        <v>-80244.77</v>
      </c>
      <c r="M190" t="s">
        <v>195</v>
      </c>
      <c r="N190" t="s">
        <v>552</v>
      </c>
      <c r="O190" t="s">
        <v>197</v>
      </c>
      <c r="P190" t="s">
        <v>128</v>
      </c>
      <c r="Q190" t="s">
        <v>150</v>
      </c>
      <c r="R190" s="16">
        <v>45956.708333333299</v>
      </c>
      <c r="S190" t="s">
        <v>288</v>
      </c>
      <c r="V190" t="b">
        <f t="shared" si="11"/>
        <v>0</v>
      </c>
      <c r="W190" t="b">
        <f>AND(OR(WEEKDAY(C190,2)=5,WEEKDAY(C190,2)=6),'01_Parameters'!$C$11="Enabled")</f>
        <v>0</v>
      </c>
      <c r="X190" t="b">
        <f t="shared" si="12"/>
        <v>0</v>
      </c>
      <c r="Y190" t="b">
        <f t="shared" si="13"/>
        <v>0</v>
      </c>
      <c r="Z190" t="b">
        <f t="shared" si="14"/>
        <v>0</v>
      </c>
    </row>
    <row r="191" spans="1:26" ht="15" customHeight="1">
      <c r="A191" t="s">
        <v>554</v>
      </c>
      <c r="B191" t="s">
        <v>555</v>
      </c>
      <c r="C191" s="14">
        <v>45911</v>
      </c>
      <c r="D191" s="14">
        <v>45906</v>
      </c>
      <c r="E191">
        <v>2025</v>
      </c>
      <c r="F191">
        <v>9</v>
      </c>
      <c r="G191" t="s">
        <v>179</v>
      </c>
      <c r="H191" t="s">
        <v>180</v>
      </c>
      <c r="I191" t="s">
        <v>124</v>
      </c>
      <c r="J191" s="15">
        <v>55011.11</v>
      </c>
      <c r="K191" s="15">
        <v>0</v>
      </c>
      <c r="L191" s="15">
        <f t="shared" si="10"/>
        <v>55011.11</v>
      </c>
      <c r="M191" t="s">
        <v>181</v>
      </c>
      <c r="N191" t="s">
        <v>556</v>
      </c>
      <c r="O191" t="s">
        <v>183</v>
      </c>
      <c r="P191" t="s">
        <v>128</v>
      </c>
      <c r="Q191" t="s">
        <v>151</v>
      </c>
      <c r="R191" s="16">
        <v>45911.40625</v>
      </c>
      <c r="S191" t="s">
        <v>130</v>
      </c>
      <c r="V191" t="b">
        <f t="shared" si="11"/>
        <v>0</v>
      </c>
      <c r="W191" t="b">
        <f>AND(OR(WEEKDAY(C191,2)=5,WEEKDAY(C191,2)=6),'01_Parameters'!$C$11="Enabled")</f>
        <v>0</v>
      </c>
      <c r="X191" t="b">
        <f t="shared" si="12"/>
        <v>0</v>
      </c>
      <c r="Y191" t="b">
        <f t="shared" si="13"/>
        <v>0</v>
      </c>
      <c r="Z191" t="b">
        <f t="shared" si="14"/>
        <v>0</v>
      </c>
    </row>
    <row r="192" spans="1:26" ht="15" customHeight="1">
      <c r="A192" t="s">
        <v>554</v>
      </c>
      <c r="B192" t="s">
        <v>557</v>
      </c>
      <c r="C192" s="14">
        <v>45911</v>
      </c>
      <c r="D192" s="14">
        <v>45906</v>
      </c>
      <c r="E192">
        <v>2025</v>
      </c>
      <c r="F192">
        <v>9</v>
      </c>
      <c r="G192" t="s">
        <v>185</v>
      </c>
      <c r="H192" t="s">
        <v>186</v>
      </c>
      <c r="I192" t="s">
        <v>134</v>
      </c>
      <c r="J192" s="15">
        <v>0</v>
      </c>
      <c r="K192" s="15">
        <v>55011.11</v>
      </c>
      <c r="L192" s="15">
        <f t="shared" si="10"/>
        <v>-55011.11</v>
      </c>
      <c r="M192" t="s">
        <v>181</v>
      </c>
      <c r="N192" t="s">
        <v>556</v>
      </c>
      <c r="O192" t="s">
        <v>183</v>
      </c>
      <c r="P192" t="s">
        <v>128</v>
      </c>
      <c r="Q192" t="s">
        <v>151</v>
      </c>
      <c r="R192" s="16">
        <v>45911.40625</v>
      </c>
      <c r="S192" t="s">
        <v>130</v>
      </c>
      <c r="V192" t="b">
        <f t="shared" si="11"/>
        <v>0</v>
      </c>
      <c r="W192" t="b">
        <f>AND(OR(WEEKDAY(C192,2)=5,WEEKDAY(C192,2)=6),'01_Parameters'!$C$11="Enabled")</f>
        <v>0</v>
      </c>
      <c r="X192" t="b">
        <f t="shared" si="12"/>
        <v>0</v>
      </c>
      <c r="Y192" t="b">
        <f t="shared" si="13"/>
        <v>0</v>
      </c>
      <c r="Z192" t="b">
        <f t="shared" si="14"/>
        <v>0</v>
      </c>
    </row>
    <row r="193" spans="1:26" ht="15" customHeight="1">
      <c r="A193" t="s">
        <v>558</v>
      </c>
      <c r="B193" t="s">
        <v>559</v>
      </c>
      <c r="C193" s="14">
        <v>45901</v>
      </c>
      <c r="D193" s="14">
        <v>45898</v>
      </c>
      <c r="E193">
        <v>2025</v>
      </c>
      <c r="F193">
        <v>9</v>
      </c>
      <c r="G193" t="s">
        <v>122</v>
      </c>
      <c r="H193" t="s">
        <v>123</v>
      </c>
      <c r="I193" t="s">
        <v>124</v>
      </c>
      <c r="J193" s="15">
        <v>5518.86</v>
      </c>
      <c r="K193" s="15">
        <v>0</v>
      </c>
      <c r="L193" s="15">
        <f t="shared" si="10"/>
        <v>5518.86</v>
      </c>
      <c r="M193" t="s">
        <v>125</v>
      </c>
      <c r="N193" t="s">
        <v>560</v>
      </c>
      <c r="O193" t="s">
        <v>127</v>
      </c>
      <c r="P193" t="s">
        <v>140</v>
      </c>
      <c r="Q193" t="s">
        <v>129</v>
      </c>
      <c r="R193" s="16">
        <v>45901.270833333299</v>
      </c>
      <c r="S193" t="s">
        <v>130</v>
      </c>
      <c r="V193" t="b">
        <f t="shared" si="11"/>
        <v>0</v>
      </c>
      <c r="W193" t="b">
        <f>AND(OR(WEEKDAY(C193,2)=5,WEEKDAY(C193,2)=6),'01_Parameters'!$C$11="Enabled")</f>
        <v>0</v>
      </c>
      <c r="X193" t="b">
        <f t="shared" si="12"/>
        <v>1</v>
      </c>
      <c r="Y193" t="b">
        <f t="shared" si="13"/>
        <v>0</v>
      </c>
      <c r="Z193" t="b">
        <f t="shared" si="14"/>
        <v>0</v>
      </c>
    </row>
    <row r="194" spans="1:26" ht="15" customHeight="1">
      <c r="A194" t="s">
        <v>558</v>
      </c>
      <c r="B194" t="s">
        <v>561</v>
      </c>
      <c r="C194" s="14">
        <v>45901</v>
      </c>
      <c r="D194" s="14">
        <v>45898</v>
      </c>
      <c r="E194">
        <v>2025</v>
      </c>
      <c r="F194">
        <v>9</v>
      </c>
      <c r="G194" t="s">
        <v>132</v>
      </c>
      <c r="H194" t="s">
        <v>133</v>
      </c>
      <c r="I194" t="s">
        <v>134</v>
      </c>
      <c r="J194" s="15">
        <v>0</v>
      </c>
      <c r="K194" s="15">
        <v>5518.86</v>
      </c>
      <c r="L194" s="15">
        <f t="shared" si="10"/>
        <v>-5518.86</v>
      </c>
      <c r="M194" t="s">
        <v>125</v>
      </c>
      <c r="N194" t="s">
        <v>560</v>
      </c>
      <c r="O194" t="s">
        <v>127</v>
      </c>
      <c r="P194" t="s">
        <v>140</v>
      </c>
      <c r="Q194" t="s">
        <v>129</v>
      </c>
      <c r="R194" s="16">
        <v>45901.270833333299</v>
      </c>
      <c r="S194" t="s">
        <v>130</v>
      </c>
      <c r="V194" t="b">
        <f t="shared" si="11"/>
        <v>0</v>
      </c>
      <c r="W194" t="b">
        <f>AND(OR(WEEKDAY(C194,2)=5,WEEKDAY(C194,2)=6),'01_Parameters'!$C$11="Enabled")</f>
        <v>0</v>
      </c>
      <c r="X194" t="b">
        <f t="shared" si="12"/>
        <v>1</v>
      </c>
      <c r="Y194" t="b">
        <f t="shared" si="13"/>
        <v>0</v>
      </c>
      <c r="Z194" t="b">
        <f t="shared" si="14"/>
        <v>0</v>
      </c>
    </row>
    <row r="195" spans="1:26" ht="15" customHeight="1">
      <c r="A195" t="s">
        <v>562</v>
      </c>
      <c r="B195" t="s">
        <v>563</v>
      </c>
      <c r="C195" s="14">
        <v>45736</v>
      </c>
      <c r="D195" s="14">
        <v>45732</v>
      </c>
      <c r="E195">
        <v>2025</v>
      </c>
      <c r="F195">
        <v>3</v>
      </c>
      <c r="G195" t="s">
        <v>193</v>
      </c>
      <c r="H195" t="s">
        <v>194</v>
      </c>
      <c r="I195" t="s">
        <v>124</v>
      </c>
      <c r="J195" s="15">
        <v>44242.84</v>
      </c>
      <c r="K195" s="15">
        <v>0</v>
      </c>
      <c r="L195" s="15">
        <f t="shared" si="10"/>
        <v>44242.84</v>
      </c>
      <c r="M195" t="s">
        <v>195</v>
      </c>
      <c r="N195" t="s">
        <v>564</v>
      </c>
      <c r="O195" t="s">
        <v>197</v>
      </c>
      <c r="P195" t="s">
        <v>128</v>
      </c>
      <c r="Q195" t="s">
        <v>150</v>
      </c>
      <c r="R195" s="16">
        <v>45736.3125</v>
      </c>
      <c r="S195" t="s">
        <v>130</v>
      </c>
      <c r="V195" t="b">
        <f t="shared" si="11"/>
        <v>0</v>
      </c>
      <c r="W195" t="b">
        <f>AND(OR(WEEKDAY(C195,2)=5,WEEKDAY(C195,2)=6),'01_Parameters'!$C$11="Enabled")</f>
        <v>0</v>
      </c>
      <c r="X195" t="b">
        <f t="shared" si="12"/>
        <v>1</v>
      </c>
      <c r="Y195" t="b">
        <f t="shared" si="13"/>
        <v>0</v>
      </c>
      <c r="Z195" t="b">
        <f t="shared" si="14"/>
        <v>0</v>
      </c>
    </row>
    <row r="196" spans="1:26" ht="15" customHeight="1">
      <c r="A196" t="s">
        <v>562</v>
      </c>
      <c r="B196" t="s">
        <v>565</v>
      </c>
      <c r="C196" s="14">
        <v>45736</v>
      </c>
      <c r="D196" s="14">
        <v>45732</v>
      </c>
      <c r="E196">
        <v>2025</v>
      </c>
      <c r="F196">
        <v>3</v>
      </c>
      <c r="G196" t="s">
        <v>199</v>
      </c>
      <c r="H196" t="s">
        <v>200</v>
      </c>
      <c r="I196" t="s">
        <v>146</v>
      </c>
      <c r="J196" s="15">
        <v>0</v>
      </c>
      <c r="K196" s="15">
        <v>44242.84</v>
      </c>
      <c r="L196" s="15">
        <f t="shared" si="10"/>
        <v>-44242.84</v>
      </c>
      <c r="M196" t="s">
        <v>195</v>
      </c>
      <c r="N196" t="s">
        <v>564</v>
      </c>
      <c r="O196" t="s">
        <v>197</v>
      </c>
      <c r="P196" t="s">
        <v>128</v>
      </c>
      <c r="Q196" t="s">
        <v>150</v>
      </c>
      <c r="R196" s="16">
        <v>45736.3125</v>
      </c>
      <c r="S196" t="s">
        <v>130</v>
      </c>
      <c r="V196" t="b">
        <f t="shared" si="11"/>
        <v>0</v>
      </c>
      <c r="W196" t="b">
        <f>AND(OR(WEEKDAY(C196,2)=5,WEEKDAY(C196,2)=6),'01_Parameters'!$C$11="Enabled")</f>
        <v>0</v>
      </c>
      <c r="X196" t="b">
        <f t="shared" si="12"/>
        <v>1</v>
      </c>
      <c r="Y196" t="b">
        <f t="shared" si="13"/>
        <v>0</v>
      </c>
      <c r="Z196" t="b">
        <f t="shared" si="14"/>
        <v>0</v>
      </c>
    </row>
    <row r="197" spans="1:26" ht="15" customHeight="1">
      <c r="A197" t="s">
        <v>566</v>
      </c>
      <c r="B197" t="s">
        <v>567</v>
      </c>
      <c r="C197" s="14">
        <v>45884</v>
      </c>
      <c r="D197" s="14">
        <v>45883</v>
      </c>
      <c r="E197">
        <v>2025</v>
      </c>
      <c r="F197">
        <v>8</v>
      </c>
      <c r="G197" t="s">
        <v>172</v>
      </c>
      <c r="H197" t="s">
        <v>173</v>
      </c>
      <c r="I197" t="s">
        <v>124</v>
      </c>
      <c r="J197" s="15">
        <v>18834.400000000001</v>
      </c>
      <c r="K197" s="15">
        <v>0</v>
      </c>
      <c r="L197" s="15">
        <f t="shared" ref="L197:L260" si="15">J197-K197</f>
        <v>18834.400000000001</v>
      </c>
      <c r="M197" t="s">
        <v>125</v>
      </c>
      <c r="N197" t="s">
        <v>568</v>
      </c>
      <c r="O197" t="s">
        <v>127</v>
      </c>
      <c r="P197" t="s">
        <v>129</v>
      </c>
      <c r="Q197" t="s">
        <v>140</v>
      </c>
      <c r="R197" s="16">
        <v>45884.458333333299</v>
      </c>
      <c r="S197" t="s">
        <v>288</v>
      </c>
      <c r="V197" t="b">
        <f t="shared" ref="V197:V260" si="16">AND(C197&gt;=Year_End_Window_Start,C197&lt;=Year_End_Window_End)</f>
        <v>0</v>
      </c>
      <c r="W197" t="b">
        <f>AND(OR(WEEKDAY(C197,2)=5,WEEKDAY(C197,2)=6),'01_Parameters'!$C$11="Enabled")</f>
        <v>1</v>
      </c>
      <c r="X197" t="b">
        <f t="shared" ref="X197:X260" si="17">AND(HOUR(R197)&lt;Business_Day_Start,HOUR(R197)&gt;=0)+AND(HOUR(R197)&gt;=Business_Day_End,HOUR(R197)&lt;=23)&gt;0</f>
        <v>0</v>
      </c>
      <c r="Y197" t="b">
        <f t="shared" ref="Y197:Y260" si="18">ABS(L197)&gt;High_Value_GL_Threshold</f>
        <v>0</v>
      </c>
      <c r="Z197" t="b">
        <f t="shared" ref="Z197:Z260" si="19">AND(ABS(L197)&gt;=Round_Number_Threshold,MOD(ABS(L197),Round_Number_Threshold)=0)</f>
        <v>0</v>
      </c>
    </row>
    <row r="198" spans="1:26" ht="15" customHeight="1">
      <c r="A198" t="s">
        <v>566</v>
      </c>
      <c r="B198" t="s">
        <v>569</v>
      </c>
      <c r="C198" s="14">
        <v>45884</v>
      </c>
      <c r="D198" s="14">
        <v>45883</v>
      </c>
      <c r="E198">
        <v>2025</v>
      </c>
      <c r="F198">
        <v>8</v>
      </c>
      <c r="G198" t="s">
        <v>132</v>
      </c>
      <c r="H198" t="s">
        <v>133</v>
      </c>
      <c r="I198" t="s">
        <v>134</v>
      </c>
      <c r="J198" s="15">
        <v>0</v>
      </c>
      <c r="K198" s="15">
        <v>18834.400000000001</v>
      </c>
      <c r="L198" s="15">
        <f t="shared" si="15"/>
        <v>-18834.400000000001</v>
      </c>
      <c r="M198" t="s">
        <v>125</v>
      </c>
      <c r="N198" t="s">
        <v>568</v>
      </c>
      <c r="O198" t="s">
        <v>127</v>
      </c>
      <c r="P198" t="s">
        <v>129</v>
      </c>
      <c r="Q198" t="s">
        <v>140</v>
      </c>
      <c r="R198" s="16">
        <v>45884.458333333299</v>
      </c>
      <c r="S198" t="s">
        <v>288</v>
      </c>
      <c r="V198" t="b">
        <f t="shared" si="16"/>
        <v>0</v>
      </c>
      <c r="W198" t="b">
        <f>AND(OR(WEEKDAY(C198,2)=5,WEEKDAY(C198,2)=6),'01_Parameters'!$C$11="Enabled")</f>
        <v>1</v>
      </c>
      <c r="X198" t="b">
        <f t="shared" si="17"/>
        <v>0</v>
      </c>
      <c r="Y198" t="b">
        <f t="shared" si="18"/>
        <v>0</v>
      </c>
      <c r="Z198" t="b">
        <f t="shared" si="19"/>
        <v>0</v>
      </c>
    </row>
    <row r="199" spans="1:26" ht="15" customHeight="1">
      <c r="A199" t="s">
        <v>570</v>
      </c>
      <c r="B199" t="s">
        <v>571</v>
      </c>
      <c r="C199" s="14">
        <v>45788</v>
      </c>
      <c r="D199" s="14">
        <v>45787</v>
      </c>
      <c r="E199">
        <v>2025</v>
      </c>
      <c r="F199">
        <v>5</v>
      </c>
      <c r="G199" t="s">
        <v>144</v>
      </c>
      <c r="H199" t="s">
        <v>145</v>
      </c>
      <c r="I199" t="s">
        <v>146</v>
      </c>
      <c r="J199" s="15">
        <v>41183.54</v>
      </c>
      <c r="K199" s="15">
        <v>0</v>
      </c>
      <c r="L199" s="15">
        <f t="shared" si="15"/>
        <v>41183.54</v>
      </c>
      <c r="M199" t="s">
        <v>147</v>
      </c>
      <c r="N199" t="s">
        <v>572</v>
      </c>
      <c r="O199" t="s">
        <v>149</v>
      </c>
      <c r="P199" t="s">
        <v>150</v>
      </c>
      <c r="Q199" t="s">
        <v>128</v>
      </c>
      <c r="R199" s="16">
        <v>45788.46875</v>
      </c>
      <c r="S199" t="s">
        <v>130</v>
      </c>
      <c r="V199" t="b">
        <f t="shared" si="16"/>
        <v>0</v>
      </c>
      <c r="W199" t="b">
        <f>AND(OR(WEEKDAY(C199,2)=5,WEEKDAY(C199,2)=6),'01_Parameters'!$C$11="Enabled")</f>
        <v>0</v>
      </c>
      <c r="X199" t="b">
        <f t="shared" si="17"/>
        <v>0</v>
      </c>
      <c r="Y199" t="b">
        <f t="shared" si="18"/>
        <v>0</v>
      </c>
      <c r="Z199" t="b">
        <f t="shared" si="19"/>
        <v>0</v>
      </c>
    </row>
    <row r="200" spans="1:26" ht="15" customHeight="1">
      <c r="A200" t="s">
        <v>570</v>
      </c>
      <c r="B200" t="s">
        <v>573</v>
      </c>
      <c r="C200" s="14">
        <v>45788</v>
      </c>
      <c r="D200" s="14">
        <v>45787</v>
      </c>
      <c r="E200">
        <v>2025</v>
      </c>
      <c r="F200">
        <v>5</v>
      </c>
      <c r="G200" t="s">
        <v>153</v>
      </c>
      <c r="H200" t="s">
        <v>154</v>
      </c>
      <c r="I200" t="s">
        <v>155</v>
      </c>
      <c r="J200" s="15">
        <v>0</v>
      </c>
      <c r="K200" s="15">
        <v>41183.54</v>
      </c>
      <c r="L200" s="15">
        <f t="shared" si="15"/>
        <v>-41183.54</v>
      </c>
      <c r="M200" t="s">
        <v>147</v>
      </c>
      <c r="N200" t="s">
        <v>572</v>
      </c>
      <c r="O200" t="s">
        <v>149</v>
      </c>
      <c r="P200" t="s">
        <v>150</v>
      </c>
      <c r="Q200" t="s">
        <v>128</v>
      </c>
      <c r="R200" s="16">
        <v>45788.46875</v>
      </c>
      <c r="S200" t="s">
        <v>130</v>
      </c>
      <c r="V200" t="b">
        <f t="shared" si="16"/>
        <v>0</v>
      </c>
      <c r="W200" t="b">
        <f>AND(OR(WEEKDAY(C200,2)=5,WEEKDAY(C200,2)=6),'01_Parameters'!$C$11="Enabled")</f>
        <v>0</v>
      </c>
      <c r="X200" t="b">
        <f t="shared" si="17"/>
        <v>0</v>
      </c>
      <c r="Y200" t="b">
        <f t="shared" si="18"/>
        <v>0</v>
      </c>
      <c r="Z200" t="b">
        <f t="shared" si="19"/>
        <v>0</v>
      </c>
    </row>
    <row r="201" spans="1:26" ht="15" customHeight="1">
      <c r="A201" t="s">
        <v>574</v>
      </c>
      <c r="B201" t="s">
        <v>575</v>
      </c>
      <c r="C201" s="14">
        <v>45828</v>
      </c>
      <c r="D201" s="14">
        <v>45823</v>
      </c>
      <c r="E201">
        <v>2025</v>
      </c>
      <c r="F201">
        <v>6</v>
      </c>
      <c r="G201" t="s">
        <v>417</v>
      </c>
      <c r="H201" t="s">
        <v>418</v>
      </c>
      <c r="I201" t="s">
        <v>124</v>
      </c>
      <c r="J201" s="15">
        <v>8382.61</v>
      </c>
      <c r="K201" s="15">
        <v>0</v>
      </c>
      <c r="L201" s="15">
        <f t="shared" si="15"/>
        <v>8382.61</v>
      </c>
      <c r="M201" t="s">
        <v>125</v>
      </c>
      <c r="N201" t="s">
        <v>576</v>
      </c>
      <c r="O201" t="s">
        <v>127</v>
      </c>
      <c r="P201" t="s">
        <v>129</v>
      </c>
      <c r="Q201" t="s">
        <v>175</v>
      </c>
      <c r="R201" s="16">
        <v>45828.927083333299</v>
      </c>
      <c r="S201" t="s">
        <v>130</v>
      </c>
      <c r="V201" t="b">
        <f t="shared" si="16"/>
        <v>0</v>
      </c>
      <c r="W201" t="b">
        <f>AND(OR(WEEKDAY(C201,2)=5,WEEKDAY(C201,2)=6),'01_Parameters'!$C$11="Enabled")</f>
        <v>1</v>
      </c>
      <c r="X201" t="b">
        <f t="shared" si="17"/>
        <v>1</v>
      </c>
      <c r="Y201" t="b">
        <f t="shared" si="18"/>
        <v>0</v>
      </c>
      <c r="Z201" t="b">
        <f t="shared" si="19"/>
        <v>0</v>
      </c>
    </row>
    <row r="202" spans="1:26" ht="15" customHeight="1">
      <c r="A202" t="s">
        <v>574</v>
      </c>
      <c r="B202" t="s">
        <v>577</v>
      </c>
      <c r="C202" s="14">
        <v>45828</v>
      </c>
      <c r="D202" s="14">
        <v>45823</v>
      </c>
      <c r="E202">
        <v>2025</v>
      </c>
      <c r="F202">
        <v>6</v>
      </c>
      <c r="G202" t="s">
        <v>132</v>
      </c>
      <c r="H202" t="s">
        <v>133</v>
      </c>
      <c r="I202" t="s">
        <v>134</v>
      </c>
      <c r="J202" s="15">
        <v>0</v>
      </c>
      <c r="K202" s="15">
        <v>8382.61</v>
      </c>
      <c r="L202" s="15">
        <f t="shared" si="15"/>
        <v>-8382.61</v>
      </c>
      <c r="M202" t="s">
        <v>125</v>
      </c>
      <c r="N202" t="s">
        <v>576</v>
      </c>
      <c r="O202" t="s">
        <v>127</v>
      </c>
      <c r="P202" t="s">
        <v>129</v>
      </c>
      <c r="Q202" t="s">
        <v>175</v>
      </c>
      <c r="R202" s="16">
        <v>45828.927083333299</v>
      </c>
      <c r="S202" t="s">
        <v>130</v>
      </c>
      <c r="V202" t="b">
        <f t="shared" si="16"/>
        <v>0</v>
      </c>
      <c r="W202" t="b">
        <f>AND(OR(WEEKDAY(C202,2)=5,WEEKDAY(C202,2)=6),'01_Parameters'!$C$11="Enabled")</f>
        <v>1</v>
      </c>
      <c r="X202" t="b">
        <f t="shared" si="17"/>
        <v>1</v>
      </c>
      <c r="Y202" t="b">
        <f t="shared" si="18"/>
        <v>0</v>
      </c>
      <c r="Z202" t="b">
        <f t="shared" si="19"/>
        <v>0</v>
      </c>
    </row>
    <row r="203" spans="1:26" ht="15" customHeight="1">
      <c r="A203" t="s">
        <v>578</v>
      </c>
      <c r="B203" t="s">
        <v>579</v>
      </c>
      <c r="C203" s="14">
        <v>46017</v>
      </c>
      <c r="D203" s="14">
        <v>46012</v>
      </c>
      <c r="E203">
        <v>2025</v>
      </c>
      <c r="F203">
        <v>12</v>
      </c>
      <c r="G203" t="s">
        <v>179</v>
      </c>
      <c r="H203" t="s">
        <v>180</v>
      </c>
      <c r="I203" t="s">
        <v>124</v>
      </c>
      <c r="J203" s="15">
        <v>15734.44</v>
      </c>
      <c r="K203" s="15">
        <v>0</v>
      </c>
      <c r="L203" s="15">
        <f t="shared" si="15"/>
        <v>15734.44</v>
      </c>
      <c r="M203" t="s">
        <v>181</v>
      </c>
      <c r="N203" t="s">
        <v>580</v>
      </c>
      <c r="O203" t="s">
        <v>183</v>
      </c>
      <c r="P203" t="s">
        <v>129</v>
      </c>
      <c r="Q203" t="s">
        <v>150</v>
      </c>
      <c r="R203" s="16">
        <v>46017.71875</v>
      </c>
      <c r="S203" t="s">
        <v>130</v>
      </c>
      <c r="V203" t="b">
        <f t="shared" si="16"/>
        <v>1</v>
      </c>
      <c r="W203" t="b">
        <f>AND(OR(WEEKDAY(C203,2)=5,WEEKDAY(C203,2)=6),'01_Parameters'!$C$11="Enabled")</f>
        <v>1</v>
      </c>
      <c r="X203" t="b">
        <f t="shared" si="17"/>
        <v>0</v>
      </c>
      <c r="Y203" t="b">
        <f t="shared" si="18"/>
        <v>0</v>
      </c>
      <c r="Z203" t="b">
        <f t="shared" si="19"/>
        <v>0</v>
      </c>
    </row>
    <row r="204" spans="1:26" ht="15" customHeight="1">
      <c r="A204" t="s">
        <v>578</v>
      </c>
      <c r="B204" t="s">
        <v>581</v>
      </c>
      <c r="C204" s="14">
        <v>46017</v>
      </c>
      <c r="D204" s="14">
        <v>46012</v>
      </c>
      <c r="E204">
        <v>2025</v>
      </c>
      <c r="F204">
        <v>12</v>
      </c>
      <c r="G204" t="s">
        <v>185</v>
      </c>
      <c r="H204" t="s">
        <v>186</v>
      </c>
      <c r="I204" t="s">
        <v>134</v>
      </c>
      <c r="J204" s="15">
        <v>0</v>
      </c>
      <c r="K204" s="15">
        <v>15734.44</v>
      </c>
      <c r="L204" s="15">
        <f t="shared" si="15"/>
        <v>-15734.44</v>
      </c>
      <c r="M204" t="s">
        <v>181</v>
      </c>
      <c r="N204" t="s">
        <v>580</v>
      </c>
      <c r="O204" t="s">
        <v>183</v>
      </c>
      <c r="P204" t="s">
        <v>129</v>
      </c>
      <c r="Q204" t="s">
        <v>150</v>
      </c>
      <c r="R204" s="16">
        <v>46017.71875</v>
      </c>
      <c r="S204" t="s">
        <v>130</v>
      </c>
      <c r="V204" t="b">
        <f t="shared" si="16"/>
        <v>1</v>
      </c>
      <c r="W204" t="b">
        <f>AND(OR(WEEKDAY(C204,2)=5,WEEKDAY(C204,2)=6),'01_Parameters'!$C$11="Enabled")</f>
        <v>1</v>
      </c>
      <c r="X204" t="b">
        <f t="shared" si="17"/>
        <v>0</v>
      </c>
      <c r="Y204" t="b">
        <f t="shared" si="18"/>
        <v>0</v>
      </c>
      <c r="Z204" t="b">
        <f t="shared" si="19"/>
        <v>0</v>
      </c>
    </row>
    <row r="205" spans="1:26" ht="15" customHeight="1">
      <c r="A205" t="s">
        <v>582</v>
      </c>
      <c r="B205" t="s">
        <v>583</v>
      </c>
      <c r="C205" s="14">
        <v>45726</v>
      </c>
      <c r="D205" s="14">
        <v>45724</v>
      </c>
      <c r="E205">
        <v>2025</v>
      </c>
      <c r="F205">
        <v>3</v>
      </c>
      <c r="G205" t="s">
        <v>158</v>
      </c>
      <c r="H205" t="s">
        <v>159</v>
      </c>
      <c r="I205" t="s">
        <v>124</v>
      </c>
      <c r="J205" s="15">
        <v>16188.13</v>
      </c>
      <c r="K205" s="15">
        <v>0</v>
      </c>
      <c r="L205" s="15">
        <f t="shared" si="15"/>
        <v>16188.13</v>
      </c>
      <c r="M205" t="s">
        <v>160</v>
      </c>
      <c r="N205" t="s">
        <v>584</v>
      </c>
      <c r="O205" t="s">
        <v>162</v>
      </c>
      <c r="P205" t="s">
        <v>175</v>
      </c>
      <c r="Q205" t="s">
        <v>140</v>
      </c>
      <c r="R205" s="16">
        <v>45726.3125</v>
      </c>
      <c r="S205" t="s">
        <v>130</v>
      </c>
      <c r="V205" t="b">
        <f t="shared" si="16"/>
        <v>0</v>
      </c>
      <c r="W205" t="b">
        <f>AND(OR(WEEKDAY(C205,2)=5,WEEKDAY(C205,2)=6),'01_Parameters'!$C$11="Enabled")</f>
        <v>0</v>
      </c>
      <c r="X205" t="b">
        <f t="shared" si="17"/>
        <v>1</v>
      </c>
      <c r="Y205" t="b">
        <f t="shared" si="18"/>
        <v>0</v>
      </c>
      <c r="Z205" t="b">
        <f t="shared" si="19"/>
        <v>0</v>
      </c>
    </row>
    <row r="206" spans="1:26" ht="15" customHeight="1">
      <c r="A206" t="s">
        <v>582</v>
      </c>
      <c r="B206" t="s">
        <v>585</v>
      </c>
      <c r="C206" s="14">
        <v>45726</v>
      </c>
      <c r="D206" s="14">
        <v>45724</v>
      </c>
      <c r="E206">
        <v>2025</v>
      </c>
      <c r="F206">
        <v>3</v>
      </c>
      <c r="G206" t="s">
        <v>164</v>
      </c>
      <c r="H206" t="s">
        <v>165</v>
      </c>
      <c r="I206" t="s">
        <v>146</v>
      </c>
      <c r="J206" s="15">
        <v>0</v>
      </c>
      <c r="K206" s="15">
        <v>16188.13</v>
      </c>
      <c r="L206" s="15">
        <f t="shared" si="15"/>
        <v>-16188.13</v>
      </c>
      <c r="M206" t="s">
        <v>160</v>
      </c>
      <c r="N206" t="s">
        <v>584</v>
      </c>
      <c r="O206" t="s">
        <v>162</v>
      </c>
      <c r="P206" t="s">
        <v>175</v>
      </c>
      <c r="Q206" t="s">
        <v>140</v>
      </c>
      <c r="R206" s="16">
        <v>45726.3125</v>
      </c>
      <c r="S206" t="s">
        <v>130</v>
      </c>
      <c r="V206" t="b">
        <f t="shared" si="16"/>
        <v>0</v>
      </c>
      <c r="W206" t="b">
        <f>AND(OR(WEEKDAY(C206,2)=5,WEEKDAY(C206,2)=6),'01_Parameters'!$C$11="Enabled")</f>
        <v>0</v>
      </c>
      <c r="X206" t="b">
        <f t="shared" si="17"/>
        <v>1</v>
      </c>
      <c r="Y206" t="b">
        <f t="shared" si="18"/>
        <v>0</v>
      </c>
      <c r="Z206" t="b">
        <f t="shared" si="19"/>
        <v>0</v>
      </c>
    </row>
    <row r="207" spans="1:26" ht="15" customHeight="1">
      <c r="A207" t="s">
        <v>586</v>
      </c>
      <c r="B207" t="s">
        <v>587</v>
      </c>
      <c r="C207" s="14">
        <v>45842</v>
      </c>
      <c r="D207" s="14">
        <v>45841</v>
      </c>
      <c r="E207">
        <v>2025</v>
      </c>
      <c r="F207">
        <v>7</v>
      </c>
      <c r="G207" t="s">
        <v>193</v>
      </c>
      <c r="H207" t="s">
        <v>194</v>
      </c>
      <c r="I207" t="s">
        <v>124</v>
      </c>
      <c r="J207" s="15">
        <v>12525.61</v>
      </c>
      <c r="K207" s="15">
        <v>0</v>
      </c>
      <c r="L207" s="15">
        <f t="shared" si="15"/>
        <v>12525.61</v>
      </c>
      <c r="M207" t="s">
        <v>195</v>
      </c>
      <c r="N207" t="s">
        <v>588</v>
      </c>
      <c r="O207" t="s">
        <v>197</v>
      </c>
      <c r="P207" t="s">
        <v>140</v>
      </c>
      <c r="Q207" t="s">
        <v>150</v>
      </c>
      <c r="R207" s="16">
        <v>45842.625</v>
      </c>
      <c r="S207" t="s">
        <v>130</v>
      </c>
      <c r="V207" t="b">
        <f t="shared" si="16"/>
        <v>0</v>
      </c>
      <c r="W207" t="b">
        <f>AND(OR(WEEKDAY(C207,2)=5,WEEKDAY(C207,2)=6),'01_Parameters'!$C$11="Enabled")</f>
        <v>1</v>
      </c>
      <c r="X207" t="b">
        <f t="shared" si="17"/>
        <v>0</v>
      </c>
      <c r="Y207" t="b">
        <f t="shared" si="18"/>
        <v>0</v>
      </c>
      <c r="Z207" t="b">
        <f t="shared" si="19"/>
        <v>0</v>
      </c>
    </row>
    <row r="208" spans="1:26" ht="15" customHeight="1">
      <c r="A208" t="s">
        <v>586</v>
      </c>
      <c r="B208" t="s">
        <v>589</v>
      </c>
      <c r="C208" s="14">
        <v>45842</v>
      </c>
      <c r="D208" s="14">
        <v>45841</v>
      </c>
      <c r="E208">
        <v>2025</v>
      </c>
      <c r="F208">
        <v>7</v>
      </c>
      <c r="G208" t="s">
        <v>199</v>
      </c>
      <c r="H208" t="s">
        <v>200</v>
      </c>
      <c r="I208" t="s">
        <v>146</v>
      </c>
      <c r="J208" s="15">
        <v>0</v>
      </c>
      <c r="K208" s="15">
        <v>12525.61</v>
      </c>
      <c r="L208" s="15">
        <f t="shared" si="15"/>
        <v>-12525.61</v>
      </c>
      <c r="M208" t="s">
        <v>195</v>
      </c>
      <c r="N208" t="s">
        <v>588</v>
      </c>
      <c r="O208" t="s">
        <v>197</v>
      </c>
      <c r="P208" t="s">
        <v>140</v>
      </c>
      <c r="Q208" t="s">
        <v>150</v>
      </c>
      <c r="R208" s="16">
        <v>45842.625</v>
      </c>
      <c r="S208" t="s">
        <v>130</v>
      </c>
      <c r="V208" t="b">
        <f t="shared" si="16"/>
        <v>0</v>
      </c>
      <c r="W208" t="b">
        <f>AND(OR(WEEKDAY(C208,2)=5,WEEKDAY(C208,2)=6),'01_Parameters'!$C$11="Enabled")</f>
        <v>1</v>
      </c>
      <c r="X208" t="b">
        <f t="shared" si="17"/>
        <v>0</v>
      </c>
      <c r="Y208" t="b">
        <f t="shared" si="18"/>
        <v>0</v>
      </c>
      <c r="Z208" t="b">
        <f t="shared" si="19"/>
        <v>0</v>
      </c>
    </row>
    <row r="209" spans="1:26" ht="15" customHeight="1">
      <c r="A209" t="s">
        <v>590</v>
      </c>
      <c r="B209" t="s">
        <v>591</v>
      </c>
      <c r="C209" s="14">
        <v>45704</v>
      </c>
      <c r="D209" s="14">
        <v>45701</v>
      </c>
      <c r="E209">
        <v>2025</v>
      </c>
      <c r="F209">
        <v>2</v>
      </c>
      <c r="G209" t="s">
        <v>144</v>
      </c>
      <c r="H209" t="s">
        <v>145</v>
      </c>
      <c r="I209" t="s">
        <v>146</v>
      </c>
      <c r="J209" s="15">
        <v>29521.06</v>
      </c>
      <c r="K209" s="15">
        <v>0</v>
      </c>
      <c r="L209" s="15">
        <f t="shared" si="15"/>
        <v>29521.06</v>
      </c>
      <c r="M209" t="s">
        <v>147</v>
      </c>
      <c r="N209" t="s">
        <v>592</v>
      </c>
      <c r="O209" t="s">
        <v>149</v>
      </c>
      <c r="P209" t="s">
        <v>151</v>
      </c>
      <c r="Q209" t="s">
        <v>128</v>
      </c>
      <c r="R209" s="16">
        <v>45704.395833333299</v>
      </c>
      <c r="S209" t="s">
        <v>130</v>
      </c>
      <c r="V209" t="b">
        <f t="shared" si="16"/>
        <v>0</v>
      </c>
      <c r="W209" t="b">
        <f>AND(OR(WEEKDAY(C209,2)=5,WEEKDAY(C209,2)=6),'01_Parameters'!$C$11="Enabled")</f>
        <v>0</v>
      </c>
      <c r="X209" t="b">
        <f t="shared" si="17"/>
        <v>0</v>
      </c>
      <c r="Y209" t="b">
        <f t="shared" si="18"/>
        <v>0</v>
      </c>
      <c r="Z209" t="b">
        <f t="shared" si="19"/>
        <v>0</v>
      </c>
    </row>
    <row r="210" spans="1:26" ht="15" customHeight="1">
      <c r="A210" t="s">
        <v>590</v>
      </c>
      <c r="B210" t="s">
        <v>593</v>
      </c>
      <c r="C210" s="14">
        <v>45704</v>
      </c>
      <c r="D210" s="14">
        <v>45701</v>
      </c>
      <c r="E210">
        <v>2025</v>
      </c>
      <c r="F210">
        <v>2</v>
      </c>
      <c r="G210" t="s">
        <v>153</v>
      </c>
      <c r="H210" t="s">
        <v>154</v>
      </c>
      <c r="I210" t="s">
        <v>155</v>
      </c>
      <c r="J210" s="15">
        <v>0</v>
      </c>
      <c r="K210" s="15">
        <v>29521.06</v>
      </c>
      <c r="L210" s="15">
        <f t="shared" si="15"/>
        <v>-29521.06</v>
      </c>
      <c r="M210" t="s">
        <v>147</v>
      </c>
      <c r="N210" t="s">
        <v>592</v>
      </c>
      <c r="O210" t="s">
        <v>149</v>
      </c>
      <c r="P210" t="s">
        <v>151</v>
      </c>
      <c r="Q210" t="s">
        <v>128</v>
      </c>
      <c r="R210" s="16">
        <v>45704.395833333299</v>
      </c>
      <c r="S210" t="s">
        <v>130</v>
      </c>
      <c r="V210" t="b">
        <f t="shared" si="16"/>
        <v>0</v>
      </c>
      <c r="W210" t="b">
        <f>AND(OR(WEEKDAY(C210,2)=5,WEEKDAY(C210,2)=6),'01_Parameters'!$C$11="Enabled")</f>
        <v>0</v>
      </c>
      <c r="X210" t="b">
        <f t="shared" si="17"/>
        <v>0</v>
      </c>
      <c r="Y210" t="b">
        <f t="shared" si="18"/>
        <v>0</v>
      </c>
      <c r="Z210" t="b">
        <f t="shared" si="19"/>
        <v>0</v>
      </c>
    </row>
    <row r="211" spans="1:26" ht="15" customHeight="1">
      <c r="A211" t="s">
        <v>594</v>
      </c>
      <c r="B211" t="s">
        <v>595</v>
      </c>
      <c r="C211" s="14">
        <v>45786</v>
      </c>
      <c r="D211" s="14">
        <v>45784</v>
      </c>
      <c r="E211">
        <v>2025</v>
      </c>
      <c r="F211">
        <v>5</v>
      </c>
      <c r="G211" t="s">
        <v>158</v>
      </c>
      <c r="H211" t="s">
        <v>159</v>
      </c>
      <c r="I211" t="s">
        <v>124</v>
      </c>
      <c r="J211" s="15">
        <v>50906.26</v>
      </c>
      <c r="K211" s="15">
        <v>0</v>
      </c>
      <c r="L211" s="15">
        <f t="shared" si="15"/>
        <v>50906.26</v>
      </c>
      <c r="M211" t="s">
        <v>160</v>
      </c>
      <c r="N211" t="s">
        <v>596</v>
      </c>
      <c r="O211" t="s">
        <v>162</v>
      </c>
      <c r="P211" t="s">
        <v>175</v>
      </c>
      <c r="Q211" t="s">
        <v>128</v>
      </c>
      <c r="R211" s="16">
        <v>45786.5625</v>
      </c>
      <c r="S211" t="s">
        <v>130</v>
      </c>
      <c r="V211" t="b">
        <f t="shared" si="16"/>
        <v>0</v>
      </c>
      <c r="W211" t="b">
        <f>AND(OR(WEEKDAY(C211,2)=5,WEEKDAY(C211,2)=6),'01_Parameters'!$C$11="Enabled")</f>
        <v>1</v>
      </c>
      <c r="X211" t="b">
        <f t="shared" si="17"/>
        <v>0</v>
      </c>
      <c r="Y211" t="b">
        <f t="shared" si="18"/>
        <v>0</v>
      </c>
      <c r="Z211" t="b">
        <f t="shared" si="19"/>
        <v>0</v>
      </c>
    </row>
    <row r="212" spans="1:26" ht="15" customHeight="1">
      <c r="A212" t="s">
        <v>594</v>
      </c>
      <c r="B212" t="s">
        <v>597</v>
      </c>
      <c r="C212" s="14">
        <v>45786</v>
      </c>
      <c r="D212" s="14">
        <v>45784</v>
      </c>
      <c r="E212">
        <v>2025</v>
      </c>
      <c r="F212">
        <v>5</v>
      </c>
      <c r="G212" t="s">
        <v>164</v>
      </c>
      <c r="H212" t="s">
        <v>165</v>
      </c>
      <c r="I212" t="s">
        <v>146</v>
      </c>
      <c r="J212" s="15">
        <v>0</v>
      </c>
      <c r="K212" s="15">
        <v>50906.26</v>
      </c>
      <c r="L212" s="15">
        <f t="shared" si="15"/>
        <v>-50906.26</v>
      </c>
      <c r="M212" t="s">
        <v>160</v>
      </c>
      <c r="N212" t="s">
        <v>596</v>
      </c>
      <c r="O212" t="s">
        <v>162</v>
      </c>
      <c r="P212" t="s">
        <v>175</v>
      </c>
      <c r="Q212" t="s">
        <v>128</v>
      </c>
      <c r="R212" s="16">
        <v>45786.5625</v>
      </c>
      <c r="S212" t="s">
        <v>130</v>
      </c>
      <c r="V212" t="b">
        <f t="shared" si="16"/>
        <v>0</v>
      </c>
      <c r="W212" t="b">
        <f>AND(OR(WEEKDAY(C212,2)=5,WEEKDAY(C212,2)=6),'01_Parameters'!$C$11="Enabled")</f>
        <v>1</v>
      </c>
      <c r="X212" t="b">
        <f t="shared" si="17"/>
        <v>0</v>
      </c>
      <c r="Y212" t="b">
        <f t="shared" si="18"/>
        <v>0</v>
      </c>
      <c r="Z212" t="b">
        <f t="shared" si="19"/>
        <v>0</v>
      </c>
    </row>
    <row r="213" spans="1:26" ht="15" customHeight="1">
      <c r="A213" t="s">
        <v>598</v>
      </c>
      <c r="B213" t="s">
        <v>599</v>
      </c>
      <c r="C213" s="14">
        <v>45743</v>
      </c>
      <c r="D213" s="14">
        <v>45741</v>
      </c>
      <c r="E213">
        <v>2025</v>
      </c>
      <c r="F213">
        <v>3</v>
      </c>
      <c r="G213" t="s">
        <v>137</v>
      </c>
      <c r="H213" t="s">
        <v>138</v>
      </c>
      <c r="I213" t="s">
        <v>124</v>
      </c>
      <c r="J213" s="15">
        <v>176515.79</v>
      </c>
      <c r="K213" s="15">
        <v>0</v>
      </c>
      <c r="L213" s="15">
        <f t="shared" si="15"/>
        <v>176515.79</v>
      </c>
      <c r="M213" t="s">
        <v>125</v>
      </c>
      <c r="N213" t="s">
        <v>600</v>
      </c>
      <c r="O213" t="s">
        <v>127</v>
      </c>
      <c r="P213" t="s">
        <v>128</v>
      </c>
      <c r="Q213" t="s">
        <v>175</v>
      </c>
      <c r="R213" s="16">
        <v>45743.9375</v>
      </c>
      <c r="S213" t="s">
        <v>130</v>
      </c>
      <c r="V213" t="b">
        <f t="shared" si="16"/>
        <v>0</v>
      </c>
      <c r="W213" t="b">
        <f>AND(OR(WEEKDAY(C213,2)=5,WEEKDAY(C213,2)=6),'01_Parameters'!$C$11="Enabled")</f>
        <v>0</v>
      </c>
      <c r="X213" t="b">
        <f t="shared" si="17"/>
        <v>1</v>
      </c>
      <c r="Y213" t="b">
        <f t="shared" si="18"/>
        <v>1</v>
      </c>
      <c r="Z213" t="b">
        <f t="shared" si="19"/>
        <v>0</v>
      </c>
    </row>
    <row r="214" spans="1:26" ht="15" customHeight="1">
      <c r="A214" t="s">
        <v>598</v>
      </c>
      <c r="B214" t="s">
        <v>601</v>
      </c>
      <c r="C214" s="14">
        <v>45743</v>
      </c>
      <c r="D214" s="14">
        <v>45741</v>
      </c>
      <c r="E214">
        <v>2025</v>
      </c>
      <c r="F214">
        <v>3</v>
      </c>
      <c r="G214" t="s">
        <v>132</v>
      </c>
      <c r="H214" t="s">
        <v>133</v>
      </c>
      <c r="I214" t="s">
        <v>134</v>
      </c>
      <c r="J214" s="15">
        <v>0</v>
      </c>
      <c r="K214" s="15">
        <v>176515.79</v>
      </c>
      <c r="L214" s="15">
        <f t="shared" si="15"/>
        <v>-176515.79</v>
      </c>
      <c r="M214" t="s">
        <v>125</v>
      </c>
      <c r="N214" t="s">
        <v>600</v>
      </c>
      <c r="O214" t="s">
        <v>127</v>
      </c>
      <c r="P214" t="s">
        <v>128</v>
      </c>
      <c r="Q214" t="s">
        <v>175</v>
      </c>
      <c r="R214" s="16">
        <v>45743.9375</v>
      </c>
      <c r="S214" t="s">
        <v>130</v>
      </c>
      <c r="V214" t="b">
        <f t="shared" si="16"/>
        <v>0</v>
      </c>
      <c r="W214" t="b">
        <f>AND(OR(WEEKDAY(C214,2)=5,WEEKDAY(C214,2)=6),'01_Parameters'!$C$11="Enabled")</f>
        <v>0</v>
      </c>
      <c r="X214" t="b">
        <f t="shared" si="17"/>
        <v>1</v>
      </c>
      <c r="Y214" t="b">
        <f t="shared" si="18"/>
        <v>1</v>
      </c>
      <c r="Z214" t="b">
        <f t="shared" si="19"/>
        <v>0</v>
      </c>
    </row>
    <row r="215" spans="1:26" ht="15" customHeight="1">
      <c r="A215" t="s">
        <v>602</v>
      </c>
      <c r="B215" t="s">
        <v>603</v>
      </c>
      <c r="C215" s="14">
        <v>45755</v>
      </c>
      <c r="D215" s="14">
        <v>45750</v>
      </c>
      <c r="E215">
        <v>2025</v>
      </c>
      <c r="F215">
        <v>4</v>
      </c>
      <c r="G215" t="s">
        <v>179</v>
      </c>
      <c r="H215" t="s">
        <v>180</v>
      </c>
      <c r="I215" t="s">
        <v>124</v>
      </c>
      <c r="J215" s="15">
        <v>46331.62</v>
      </c>
      <c r="K215" s="15">
        <v>0</v>
      </c>
      <c r="L215" s="15">
        <f t="shared" si="15"/>
        <v>46331.62</v>
      </c>
      <c r="M215" t="s">
        <v>181</v>
      </c>
      <c r="N215" t="s">
        <v>604</v>
      </c>
      <c r="O215" t="s">
        <v>183</v>
      </c>
      <c r="P215" t="s">
        <v>128</v>
      </c>
      <c r="Q215" t="s">
        <v>175</v>
      </c>
      <c r="R215" s="16">
        <v>45755.25</v>
      </c>
      <c r="S215" t="s">
        <v>130</v>
      </c>
      <c r="V215" t="b">
        <f t="shared" si="16"/>
        <v>0</v>
      </c>
      <c r="W215" t="b">
        <f>AND(OR(WEEKDAY(C215,2)=5,WEEKDAY(C215,2)=6),'01_Parameters'!$C$11="Enabled")</f>
        <v>0</v>
      </c>
      <c r="X215" t="b">
        <f t="shared" si="17"/>
        <v>1</v>
      </c>
      <c r="Y215" t="b">
        <f t="shared" si="18"/>
        <v>0</v>
      </c>
      <c r="Z215" t="b">
        <f t="shared" si="19"/>
        <v>0</v>
      </c>
    </row>
    <row r="216" spans="1:26" ht="15" customHeight="1">
      <c r="A216" t="s">
        <v>602</v>
      </c>
      <c r="B216" t="s">
        <v>605</v>
      </c>
      <c r="C216" s="14">
        <v>45755</v>
      </c>
      <c r="D216" s="14">
        <v>45750</v>
      </c>
      <c r="E216">
        <v>2025</v>
      </c>
      <c r="F216">
        <v>4</v>
      </c>
      <c r="G216" t="s">
        <v>185</v>
      </c>
      <c r="H216" t="s">
        <v>186</v>
      </c>
      <c r="I216" t="s">
        <v>134</v>
      </c>
      <c r="J216" s="15">
        <v>0</v>
      </c>
      <c r="K216" s="15">
        <v>46331.62</v>
      </c>
      <c r="L216" s="15">
        <f t="shared" si="15"/>
        <v>-46331.62</v>
      </c>
      <c r="M216" t="s">
        <v>181</v>
      </c>
      <c r="N216" t="s">
        <v>604</v>
      </c>
      <c r="O216" t="s">
        <v>183</v>
      </c>
      <c r="P216" t="s">
        <v>128</v>
      </c>
      <c r="Q216" t="s">
        <v>175</v>
      </c>
      <c r="R216" s="16">
        <v>45755.25</v>
      </c>
      <c r="S216" t="s">
        <v>130</v>
      </c>
      <c r="V216" t="b">
        <f t="shared" si="16"/>
        <v>0</v>
      </c>
      <c r="W216" t="b">
        <f>AND(OR(WEEKDAY(C216,2)=5,WEEKDAY(C216,2)=6),'01_Parameters'!$C$11="Enabled")</f>
        <v>0</v>
      </c>
      <c r="X216" t="b">
        <f t="shared" si="17"/>
        <v>1</v>
      </c>
      <c r="Y216" t="b">
        <f t="shared" si="18"/>
        <v>0</v>
      </c>
      <c r="Z216" t="b">
        <f t="shared" si="19"/>
        <v>0</v>
      </c>
    </row>
    <row r="217" spans="1:26" ht="15" customHeight="1">
      <c r="A217" t="s">
        <v>606</v>
      </c>
      <c r="B217" t="s">
        <v>607</v>
      </c>
      <c r="C217" s="14">
        <v>45667</v>
      </c>
      <c r="D217" s="14">
        <v>45664</v>
      </c>
      <c r="E217">
        <v>2025</v>
      </c>
      <c r="F217">
        <v>1</v>
      </c>
      <c r="G217" t="s">
        <v>122</v>
      </c>
      <c r="H217" t="s">
        <v>123</v>
      </c>
      <c r="I217" t="s">
        <v>124</v>
      </c>
      <c r="J217" s="15">
        <v>67840.850000000006</v>
      </c>
      <c r="K217" s="15">
        <v>0</v>
      </c>
      <c r="L217" s="15">
        <f t="shared" si="15"/>
        <v>67840.850000000006</v>
      </c>
      <c r="M217" t="s">
        <v>125</v>
      </c>
      <c r="N217" t="s">
        <v>608</v>
      </c>
      <c r="O217" t="s">
        <v>127</v>
      </c>
      <c r="P217" t="s">
        <v>150</v>
      </c>
      <c r="Q217" t="s">
        <v>128</v>
      </c>
      <c r="R217" s="16">
        <v>45667.875</v>
      </c>
      <c r="S217" t="s">
        <v>130</v>
      </c>
      <c r="V217" t="b">
        <f t="shared" si="16"/>
        <v>0</v>
      </c>
      <c r="W217" t="b">
        <f>AND(OR(WEEKDAY(C217,2)=5,WEEKDAY(C217,2)=6),'01_Parameters'!$C$11="Enabled")</f>
        <v>1</v>
      </c>
      <c r="X217" t="b">
        <f t="shared" si="17"/>
        <v>1</v>
      </c>
      <c r="Y217" t="b">
        <f t="shared" si="18"/>
        <v>0</v>
      </c>
      <c r="Z217" t="b">
        <f t="shared" si="19"/>
        <v>0</v>
      </c>
    </row>
    <row r="218" spans="1:26" ht="15" customHeight="1">
      <c r="A218" t="s">
        <v>606</v>
      </c>
      <c r="B218" t="s">
        <v>609</v>
      </c>
      <c r="C218" s="14">
        <v>45667</v>
      </c>
      <c r="D218" s="14">
        <v>45664</v>
      </c>
      <c r="E218">
        <v>2025</v>
      </c>
      <c r="F218">
        <v>1</v>
      </c>
      <c r="G218" t="s">
        <v>132</v>
      </c>
      <c r="H218" t="s">
        <v>133</v>
      </c>
      <c r="I218" t="s">
        <v>134</v>
      </c>
      <c r="J218" s="15">
        <v>0</v>
      </c>
      <c r="K218" s="15">
        <v>67840.850000000006</v>
      </c>
      <c r="L218" s="15">
        <f t="shared" si="15"/>
        <v>-67840.850000000006</v>
      </c>
      <c r="M218" t="s">
        <v>125</v>
      </c>
      <c r="N218" t="s">
        <v>608</v>
      </c>
      <c r="O218" t="s">
        <v>127</v>
      </c>
      <c r="P218" t="s">
        <v>150</v>
      </c>
      <c r="Q218" t="s">
        <v>128</v>
      </c>
      <c r="R218" s="16">
        <v>45667.875</v>
      </c>
      <c r="S218" t="s">
        <v>130</v>
      </c>
      <c r="V218" t="b">
        <f t="shared" si="16"/>
        <v>0</v>
      </c>
      <c r="W218" t="b">
        <f>AND(OR(WEEKDAY(C218,2)=5,WEEKDAY(C218,2)=6),'01_Parameters'!$C$11="Enabled")</f>
        <v>1</v>
      </c>
      <c r="X218" t="b">
        <f t="shared" si="17"/>
        <v>1</v>
      </c>
      <c r="Y218" t="b">
        <f t="shared" si="18"/>
        <v>0</v>
      </c>
      <c r="Z218" t="b">
        <f t="shared" si="19"/>
        <v>0</v>
      </c>
    </row>
    <row r="219" spans="1:26" ht="15" customHeight="1">
      <c r="A219" t="s">
        <v>610</v>
      </c>
      <c r="B219" t="s">
        <v>611</v>
      </c>
      <c r="C219" s="14">
        <v>46012</v>
      </c>
      <c r="D219" s="14">
        <v>46007</v>
      </c>
      <c r="E219">
        <v>2025</v>
      </c>
      <c r="F219">
        <v>12</v>
      </c>
      <c r="G219" t="s">
        <v>179</v>
      </c>
      <c r="H219" t="s">
        <v>180</v>
      </c>
      <c r="I219" t="s">
        <v>124</v>
      </c>
      <c r="J219" s="15">
        <v>29186.46</v>
      </c>
      <c r="K219" s="15">
        <v>0</v>
      </c>
      <c r="L219" s="15">
        <f t="shared" si="15"/>
        <v>29186.46</v>
      </c>
      <c r="M219" t="s">
        <v>181</v>
      </c>
      <c r="N219" t="s">
        <v>612</v>
      </c>
      <c r="O219" t="s">
        <v>183</v>
      </c>
      <c r="P219" t="s">
        <v>175</v>
      </c>
      <c r="Q219" t="s">
        <v>128</v>
      </c>
      <c r="R219" s="16">
        <v>46012.447916666701</v>
      </c>
      <c r="S219" t="s">
        <v>130</v>
      </c>
      <c r="V219" t="b">
        <f t="shared" si="16"/>
        <v>1</v>
      </c>
      <c r="W219" t="b">
        <f>AND(OR(WEEKDAY(C219,2)=5,WEEKDAY(C219,2)=6),'01_Parameters'!$C$11="Enabled")</f>
        <v>0</v>
      </c>
      <c r="X219" t="b">
        <f t="shared" si="17"/>
        <v>0</v>
      </c>
      <c r="Y219" t="b">
        <f t="shared" si="18"/>
        <v>0</v>
      </c>
      <c r="Z219" t="b">
        <f t="shared" si="19"/>
        <v>0</v>
      </c>
    </row>
    <row r="220" spans="1:26" ht="15" customHeight="1">
      <c r="A220" t="s">
        <v>610</v>
      </c>
      <c r="B220" t="s">
        <v>613</v>
      </c>
      <c r="C220" s="14">
        <v>46012</v>
      </c>
      <c r="D220" s="14">
        <v>46007</v>
      </c>
      <c r="E220">
        <v>2025</v>
      </c>
      <c r="F220">
        <v>12</v>
      </c>
      <c r="G220" t="s">
        <v>185</v>
      </c>
      <c r="H220" t="s">
        <v>186</v>
      </c>
      <c r="I220" t="s">
        <v>134</v>
      </c>
      <c r="J220" s="15">
        <v>0</v>
      </c>
      <c r="K220" s="15">
        <v>29186.46</v>
      </c>
      <c r="L220" s="15">
        <f t="shared" si="15"/>
        <v>-29186.46</v>
      </c>
      <c r="M220" t="s">
        <v>181</v>
      </c>
      <c r="N220" t="s">
        <v>612</v>
      </c>
      <c r="O220" t="s">
        <v>183</v>
      </c>
      <c r="P220" t="s">
        <v>175</v>
      </c>
      <c r="Q220" t="s">
        <v>128</v>
      </c>
      <c r="R220" s="16">
        <v>46012.447916666701</v>
      </c>
      <c r="S220" t="s">
        <v>130</v>
      </c>
      <c r="V220" t="b">
        <f t="shared" si="16"/>
        <v>1</v>
      </c>
      <c r="W220" t="b">
        <f>AND(OR(WEEKDAY(C220,2)=5,WEEKDAY(C220,2)=6),'01_Parameters'!$C$11="Enabled")</f>
        <v>0</v>
      </c>
      <c r="X220" t="b">
        <f t="shared" si="17"/>
        <v>0</v>
      </c>
      <c r="Y220" t="b">
        <f t="shared" si="18"/>
        <v>0</v>
      </c>
      <c r="Z220" t="b">
        <f t="shared" si="19"/>
        <v>0</v>
      </c>
    </row>
    <row r="221" spans="1:26" ht="15" customHeight="1">
      <c r="A221" t="s">
        <v>614</v>
      </c>
      <c r="B221" t="s">
        <v>615</v>
      </c>
      <c r="C221" s="14">
        <v>45898</v>
      </c>
      <c r="D221" s="14">
        <v>45894</v>
      </c>
      <c r="E221">
        <v>2025</v>
      </c>
      <c r="F221">
        <v>8</v>
      </c>
      <c r="G221" t="s">
        <v>193</v>
      </c>
      <c r="H221" t="s">
        <v>194</v>
      </c>
      <c r="I221" t="s">
        <v>124</v>
      </c>
      <c r="J221" s="15">
        <v>18174.48</v>
      </c>
      <c r="K221" s="15">
        <v>0</v>
      </c>
      <c r="L221" s="15">
        <f t="shared" si="15"/>
        <v>18174.48</v>
      </c>
      <c r="M221" t="s">
        <v>195</v>
      </c>
      <c r="N221" t="s">
        <v>616</v>
      </c>
      <c r="O221" t="s">
        <v>197</v>
      </c>
      <c r="P221" t="s">
        <v>175</v>
      </c>
      <c r="Q221" t="s">
        <v>128</v>
      </c>
      <c r="R221" s="16">
        <v>45898.34375</v>
      </c>
      <c r="S221" t="s">
        <v>130</v>
      </c>
      <c r="V221" t="b">
        <f t="shared" si="16"/>
        <v>0</v>
      </c>
      <c r="W221" t="b">
        <f>AND(OR(WEEKDAY(C221,2)=5,WEEKDAY(C221,2)=6),'01_Parameters'!$C$11="Enabled")</f>
        <v>1</v>
      </c>
      <c r="X221" t="b">
        <f t="shared" si="17"/>
        <v>0</v>
      </c>
      <c r="Y221" t="b">
        <f t="shared" si="18"/>
        <v>0</v>
      </c>
      <c r="Z221" t="b">
        <f t="shared" si="19"/>
        <v>0</v>
      </c>
    </row>
    <row r="222" spans="1:26" ht="15" customHeight="1">
      <c r="A222" t="s">
        <v>614</v>
      </c>
      <c r="B222" t="s">
        <v>617</v>
      </c>
      <c r="C222" s="14">
        <v>45898</v>
      </c>
      <c r="D222" s="14">
        <v>45894</v>
      </c>
      <c r="E222">
        <v>2025</v>
      </c>
      <c r="F222">
        <v>8</v>
      </c>
      <c r="G222" t="s">
        <v>199</v>
      </c>
      <c r="H222" t="s">
        <v>200</v>
      </c>
      <c r="I222" t="s">
        <v>146</v>
      </c>
      <c r="J222" s="15">
        <v>0</v>
      </c>
      <c r="K222" s="15">
        <v>18174.48</v>
      </c>
      <c r="L222" s="15">
        <f t="shared" si="15"/>
        <v>-18174.48</v>
      </c>
      <c r="M222" t="s">
        <v>195</v>
      </c>
      <c r="N222" t="s">
        <v>616</v>
      </c>
      <c r="O222" t="s">
        <v>197</v>
      </c>
      <c r="P222" t="s">
        <v>175</v>
      </c>
      <c r="Q222" t="s">
        <v>128</v>
      </c>
      <c r="R222" s="16">
        <v>45898.34375</v>
      </c>
      <c r="S222" t="s">
        <v>130</v>
      </c>
      <c r="V222" t="b">
        <f t="shared" si="16"/>
        <v>0</v>
      </c>
      <c r="W222" t="b">
        <f>AND(OR(WEEKDAY(C222,2)=5,WEEKDAY(C222,2)=6),'01_Parameters'!$C$11="Enabled")</f>
        <v>1</v>
      </c>
      <c r="X222" t="b">
        <f t="shared" si="17"/>
        <v>0</v>
      </c>
      <c r="Y222" t="b">
        <f t="shared" si="18"/>
        <v>0</v>
      </c>
      <c r="Z222" t="b">
        <f t="shared" si="19"/>
        <v>0</v>
      </c>
    </row>
    <row r="223" spans="1:26" ht="15" customHeight="1">
      <c r="A223" t="s">
        <v>618</v>
      </c>
      <c r="B223" t="s">
        <v>619</v>
      </c>
      <c r="C223" s="14">
        <v>45803</v>
      </c>
      <c r="D223" s="14">
        <v>45799</v>
      </c>
      <c r="E223">
        <v>2025</v>
      </c>
      <c r="F223">
        <v>5</v>
      </c>
      <c r="G223" t="s">
        <v>193</v>
      </c>
      <c r="H223" t="s">
        <v>194</v>
      </c>
      <c r="I223" t="s">
        <v>124</v>
      </c>
      <c r="J223" s="15">
        <v>6648.87</v>
      </c>
      <c r="K223" s="15">
        <v>0</v>
      </c>
      <c r="L223" s="15">
        <f t="shared" si="15"/>
        <v>6648.87</v>
      </c>
      <c r="M223" t="s">
        <v>195</v>
      </c>
      <c r="N223" t="s">
        <v>620</v>
      </c>
      <c r="O223" t="s">
        <v>197</v>
      </c>
      <c r="P223" t="s">
        <v>140</v>
      </c>
      <c r="Q223" t="s">
        <v>150</v>
      </c>
      <c r="R223" s="16">
        <v>45803.5</v>
      </c>
      <c r="S223" t="s">
        <v>130</v>
      </c>
      <c r="V223" t="b">
        <f t="shared" si="16"/>
        <v>0</v>
      </c>
      <c r="W223" t="b">
        <f>AND(OR(WEEKDAY(C223,2)=5,WEEKDAY(C223,2)=6),'01_Parameters'!$C$11="Enabled")</f>
        <v>0</v>
      </c>
      <c r="X223" t="b">
        <f t="shared" si="17"/>
        <v>0</v>
      </c>
      <c r="Y223" t="b">
        <f t="shared" si="18"/>
        <v>0</v>
      </c>
      <c r="Z223" t="b">
        <f t="shared" si="19"/>
        <v>0</v>
      </c>
    </row>
    <row r="224" spans="1:26" ht="15" customHeight="1">
      <c r="A224" t="s">
        <v>618</v>
      </c>
      <c r="B224" t="s">
        <v>621</v>
      </c>
      <c r="C224" s="14">
        <v>45803</v>
      </c>
      <c r="D224" s="14">
        <v>45799</v>
      </c>
      <c r="E224">
        <v>2025</v>
      </c>
      <c r="F224">
        <v>5</v>
      </c>
      <c r="G224" t="s">
        <v>199</v>
      </c>
      <c r="H224" t="s">
        <v>200</v>
      </c>
      <c r="I224" t="s">
        <v>146</v>
      </c>
      <c r="J224" s="15">
        <v>0</v>
      </c>
      <c r="K224" s="15">
        <v>6648.87</v>
      </c>
      <c r="L224" s="15">
        <f t="shared" si="15"/>
        <v>-6648.87</v>
      </c>
      <c r="M224" t="s">
        <v>195</v>
      </c>
      <c r="N224" t="s">
        <v>620</v>
      </c>
      <c r="O224" t="s">
        <v>197</v>
      </c>
      <c r="P224" t="s">
        <v>140</v>
      </c>
      <c r="Q224" t="s">
        <v>150</v>
      </c>
      <c r="R224" s="16">
        <v>45803.5</v>
      </c>
      <c r="S224" t="s">
        <v>130</v>
      </c>
      <c r="V224" t="b">
        <f t="shared" si="16"/>
        <v>0</v>
      </c>
      <c r="W224" t="b">
        <f>AND(OR(WEEKDAY(C224,2)=5,WEEKDAY(C224,2)=6),'01_Parameters'!$C$11="Enabled")</f>
        <v>0</v>
      </c>
      <c r="X224" t="b">
        <f t="shared" si="17"/>
        <v>0</v>
      </c>
      <c r="Y224" t="b">
        <f t="shared" si="18"/>
        <v>0</v>
      </c>
      <c r="Z224" t="b">
        <f t="shared" si="19"/>
        <v>0</v>
      </c>
    </row>
    <row r="225" spans="1:26" ht="15" customHeight="1">
      <c r="A225" t="s">
        <v>622</v>
      </c>
      <c r="B225" t="s">
        <v>623</v>
      </c>
      <c r="C225" s="14">
        <v>45793</v>
      </c>
      <c r="D225" s="14">
        <v>45793</v>
      </c>
      <c r="E225">
        <v>2025</v>
      </c>
      <c r="F225">
        <v>5</v>
      </c>
      <c r="G225" t="s">
        <v>179</v>
      </c>
      <c r="H225" t="s">
        <v>180</v>
      </c>
      <c r="I225" t="s">
        <v>124</v>
      </c>
      <c r="J225" s="15">
        <v>46294.01</v>
      </c>
      <c r="K225" s="15">
        <v>0</v>
      </c>
      <c r="L225" s="15">
        <f t="shared" si="15"/>
        <v>46294.01</v>
      </c>
      <c r="M225" t="s">
        <v>181</v>
      </c>
      <c r="N225" t="s">
        <v>624</v>
      </c>
      <c r="O225" t="s">
        <v>183</v>
      </c>
      <c r="P225" t="s">
        <v>175</v>
      </c>
      <c r="Q225" t="s">
        <v>140</v>
      </c>
      <c r="R225" s="16">
        <v>45793.635416666701</v>
      </c>
      <c r="S225" t="s">
        <v>130</v>
      </c>
      <c r="V225" t="b">
        <f t="shared" si="16"/>
        <v>0</v>
      </c>
      <c r="W225" t="b">
        <f>AND(OR(WEEKDAY(C225,2)=5,WEEKDAY(C225,2)=6),'01_Parameters'!$C$11="Enabled")</f>
        <v>1</v>
      </c>
      <c r="X225" t="b">
        <f t="shared" si="17"/>
        <v>0</v>
      </c>
      <c r="Y225" t="b">
        <f t="shared" si="18"/>
        <v>0</v>
      </c>
      <c r="Z225" t="b">
        <f t="shared" si="19"/>
        <v>0</v>
      </c>
    </row>
    <row r="226" spans="1:26" ht="15" customHeight="1">
      <c r="A226" t="s">
        <v>622</v>
      </c>
      <c r="B226" t="s">
        <v>625</v>
      </c>
      <c r="C226" s="14">
        <v>45793</v>
      </c>
      <c r="D226" s="14">
        <v>45793</v>
      </c>
      <c r="E226">
        <v>2025</v>
      </c>
      <c r="F226">
        <v>5</v>
      </c>
      <c r="G226" t="s">
        <v>185</v>
      </c>
      <c r="H226" t="s">
        <v>186</v>
      </c>
      <c r="I226" t="s">
        <v>134</v>
      </c>
      <c r="J226" s="15">
        <v>0</v>
      </c>
      <c r="K226" s="15">
        <v>46294.01</v>
      </c>
      <c r="L226" s="15">
        <f t="shared" si="15"/>
        <v>-46294.01</v>
      </c>
      <c r="M226" t="s">
        <v>181</v>
      </c>
      <c r="N226" t="s">
        <v>624</v>
      </c>
      <c r="O226" t="s">
        <v>183</v>
      </c>
      <c r="P226" t="s">
        <v>175</v>
      </c>
      <c r="Q226" t="s">
        <v>140</v>
      </c>
      <c r="R226" s="16">
        <v>45793.635416666701</v>
      </c>
      <c r="S226" t="s">
        <v>130</v>
      </c>
      <c r="V226" t="b">
        <f t="shared" si="16"/>
        <v>0</v>
      </c>
      <c r="W226" t="b">
        <f>AND(OR(WEEKDAY(C226,2)=5,WEEKDAY(C226,2)=6),'01_Parameters'!$C$11="Enabled")</f>
        <v>1</v>
      </c>
      <c r="X226" t="b">
        <f t="shared" si="17"/>
        <v>0</v>
      </c>
      <c r="Y226" t="b">
        <f t="shared" si="18"/>
        <v>0</v>
      </c>
      <c r="Z226" t="b">
        <f t="shared" si="19"/>
        <v>0</v>
      </c>
    </row>
    <row r="227" spans="1:26" ht="15" customHeight="1">
      <c r="A227" t="s">
        <v>626</v>
      </c>
      <c r="B227" t="s">
        <v>627</v>
      </c>
      <c r="C227" s="14">
        <v>45738</v>
      </c>
      <c r="D227" s="14">
        <v>45735</v>
      </c>
      <c r="E227">
        <v>2025</v>
      </c>
      <c r="F227">
        <v>3</v>
      </c>
      <c r="G227" t="s">
        <v>144</v>
      </c>
      <c r="H227" t="s">
        <v>145</v>
      </c>
      <c r="I227" t="s">
        <v>146</v>
      </c>
      <c r="J227" s="15">
        <v>13939.63</v>
      </c>
      <c r="K227" s="15">
        <v>0</v>
      </c>
      <c r="L227" s="15">
        <f t="shared" si="15"/>
        <v>13939.63</v>
      </c>
      <c r="M227" t="s">
        <v>147</v>
      </c>
      <c r="N227" t="s">
        <v>628</v>
      </c>
      <c r="O227" t="s">
        <v>149</v>
      </c>
      <c r="P227" t="s">
        <v>140</v>
      </c>
      <c r="Q227" t="s">
        <v>175</v>
      </c>
      <c r="R227" s="16">
        <v>45738.291666666701</v>
      </c>
      <c r="S227" t="s">
        <v>130</v>
      </c>
      <c r="V227" t="b">
        <f t="shared" si="16"/>
        <v>0</v>
      </c>
      <c r="W227" t="b">
        <f>AND(OR(WEEKDAY(C227,2)=5,WEEKDAY(C227,2)=6),'01_Parameters'!$C$11="Enabled")</f>
        <v>1</v>
      </c>
      <c r="X227" t="b">
        <f t="shared" si="17"/>
        <v>1</v>
      </c>
      <c r="Y227" t="b">
        <f t="shared" si="18"/>
        <v>0</v>
      </c>
      <c r="Z227" t="b">
        <f t="shared" si="19"/>
        <v>0</v>
      </c>
    </row>
    <row r="228" spans="1:26" ht="15" customHeight="1">
      <c r="A228" t="s">
        <v>626</v>
      </c>
      <c r="B228" t="s">
        <v>629</v>
      </c>
      <c r="C228" s="14">
        <v>45738</v>
      </c>
      <c r="D228" s="14">
        <v>45735</v>
      </c>
      <c r="E228">
        <v>2025</v>
      </c>
      <c r="F228">
        <v>3</v>
      </c>
      <c r="G228" t="s">
        <v>153</v>
      </c>
      <c r="H228" t="s">
        <v>154</v>
      </c>
      <c r="I228" t="s">
        <v>155</v>
      </c>
      <c r="J228" s="15">
        <v>0</v>
      </c>
      <c r="K228" s="15">
        <v>13939.63</v>
      </c>
      <c r="L228" s="15">
        <f t="shared" si="15"/>
        <v>-13939.63</v>
      </c>
      <c r="M228" t="s">
        <v>147</v>
      </c>
      <c r="N228" t="s">
        <v>628</v>
      </c>
      <c r="O228" t="s">
        <v>149</v>
      </c>
      <c r="P228" t="s">
        <v>140</v>
      </c>
      <c r="Q228" t="s">
        <v>175</v>
      </c>
      <c r="R228" s="16">
        <v>45738.291666666701</v>
      </c>
      <c r="S228" t="s">
        <v>130</v>
      </c>
      <c r="V228" t="b">
        <f t="shared" si="16"/>
        <v>0</v>
      </c>
      <c r="W228" t="b">
        <f>AND(OR(WEEKDAY(C228,2)=5,WEEKDAY(C228,2)=6),'01_Parameters'!$C$11="Enabled")</f>
        <v>1</v>
      </c>
      <c r="X228" t="b">
        <f t="shared" si="17"/>
        <v>1</v>
      </c>
      <c r="Y228" t="b">
        <f t="shared" si="18"/>
        <v>0</v>
      </c>
      <c r="Z228" t="b">
        <f t="shared" si="19"/>
        <v>0</v>
      </c>
    </row>
    <row r="229" spans="1:26" ht="15" customHeight="1">
      <c r="A229" t="s">
        <v>630</v>
      </c>
      <c r="B229" t="s">
        <v>631</v>
      </c>
      <c r="C229" s="14">
        <v>45785</v>
      </c>
      <c r="D229" s="14">
        <v>45785</v>
      </c>
      <c r="E229">
        <v>2025</v>
      </c>
      <c r="F229">
        <v>5</v>
      </c>
      <c r="G229" t="s">
        <v>179</v>
      </c>
      <c r="H229" t="s">
        <v>180</v>
      </c>
      <c r="I229" t="s">
        <v>124</v>
      </c>
      <c r="J229" s="15">
        <v>55611.37</v>
      </c>
      <c r="K229" s="15">
        <v>0</v>
      </c>
      <c r="L229" s="15">
        <f t="shared" si="15"/>
        <v>55611.37</v>
      </c>
      <c r="M229" t="s">
        <v>181</v>
      </c>
      <c r="N229" t="s">
        <v>632</v>
      </c>
      <c r="O229" t="s">
        <v>183</v>
      </c>
      <c r="P229" t="s">
        <v>129</v>
      </c>
      <c r="Q229" t="s">
        <v>175</v>
      </c>
      <c r="R229" s="16">
        <v>45785.260416666701</v>
      </c>
      <c r="S229" t="s">
        <v>130</v>
      </c>
      <c r="V229" t="b">
        <f t="shared" si="16"/>
        <v>0</v>
      </c>
      <c r="W229" t="b">
        <f>AND(OR(WEEKDAY(C229,2)=5,WEEKDAY(C229,2)=6),'01_Parameters'!$C$11="Enabled")</f>
        <v>0</v>
      </c>
      <c r="X229" t="b">
        <f t="shared" si="17"/>
        <v>1</v>
      </c>
      <c r="Y229" t="b">
        <f t="shared" si="18"/>
        <v>0</v>
      </c>
      <c r="Z229" t="b">
        <f t="shared" si="19"/>
        <v>0</v>
      </c>
    </row>
    <row r="230" spans="1:26" ht="15" customHeight="1">
      <c r="A230" t="s">
        <v>630</v>
      </c>
      <c r="B230" t="s">
        <v>633</v>
      </c>
      <c r="C230" s="14">
        <v>45785</v>
      </c>
      <c r="D230" s="14">
        <v>45785</v>
      </c>
      <c r="E230">
        <v>2025</v>
      </c>
      <c r="F230">
        <v>5</v>
      </c>
      <c r="G230" t="s">
        <v>185</v>
      </c>
      <c r="H230" t="s">
        <v>186</v>
      </c>
      <c r="I230" t="s">
        <v>134</v>
      </c>
      <c r="J230" s="15">
        <v>0</v>
      </c>
      <c r="K230" s="15">
        <v>55611.37</v>
      </c>
      <c r="L230" s="15">
        <f t="shared" si="15"/>
        <v>-55611.37</v>
      </c>
      <c r="M230" t="s">
        <v>181</v>
      </c>
      <c r="N230" t="s">
        <v>632</v>
      </c>
      <c r="O230" t="s">
        <v>183</v>
      </c>
      <c r="P230" t="s">
        <v>129</v>
      </c>
      <c r="Q230" t="s">
        <v>175</v>
      </c>
      <c r="R230" s="16">
        <v>45785.260416666701</v>
      </c>
      <c r="S230" t="s">
        <v>130</v>
      </c>
      <c r="V230" t="b">
        <f t="shared" si="16"/>
        <v>0</v>
      </c>
      <c r="W230" t="b">
        <f>AND(OR(WEEKDAY(C230,2)=5,WEEKDAY(C230,2)=6),'01_Parameters'!$C$11="Enabled")</f>
        <v>0</v>
      </c>
      <c r="X230" t="b">
        <f t="shared" si="17"/>
        <v>1</v>
      </c>
      <c r="Y230" t="b">
        <f t="shared" si="18"/>
        <v>0</v>
      </c>
      <c r="Z230" t="b">
        <f t="shared" si="19"/>
        <v>0</v>
      </c>
    </row>
    <row r="231" spans="1:26" ht="15" customHeight="1">
      <c r="A231" t="s">
        <v>634</v>
      </c>
      <c r="B231" t="s">
        <v>635</v>
      </c>
      <c r="C231" s="14">
        <v>45904</v>
      </c>
      <c r="D231" s="14">
        <v>45900</v>
      </c>
      <c r="E231">
        <v>2025</v>
      </c>
      <c r="F231">
        <v>9</v>
      </c>
      <c r="G231" t="s">
        <v>144</v>
      </c>
      <c r="H231" t="s">
        <v>145</v>
      </c>
      <c r="I231" t="s">
        <v>146</v>
      </c>
      <c r="J231" s="15">
        <v>9284.4500000000007</v>
      </c>
      <c r="K231" s="15">
        <v>0</v>
      </c>
      <c r="L231" s="15">
        <f t="shared" si="15"/>
        <v>9284.4500000000007</v>
      </c>
      <c r="M231" t="s">
        <v>147</v>
      </c>
      <c r="N231" t="s">
        <v>636</v>
      </c>
      <c r="O231" t="s">
        <v>149</v>
      </c>
      <c r="P231" t="s">
        <v>175</v>
      </c>
      <c r="Q231" t="s">
        <v>151</v>
      </c>
      <c r="R231" s="16">
        <v>45904.416666666701</v>
      </c>
      <c r="S231" t="s">
        <v>130</v>
      </c>
      <c r="V231" t="b">
        <f t="shared" si="16"/>
        <v>0</v>
      </c>
      <c r="W231" t="b">
        <f>AND(OR(WEEKDAY(C231,2)=5,WEEKDAY(C231,2)=6),'01_Parameters'!$C$11="Enabled")</f>
        <v>0</v>
      </c>
      <c r="X231" t="b">
        <f t="shared" si="17"/>
        <v>0</v>
      </c>
      <c r="Y231" t="b">
        <f t="shared" si="18"/>
        <v>0</v>
      </c>
      <c r="Z231" t="b">
        <f t="shared" si="19"/>
        <v>0</v>
      </c>
    </row>
    <row r="232" spans="1:26" ht="15" customHeight="1">
      <c r="A232" t="s">
        <v>634</v>
      </c>
      <c r="B232" t="s">
        <v>637</v>
      </c>
      <c r="C232" s="14">
        <v>45904</v>
      </c>
      <c r="D232" s="14">
        <v>45900</v>
      </c>
      <c r="E232">
        <v>2025</v>
      </c>
      <c r="F232">
        <v>9</v>
      </c>
      <c r="G232" t="s">
        <v>153</v>
      </c>
      <c r="H232" t="s">
        <v>154</v>
      </c>
      <c r="I232" t="s">
        <v>155</v>
      </c>
      <c r="J232" s="15">
        <v>0</v>
      </c>
      <c r="K232" s="15">
        <v>9284.4500000000007</v>
      </c>
      <c r="L232" s="15">
        <f t="shared" si="15"/>
        <v>-9284.4500000000007</v>
      </c>
      <c r="M232" t="s">
        <v>147</v>
      </c>
      <c r="N232" t="s">
        <v>636</v>
      </c>
      <c r="O232" t="s">
        <v>149</v>
      </c>
      <c r="P232" t="s">
        <v>175</v>
      </c>
      <c r="Q232" t="s">
        <v>151</v>
      </c>
      <c r="R232" s="16">
        <v>45904.416666666701</v>
      </c>
      <c r="S232" t="s">
        <v>130</v>
      </c>
      <c r="V232" t="b">
        <f t="shared" si="16"/>
        <v>0</v>
      </c>
      <c r="W232" t="b">
        <f>AND(OR(WEEKDAY(C232,2)=5,WEEKDAY(C232,2)=6),'01_Parameters'!$C$11="Enabled")</f>
        <v>0</v>
      </c>
      <c r="X232" t="b">
        <f t="shared" si="17"/>
        <v>0</v>
      </c>
      <c r="Y232" t="b">
        <f t="shared" si="18"/>
        <v>0</v>
      </c>
      <c r="Z232" t="b">
        <f t="shared" si="19"/>
        <v>0</v>
      </c>
    </row>
    <row r="233" spans="1:26" ht="15" customHeight="1">
      <c r="A233" t="s">
        <v>638</v>
      </c>
      <c r="B233" t="s">
        <v>639</v>
      </c>
      <c r="C233" s="14">
        <v>45748</v>
      </c>
      <c r="D233" s="14">
        <v>45745</v>
      </c>
      <c r="E233">
        <v>2025</v>
      </c>
      <c r="F233">
        <v>4</v>
      </c>
      <c r="G233" t="s">
        <v>193</v>
      </c>
      <c r="H233" t="s">
        <v>194</v>
      </c>
      <c r="I233" t="s">
        <v>124</v>
      </c>
      <c r="J233" s="15">
        <v>42153.919999999998</v>
      </c>
      <c r="K233" s="15">
        <v>0</v>
      </c>
      <c r="L233" s="15">
        <f t="shared" si="15"/>
        <v>42153.919999999998</v>
      </c>
      <c r="M233" t="s">
        <v>195</v>
      </c>
      <c r="N233" t="s">
        <v>640</v>
      </c>
      <c r="O233" t="s">
        <v>197</v>
      </c>
      <c r="P233" t="s">
        <v>150</v>
      </c>
      <c r="Q233" t="s">
        <v>128</v>
      </c>
      <c r="R233" s="16">
        <v>45748.927083333299</v>
      </c>
      <c r="S233" t="s">
        <v>130</v>
      </c>
      <c r="V233" t="b">
        <f t="shared" si="16"/>
        <v>0</v>
      </c>
      <c r="W233" t="b">
        <f>AND(OR(WEEKDAY(C233,2)=5,WEEKDAY(C233,2)=6),'01_Parameters'!$C$11="Enabled")</f>
        <v>0</v>
      </c>
      <c r="X233" t="b">
        <f t="shared" si="17"/>
        <v>1</v>
      </c>
      <c r="Y233" t="b">
        <f t="shared" si="18"/>
        <v>0</v>
      </c>
      <c r="Z233" t="b">
        <f t="shared" si="19"/>
        <v>0</v>
      </c>
    </row>
    <row r="234" spans="1:26" ht="15" customHeight="1">
      <c r="A234" t="s">
        <v>638</v>
      </c>
      <c r="B234" t="s">
        <v>641</v>
      </c>
      <c r="C234" s="14">
        <v>45748</v>
      </c>
      <c r="D234" s="14">
        <v>45745</v>
      </c>
      <c r="E234">
        <v>2025</v>
      </c>
      <c r="F234">
        <v>4</v>
      </c>
      <c r="G234" t="s">
        <v>199</v>
      </c>
      <c r="H234" t="s">
        <v>200</v>
      </c>
      <c r="I234" t="s">
        <v>146</v>
      </c>
      <c r="J234" s="15">
        <v>0</v>
      </c>
      <c r="K234" s="15">
        <v>42153.919999999998</v>
      </c>
      <c r="L234" s="15">
        <f t="shared" si="15"/>
        <v>-42153.919999999998</v>
      </c>
      <c r="M234" t="s">
        <v>195</v>
      </c>
      <c r="N234" t="s">
        <v>640</v>
      </c>
      <c r="O234" t="s">
        <v>197</v>
      </c>
      <c r="P234" t="s">
        <v>150</v>
      </c>
      <c r="Q234" t="s">
        <v>128</v>
      </c>
      <c r="R234" s="16">
        <v>45748.927083333299</v>
      </c>
      <c r="S234" t="s">
        <v>130</v>
      </c>
      <c r="V234" t="b">
        <f t="shared" si="16"/>
        <v>0</v>
      </c>
      <c r="W234" t="b">
        <f>AND(OR(WEEKDAY(C234,2)=5,WEEKDAY(C234,2)=6),'01_Parameters'!$C$11="Enabled")</f>
        <v>0</v>
      </c>
      <c r="X234" t="b">
        <f t="shared" si="17"/>
        <v>1</v>
      </c>
      <c r="Y234" t="b">
        <f t="shared" si="18"/>
        <v>0</v>
      </c>
      <c r="Z234" t="b">
        <f t="shared" si="19"/>
        <v>0</v>
      </c>
    </row>
    <row r="235" spans="1:26" ht="15" customHeight="1">
      <c r="A235" t="s">
        <v>642</v>
      </c>
      <c r="B235" t="s">
        <v>643</v>
      </c>
      <c r="C235" s="14">
        <v>45902</v>
      </c>
      <c r="D235" s="14">
        <v>45900</v>
      </c>
      <c r="E235">
        <v>2025</v>
      </c>
      <c r="F235">
        <v>9</v>
      </c>
      <c r="G235" t="s">
        <v>144</v>
      </c>
      <c r="H235" t="s">
        <v>145</v>
      </c>
      <c r="I235" t="s">
        <v>146</v>
      </c>
      <c r="J235" s="15">
        <v>2869.99</v>
      </c>
      <c r="K235" s="15">
        <v>0</v>
      </c>
      <c r="L235" s="15">
        <f t="shared" si="15"/>
        <v>2869.99</v>
      </c>
      <c r="M235" t="s">
        <v>147</v>
      </c>
      <c r="N235" t="s">
        <v>644</v>
      </c>
      <c r="O235" t="s">
        <v>149</v>
      </c>
      <c r="P235" t="s">
        <v>128</v>
      </c>
      <c r="Q235" t="s">
        <v>175</v>
      </c>
      <c r="R235" s="16">
        <v>45902.34375</v>
      </c>
      <c r="S235" t="s">
        <v>130</v>
      </c>
      <c r="V235" t="b">
        <f t="shared" si="16"/>
        <v>0</v>
      </c>
      <c r="W235" t="b">
        <f>AND(OR(WEEKDAY(C235,2)=5,WEEKDAY(C235,2)=6),'01_Parameters'!$C$11="Enabled")</f>
        <v>0</v>
      </c>
      <c r="X235" t="b">
        <f t="shared" si="17"/>
        <v>0</v>
      </c>
      <c r="Y235" t="b">
        <f t="shared" si="18"/>
        <v>0</v>
      </c>
      <c r="Z235" t="b">
        <f t="shared" si="19"/>
        <v>0</v>
      </c>
    </row>
    <row r="236" spans="1:26" ht="15" customHeight="1">
      <c r="A236" t="s">
        <v>642</v>
      </c>
      <c r="B236" t="s">
        <v>645</v>
      </c>
      <c r="C236" s="14">
        <v>45902</v>
      </c>
      <c r="D236" s="14">
        <v>45900</v>
      </c>
      <c r="E236">
        <v>2025</v>
      </c>
      <c r="F236">
        <v>9</v>
      </c>
      <c r="G236" t="s">
        <v>153</v>
      </c>
      <c r="H236" t="s">
        <v>154</v>
      </c>
      <c r="I236" t="s">
        <v>155</v>
      </c>
      <c r="J236" s="15">
        <v>0</v>
      </c>
      <c r="K236" s="15">
        <v>2869.99</v>
      </c>
      <c r="L236" s="15">
        <f t="shared" si="15"/>
        <v>-2869.99</v>
      </c>
      <c r="M236" t="s">
        <v>147</v>
      </c>
      <c r="N236" t="s">
        <v>644</v>
      </c>
      <c r="O236" t="s">
        <v>149</v>
      </c>
      <c r="P236" t="s">
        <v>128</v>
      </c>
      <c r="Q236" t="s">
        <v>175</v>
      </c>
      <c r="R236" s="16">
        <v>45902.34375</v>
      </c>
      <c r="S236" t="s">
        <v>130</v>
      </c>
      <c r="V236" t="b">
        <f t="shared" si="16"/>
        <v>0</v>
      </c>
      <c r="W236" t="b">
        <f>AND(OR(WEEKDAY(C236,2)=5,WEEKDAY(C236,2)=6),'01_Parameters'!$C$11="Enabled")</f>
        <v>0</v>
      </c>
      <c r="X236" t="b">
        <f t="shared" si="17"/>
        <v>0</v>
      </c>
      <c r="Y236" t="b">
        <f t="shared" si="18"/>
        <v>0</v>
      </c>
      <c r="Z236" t="b">
        <f t="shared" si="19"/>
        <v>0</v>
      </c>
    </row>
    <row r="237" spans="1:26" ht="15" customHeight="1">
      <c r="A237" t="s">
        <v>646</v>
      </c>
      <c r="B237" t="s">
        <v>647</v>
      </c>
      <c r="C237" s="14">
        <v>45750</v>
      </c>
      <c r="D237" s="14">
        <v>45746</v>
      </c>
      <c r="E237">
        <v>2025</v>
      </c>
      <c r="F237">
        <v>4</v>
      </c>
      <c r="G237" t="s">
        <v>158</v>
      </c>
      <c r="H237" t="s">
        <v>159</v>
      </c>
      <c r="I237" t="s">
        <v>124</v>
      </c>
      <c r="J237" s="15">
        <v>19449.79</v>
      </c>
      <c r="K237" s="15">
        <v>0</v>
      </c>
      <c r="L237" s="15">
        <f t="shared" si="15"/>
        <v>19449.79</v>
      </c>
      <c r="M237" t="s">
        <v>160</v>
      </c>
      <c r="N237" t="s">
        <v>648</v>
      </c>
      <c r="O237" t="s">
        <v>162</v>
      </c>
      <c r="P237" t="s">
        <v>150</v>
      </c>
      <c r="Q237" t="s">
        <v>129</v>
      </c>
      <c r="R237" s="16">
        <v>45750.375</v>
      </c>
      <c r="S237" t="s">
        <v>130</v>
      </c>
      <c r="V237" t="b">
        <f t="shared" si="16"/>
        <v>0</v>
      </c>
      <c r="W237" t="b">
        <f>AND(OR(WEEKDAY(C237,2)=5,WEEKDAY(C237,2)=6),'01_Parameters'!$C$11="Enabled")</f>
        <v>0</v>
      </c>
      <c r="X237" t="b">
        <f t="shared" si="17"/>
        <v>0</v>
      </c>
      <c r="Y237" t="b">
        <f t="shared" si="18"/>
        <v>0</v>
      </c>
      <c r="Z237" t="b">
        <f t="shared" si="19"/>
        <v>0</v>
      </c>
    </row>
    <row r="238" spans="1:26" ht="15" customHeight="1">
      <c r="A238" t="s">
        <v>646</v>
      </c>
      <c r="B238" t="s">
        <v>649</v>
      </c>
      <c r="C238" s="14">
        <v>45750</v>
      </c>
      <c r="D238" s="14">
        <v>45746</v>
      </c>
      <c r="E238">
        <v>2025</v>
      </c>
      <c r="F238">
        <v>4</v>
      </c>
      <c r="G238" t="s">
        <v>164</v>
      </c>
      <c r="H238" t="s">
        <v>165</v>
      </c>
      <c r="I238" t="s">
        <v>146</v>
      </c>
      <c r="J238" s="15">
        <v>0</v>
      </c>
      <c r="K238" s="15">
        <v>19449.79</v>
      </c>
      <c r="L238" s="15">
        <f t="shared" si="15"/>
        <v>-19449.79</v>
      </c>
      <c r="M238" t="s">
        <v>160</v>
      </c>
      <c r="N238" t="s">
        <v>648</v>
      </c>
      <c r="O238" t="s">
        <v>162</v>
      </c>
      <c r="P238" t="s">
        <v>150</v>
      </c>
      <c r="Q238" t="s">
        <v>129</v>
      </c>
      <c r="R238" s="16">
        <v>45750.375</v>
      </c>
      <c r="S238" t="s">
        <v>130</v>
      </c>
      <c r="V238" t="b">
        <f t="shared" si="16"/>
        <v>0</v>
      </c>
      <c r="W238" t="b">
        <f>AND(OR(WEEKDAY(C238,2)=5,WEEKDAY(C238,2)=6),'01_Parameters'!$C$11="Enabled")</f>
        <v>0</v>
      </c>
      <c r="X238" t="b">
        <f t="shared" si="17"/>
        <v>0</v>
      </c>
      <c r="Y238" t="b">
        <f t="shared" si="18"/>
        <v>0</v>
      </c>
      <c r="Z238" t="b">
        <f t="shared" si="19"/>
        <v>0</v>
      </c>
    </row>
    <row r="239" spans="1:26" ht="15" customHeight="1">
      <c r="A239" t="s">
        <v>650</v>
      </c>
      <c r="B239" t="s">
        <v>651</v>
      </c>
      <c r="C239" s="14">
        <v>45714</v>
      </c>
      <c r="D239" s="14">
        <v>45711</v>
      </c>
      <c r="E239">
        <v>2025</v>
      </c>
      <c r="F239">
        <v>2</v>
      </c>
      <c r="G239" t="s">
        <v>193</v>
      </c>
      <c r="H239" t="s">
        <v>194</v>
      </c>
      <c r="I239" t="s">
        <v>124</v>
      </c>
      <c r="J239" s="15">
        <v>50546.87</v>
      </c>
      <c r="K239" s="15">
        <v>0</v>
      </c>
      <c r="L239" s="15">
        <f t="shared" si="15"/>
        <v>50546.87</v>
      </c>
      <c r="M239" t="s">
        <v>195</v>
      </c>
      <c r="N239" t="s">
        <v>652</v>
      </c>
      <c r="O239" t="s">
        <v>197</v>
      </c>
      <c r="P239" t="s">
        <v>129</v>
      </c>
      <c r="Q239" t="s">
        <v>151</v>
      </c>
      <c r="R239" s="16">
        <v>45714.802083333299</v>
      </c>
      <c r="S239" t="s">
        <v>130</v>
      </c>
      <c r="V239" t="b">
        <f t="shared" si="16"/>
        <v>0</v>
      </c>
      <c r="W239" t="b">
        <f>AND(OR(WEEKDAY(C239,2)=5,WEEKDAY(C239,2)=6),'01_Parameters'!$C$11="Enabled")</f>
        <v>0</v>
      </c>
      <c r="X239" t="b">
        <f t="shared" si="17"/>
        <v>1</v>
      </c>
      <c r="Y239" t="b">
        <f t="shared" si="18"/>
        <v>0</v>
      </c>
      <c r="Z239" t="b">
        <f t="shared" si="19"/>
        <v>0</v>
      </c>
    </row>
    <row r="240" spans="1:26" ht="15" customHeight="1">
      <c r="A240" t="s">
        <v>650</v>
      </c>
      <c r="B240" t="s">
        <v>653</v>
      </c>
      <c r="C240" s="14">
        <v>45714</v>
      </c>
      <c r="D240" s="14">
        <v>45711</v>
      </c>
      <c r="E240">
        <v>2025</v>
      </c>
      <c r="F240">
        <v>2</v>
      </c>
      <c r="G240" t="s">
        <v>199</v>
      </c>
      <c r="H240" t="s">
        <v>200</v>
      </c>
      <c r="I240" t="s">
        <v>146</v>
      </c>
      <c r="J240" s="15">
        <v>0</v>
      </c>
      <c r="K240" s="15">
        <v>50546.87</v>
      </c>
      <c r="L240" s="15">
        <f t="shared" si="15"/>
        <v>-50546.87</v>
      </c>
      <c r="M240" t="s">
        <v>195</v>
      </c>
      <c r="N240" t="s">
        <v>652</v>
      </c>
      <c r="O240" t="s">
        <v>197</v>
      </c>
      <c r="P240" t="s">
        <v>129</v>
      </c>
      <c r="Q240" t="s">
        <v>151</v>
      </c>
      <c r="R240" s="16">
        <v>45714.802083333299</v>
      </c>
      <c r="S240" t="s">
        <v>130</v>
      </c>
      <c r="V240" t="b">
        <f t="shared" si="16"/>
        <v>0</v>
      </c>
      <c r="W240" t="b">
        <f>AND(OR(WEEKDAY(C240,2)=5,WEEKDAY(C240,2)=6),'01_Parameters'!$C$11="Enabled")</f>
        <v>0</v>
      </c>
      <c r="X240" t="b">
        <f t="shared" si="17"/>
        <v>1</v>
      </c>
      <c r="Y240" t="b">
        <f t="shared" si="18"/>
        <v>0</v>
      </c>
      <c r="Z240" t="b">
        <f t="shared" si="19"/>
        <v>0</v>
      </c>
    </row>
    <row r="241" spans="1:26" ht="15" customHeight="1">
      <c r="A241" t="s">
        <v>654</v>
      </c>
      <c r="B241" t="s">
        <v>655</v>
      </c>
      <c r="C241" s="14">
        <v>45749</v>
      </c>
      <c r="D241" s="14">
        <v>45748</v>
      </c>
      <c r="E241">
        <v>2025</v>
      </c>
      <c r="F241">
        <v>4</v>
      </c>
      <c r="G241" t="s">
        <v>179</v>
      </c>
      <c r="H241" t="s">
        <v>180</v>
      </c>
      <c r="I241" t="s">
        <v>124</v>
      </c>
      <c r="J241" s="15">
        <v>8613.2000000000007</v>
      </c>
      <c r="K241" s="15">
        <v>0</v>
      </c>
      <c r="L241" s="15">
        <f t="shared" si="15"/>
        <v>8613.2000000000007</v>
      </c>
      <c r="M241" t="s">
        <v>181</v>
      </c>
      <c r="N241" t="s">
        <v>656</v>
      </c>
      <c r="O241" t="s">
        <v>183</v>
      </c>
      <c r="P241" t="s">
        <v>129</v>
      </c>
      <c r="Q241" t="s">
        <v>140</v>
      </c>
      <c r="R241" s="16">
        <v>45749.25</v>
      </c>
      <c r="S241" t="s">
        <v>130</v>
      </c>
      <c r="V241" t="b">
        <f t="shared" si="16"/>
        <v>0</v>
      </c>
      <c r="W241" t="b">
        <f>AND(OR(WEEKDAY(C241,2)=5,WEEKDAY(C241,2)=6),'01_Parameters'!$C$11="Enabled")</f>
        <v>0</v>
      </c>
      <c r="X241" t="b">
        <f t="shared" si="17"/>
        <v>1</v>
      </c>
      <c r="Y241" t="b">
        <f t="shared" si="18"/>
        <v>0</v>
      </c>
      <c r="Z241" t="b">
        <f t="shared" si="19"/>
        <v>0</v>
      </c>
    </row>
    <row r="242" spans="1:26" ht="15" customHeight="1">
      <c r="A242" t="s">
        <v>654</v>
      </c>
      <c r="B242" t="s">
        <v>657</v>
      </c>
      <c r="C242" s="14">
        <v>45749</v>
      </c>
      <c r="D242" s="14">
        <v>45748</v>
      </c>
      <c r="E242">
        <v>2025</v>
      </c>
      <c r="F242">
        <v>4</v>
      </c>
      <c r="G242" t="s">
        <v>185</v>
      </c>
      <c r="H242" t="s">
        <v>186</v>
      </c>
      <c r="I242" t="s">
        <v>134</v>
      </c>
      <c r="J242" s="15">
        <v>0</v>
      </c>
      <c r="K242" s="15">
        <v>8613.2000000000007</v>
      </c>
      <c r="L242" s="15">
        <f t="shared" si="15"/>
        <v>-8613.2000000000007</v>
      </c>
      <c r="M242" t="s">
        <v>181</v>
      </c>
      <c r="N242" t="s">
        <v>656</v>
      </c>
      <c r="O242" t="s">
        <v>183</v>
      </c>
      <c r="P242" t="s">
        <v>129</v>
      </c>
      <c r="Q242" t="s">
        <v>140</v>
      </c>
      <c r="R242" s="16">
        <v>45749.25</v>
      </c>
      <c r="S242" t="s">
        <v>130</v>
      </c>
      <c r="V242" t="b">
        <f t="shared" si="16"/>
        <v>0</v>
      </c>
      <c r="W242" t="b">
        <f>AND(OR(WEEKDAY(C242,2)=5,WEEKDAY(C242,2)=6),'01_Parameters'!$C$11="Enabled")</f>
        <v>0</v>
      </c>
      <c r="X242" t="b">
        <f t="shared" si="17"/>
        <v>1</v>
      </c>
      <c r="Y242" t="b">
        <f t="shared" si="18"/>
        <v>0</v>
      </c>
      <c r="Z242" t="b">
        <f t="shared" si="19"/>
        <v>0</v>
      </c>
    </row>
    <row r="243" spans="1:26" ht="15" customHeight="1">
      <c r="A243" t="s">
        <v>658</v>
      </c>
      <c r="B243" t="s">
        <v>659</v>
      </c>
      <c r="C243" s="14">
        <v>45770</v>
      </c>
      <c r="D243" s="14">
        <v>45766</v>
      </c>
      <c r="E243">
        <v>2025</v>
      </c>
      <c r="F243">
        <v>4</v>
      </c>
      <c r="G243" t="s">
        <v>158</v>
      </c>
      <c r="H243" t="s">
        <v>159</v>
      </c>
      <c r="I243" t="s">
        <v>124</v>
      </c>
      <c r="J243" s="15">
        <v>48419.7</v>
      </c>
      <c r="K243" s="15">
        <v>0</v>
      </c>
      <c r="L243" s="15">
        <f t="shared" si="15"/>
        <v>48419.7</v>
      </c>
      <c r="M243" t="s">
        <v>160</v>
      </c>
      <c r="N243" t="s">
        <v>660</v>
      </c>
      <c r="O243" t="s">
        <v>162</v>
      </c>
      <c r="P243" t="s">
        <v>128</v>
      </c>
      <c r="Q243" t="s">
        <v>175</v>
      </c>
      <c r="R243" s="16">
        <v>45770.333333333299</v>
      </c>
      <c r="S243" t="s">
        <v>130</v>
      </c>
      <c r="V243" t="b">
        <f t="shared" si="16"/>
        <v>0</v>
      </c>
      <c r="W243" t="b">
        <f>AND(OR(WEEKDAY(C243,2)=5,WEEKDAY(C243,2)=6),'01_Parameters'!$C$11="Enabled")</f>
        <v>0</v>
      </c>
      <c r="X243" t="b">
        <f t="shared" si="17"/>
        <v>0</v>
      </c>
      <c r="Y243" t="b">
        <f t="shared" si="18"/>
        <v>0</v>
      </c>
      <c r="Z243" t="b">
        <f t="shared" si="19"/>
        <v>0</v>
      </c>
    </row>
    <row r="244" spans="1:26" ht="15" customHeight="1">
      <c r="A244" t="s">
        <v>658</v>
      </c>
      <c r="B244" t="s">
        <v>661</v>
      </c>
      <c r="C244" s="14">
        <v>45770</v>
      </c>
      <c r="D244" s="14">
        <v>45766</v>
      </c>
      <c r="E244">
        <v>2025</v>
      </c>
      <c r="F244">
        <v>4</v>
      </c>
      <c r="G244" t="s">
        <v>164</v>
      </c>
      <c r="H244" t="s">
        <v>165</v>
      </c>
      <c r="I244" t="s">
        <v>146</v>
      </c>
      <c r="J244" s="15">
        <v>0</v>
      </c>
      <c r="K244" s="15">
        <v>48419.7</v>
      </c>
      <c r="L244" s="15">
        <f t="shared" si="15"/>
        <v>-48419.7</v>
      </c>
      <c r="M244" t="s">
        <v>160</v>
      </c>
      <c r="N244" t="s">
        <v>660</v>
      </c>
      <c r="O244" t="s">
        <v>162</v>
      </c>
      <c r="P244" t="s">
        <v>128</v>
      </c>
      <c r="Q244" t="s">
        <v>175</v>
      </c>
      <c r="R244" s="16">
        <v>45770.333333333299</v>
      </c>
      <c r="S244" t="s">
        <v>130</v>
      </c>
      <c r="V244" t="b">
        <f t="shared" si="16"/>
        <v>0</v>
      </c>
      <c r="W244" t="b">
        <f>AND(OR(WEEKDAY(C244,2)=5,WEEKDAY(C244,2)=6),'01_Parameters'!$C$11="Enabled")</f>
        <v>0</v>
      </c>
      <c r="X244" t="b">
        <f t="shared" si="17"/>
        <v>0</v>
      </c>
      <c r="Y244" t="b">
        <f t="shared" si="18"/>
        <v>0</v>
      </c>
      <c r="Z244" t="b">
        <f t="shared" si="19"/>
        <v>0</v>
      </c>
    </row>
    <row r="245" spans="1:26" ht="15" customHeight="1">
      <c r="A245" t="s">
        <v>662</v>
      </c>
      <c r="B245" t="s">
        <v>663</v>
      </c>
      <c r="C245" s="14">
        <v>45942</v>
      </c>
      <c r="D245" s="14">
        <v>45942</v>
      </c>
      <c r="E245">
        <v>2025</v>
      </c>
      <c r="F245">
        <v>10</v>
      </c>
      <c r="G245" t="s">
        <v>193</v>
      </c>
      <c r="H245" t="s">
        <v>194</v>
      </c>
      <c r="I245" t="s">
        <v>124</v>
      </c>
      <c r="J245" s="15">
        <v>45463.34</v>
      </c>
      <c r="K245" s="15">
        <v>0</v>
      </c>
      <c r="L245" s="15">
        <f t="shared" si="15"/>
        <v>45463.34</v>
      </c>
      <c r="M245" t="s">
        <v>195</v>
      </c>
      <c r="N245" t="s">
        <v>664</v>
      </c>
      <c r="O245" t="s">
        <v>197</v>
      </c>
      <c r="P245" t="s">
        <v>140</v>
      </c>
      <c r="Q245" t="s">
        <v>151</v>
      </c>
      <c r="R245" s="16">
        <v>45942.447916666701</v>
      </c>
      <c r="S245" t="s">
        <v>130</v>
      </c>
      <c r="V245" t="b">
        <f t="shared" si="16"/>
        <v>0</v>
      </c>
      <c r="W245" t="b">
        <f>AND(OR(WEEKDAY(C245,2)=5,WEEKDAY(C245,2)=6),'01_Parameters'!$C$11="Enabled")</f>
        <v>0</v>
      </c>
      <c r="X245" t="b">
        <f t="shared" si="17"/>
        <v>0</v>
      </c>
      <c r="Y245" t="b">
        <f t="shared" si="18"/>
        <v>0</v>
      </c>
      <c r="Z245" t="b">
        <f t="shared" si="19"/>
        <v>0</v>
      </c>
    </row>
    <row r="246" spans="1:26" ht="15" customHeight="1">
      <c r="A246" t="s">
        <v>662</v>
      </c>
      <c r="B246" t="s">
        <v>665</v>
      </c>
      <c r="C246" s="14">
        <v>45942</v>
      </c>
      <c r="D246" s="14">
        <v>45942</v>
      </c>
      <c r="E246">
        <v>2025</v>
      </c>
      <c r="F246">
        <v>10</v>
      </c>
      <c r="G246" t="s">
        <v>199</v>
      </c>
      <c r="H246" t="s">
        <v>200</v>
      </c>
      <c r="I246" t="s">
        <v>146</v>
      </c>
      <c r="J246" s="15">
        <v>0</v>
      </c>
      <c r="K246" s="15">
        <v>45463.34</v>
      </c>
      <c r="L246" s="15">
        <f t="shared" si="15"/>
        <v>-45463.34</v>
      </c>
      <c r="M246" t="s">
        <v>195</v>
      </c>
      <c r="N246" t="s">
        <v>664</v>
      </c>
      <c r="O246" t="s">
        <v>197</v>
      </c>
      <c r="P246" t="s">
        <v>140</v>
      </c>
      <c r="Q246" t="s">
        <v>151</v>
      </c>
      <c r="R246" s="16">
        <v>45942.447916666701</v>
      </c>
      <c r="S246" t="s">
        <v>130</v>
      </c>
      <c r="V246" t="b">
        <f t="shared" si="16"/>
        <v>0</v>
      </c>
      <c r="W246" t="b">
        <f>AND(OR(WEEKDAY(C246,2)=5,WEEKDAY(C246,2)=6),'01_Parameters'!$C$11="Enabled")</f>
        <v>0</v>
      </c>
      <c r="X246" t="b">
        <f t="shared" si="17"/>
        <v>0</v>
      </c>
      <c r="Y246" t="b">
        <f t="shared" si="18"/>
        <v>0</v>
      </c>
      <c r="Z246" t="b">
        <f t="shared" si="19"/>
        <v>0</v>
      </c>
    </row>
    <row r="247" spans="1:26" ht="15" customHeight="1">
      <c r="A247" t="s">
        <v>666</v>
      </c>
      <c r="B247" t="s">
        <v>667</v>
      </c>
      <c r="C247" s="14">
        <v>45928</v>
      </c>
      <c r="D247" s="14">
        <v>45924</v>
      </c>
      <c r="E247">
        <v>2025</v>
      </c>
      <c r="F247">
        <v>9</v>
      </c>
      <c r="G247" t="s">
        <v>193</v>
      </c>
      <c r="H247" t="s">
        <v>194</v>
      </c>
      <c r="I247" t="s">
        <v>124</v>
      </c>
      <c r="J247" s="15">
        <v>24017.68</v>
      </c>
      <c r="K247" s="15">
        <v>0</v>
      </c>
      <c r="L247" s="15">
        <f t="shared" si="15"/>
        <v>24017.68</v>
      </c>
      <c r="M247" t="s">
        <v>195</v>
      </c>
      <c r="N247" t="s">
        <v>668</v>
      </c>
      <c r="O247" t="s">
        <v>197</v>
      </c>
      <c r="P247" t="s">
        <v>129</v>
      </c>
      <c r="Q247" t="s">
        <v>151</v>
      </c>
      <c r="R247" s="16">
        <v>45928.291666666701</v>
      </c>
      <c r="S247" t="s">
        <v>130</v>
      </c>
      <c r="V247" t="b">
        <f t="shared" si="16"/>
        <v>0</v>
      </c>
      <c r="W247" t="b">
        <f>AND(OR(WEEKDAY(C247,2)=5,WEEKDAY(C247,2)=6),'01_Parameters'!$C$11="Enabled")</f>
        <v>0</v>
      </c>
      <c r="X247" t="b">
        <f t="shared" si="17"/>
        <v>1</v>
      </c>
      <c r="Y247" t="b">
        <f t="shared" si="18"/>
        <v>0</v>
      </c>
      <c r="Z247" t="b">
        <f t="shared" si="19"/>
        <v>0</v>
      </c>
    </row>
    <row r="248" spans="1:26" ht="15" customHeight="1">
      <c r="A248" t="s">
        <v>666</v>
      </c>
      <c r="B248" t="s">
        <v>669</v>
      </c>
      <c r="C248" s="14">
        <v>45928</v>
      </c>
      <c r="D248" s="14">
        <v>45924</v>
      </c>
      <c r="E248">
        <v>2025</v>
      </c>
      <c r="F248">
        <v>9</v>
      </c>
      <c r="G248" t="s">
        <v>199</v>
      </c>
      <c r="H248" t="s">
        <v>200</v>
      </c>
      <c r="I248" t="s">
        <v>146</v>
      </c>
      <c r="J248" s="15">
        <v>0</v>
      </c>
      <c r="K248" s="15">
        <v>24017.68</v>
      </c>
      <c r="L248" s="15">
        <f t="shared" si="15"/>
        <v>-24017.68</v>
      </c>
      <c r="M248" t="s">
        <v>195</v>
      </c>
      <c r="N248" t="s">
        <v>668</v>
      </c>
      <c r="O248" t="s">
        <v>197</v>
      </c>
      <c r="P248" t="s">
        <v>129</v>
      </c>
      <c r="Q248" t="s">
        <v>151</v>
      </c>
      <c r="R248" s="16">
        <v>45928.291666666701</v>
      </c>
      <c r="S248" t="s">
        <v>130</v>
      </c>
      <c r="V248" t="b">
        <f t="shared" si="16"/>
        <v>0</v>
      </c>
      <c r="W248" t="b">
        <f>AND(OR(WEEKDAY(C248,2)=5,WEEKDAY(C248,2)=6),'01_Parameters'!$C$11="Enabled")</f>
        <v>0</v>
      </c>
      <c r="X248" t="b">
        <f t="shared" si="17"/>
        <v>1</v>
      </c>
      <c r="Y248" t="b">
        <f t="shared" si="18"/>
        <v>0</v>
      </c>
      <c r="Z248" t="b">
        <f t="shared" si="19"/>
        <v>0</v>
      </c>
    </row>
    <row r="249" spans="1:26" ht="15" customHeight="1">
      <c r="A249" t="s">
        <v>670</v>
      </c>
      <c r="B249" t="s">
        <v>671</v>
      </c>
      <c r="C249" s="14">
        <v>45791</v>
      </c>
      <c r="D249" s="14">
        <v>45790</v>
      </c>
      <c r="E249">
        <v>2025</v>
      </c>
      <c r="F249">
        <v>5</v>
      </c>
      <c r="G249" t="s">
        <v>193</v>
      </c>
      <c r="H249" t="s">
        <v>194</v>
      </c>
      <c r="I249" t="s">
        <v>124</v>
      </c>
      <c r="J249" s="15">
        <v>40981.65</v>
      </c>
      <c r="K249" s="15">
        <v>0</v>
      </c>
      <c r="L249" s="15">
        <f t="shared" si="15"/>
        <v>40981.65</v>
      </c>
      <c r="M249" t="s">
        <v>195</v>
      </c>
      <c r="N249" t="s">
        <v>672</v>
      </c>
      <c r="O249" t="s">
        <v>197</v>
      </c>
      <c r="P249" t="s">
        <v>129</v>
      </c>
      <c r="Q249" t="s">
        <v>175</v>
      </c>
      <c r="R249" s="16">
        <v>45791.458333333299</v>
      </c>
      <c r="S249" t="s">
        <v>130</v>
      </c>
      <c r="V249" t="b">
        <f t="shared" si="16"/>
        <v>0</v>
      </c>
      <c r="W249" t="b">
        <f>AND(OR(WEEKDAY(C249,2)=5,WEEKDAY(C249,2)=6),'01_Parameters'!$C$11="Enabled")</f>
        <v>0</v>
      </c>
      <c r="X249" t="b">
        <f t="shared" si="17"/>
        <v>0</v>
      </c>
      <c r="Y249" t="b">
        <f t="shared" si="18"/>
        <v>0</v>
      </c>
      <c r="Z249" t="b">
        <f t="shared" si="19"/>
        <v>0</v>
      </c>
    </row>
    <row r="250" spans="1:26" ht="15" customHeight="1">
      <c r="A250" t="s">
        <v>670</v>
      </c>
      <c r="B250" t="s">
        <v>673</v>
      </c>
      <c r="C250" s="14">
        <v>45791</v>
      </c>
      <c r="D250" s="14">
        <v>45790</v>
      </c>
      <c r="E250">
        <v>2025</v>
      </c>
      <c r="F250">
        <v>5</v>
      </c>
      <c r="G250" t="s">
        <v>199</v>
      </c>
      <c r="H250" t="s">
        <v>200</v>
      </c>
      <c r="I250" t="s">
        <v>146</v>
      </c>
      <c r="J250" s="15">
        <v>0</v>
      </c>
      <c r="K250" s="15">
        <v>40981.65</v>
      </c>
      <c r="L250" s="15">
        <f t="shared" si="15"/>
        <v>-40981.65</v>
      </c>
      <c r="M250" t="s">
        <v>195</v>
      </c>
      <c r="N250" t="s">
        <v>672</v>
      </c>
      <c r="O250" t="s">
        <v>197</v>
      </c>
      <c r="P250" t="s">
        <v>129</v>
      </c>
      <c r="Q250" t="s">
        <v>175</v>
      </c>
      <c r="R250" s="16">
        <v>45791.458333333299</v>
      </c>
      <c r="S250" t="s">
        <v>130</v>
      </c>
      <c r="V250" t="b">
        <f t="shared" si="16"/>
        <v>0</v>
      </c>
      <c r="W250" t="b">
        <f>AND(OR(WEEKDAY(C250,2)=5,WEEKDAY(C250,2)=6),'01_Parameters'!$C$11="Enabled")</f>
        <v>0</v>
      </c>
      <c r="X250" t="b">
        <f t="shared" si="17"/>
        <v>0</v>
      </c>
      <c r="Y250" t="b">
        <f t="shared" si="18"/>
        <v>0</v>
      </c>
      <c r="Z250" t="b">
        <f t="shared" si="19"/>
        <v>0</v>
      </c>
    </row>
    <row r="251" spans="1:26" ht="15" customHeight="1">
      <c r="A251" t="s">
        <v>674</v>
      </c>
      <c r="B251" t="s">
        <v>675</v>
      </c>
      <c r="C251" s="14">
        <v>46019</v>
      </c>
      <c r="D251" s="14">
        <v>46019</v>
      </c>
      <c r="E251">
        <v>2025</v>
      </c>
      <c r="F251">
        <v>12</v>
      </c>
      <c r="G251" t="s">
        <v>193</v>
      </c>
      <c r="H251" t="s">
        <v>194</v>
      </c>
      <c r="I251" t="s">
        <v>124</v>
      </c>
      <c r="J251" s="15">
        <v>74496.289999999994</v>
      </c>
      <c r="K251" s="15">
        <v>0</v>
      </c>
      <c r="L251" s="15">
        <f t="shared" si="15"/>
        <v>74496.289999999994</v>
      </c>
      <c r="M251" t="s">
        <v>195</v>
      </c>
      <c r="N251" t="s">
        <v>676</v>
      </c>
      <c r="O251" t="s">
        <v>197</v>
      </c>
      <c r="P251" t="s">
        <v>151</v>
      </c>
      <c r="Q251" t="s">
        <v>129</v>
      </c>
      <c r="R251" s="16">
        <v>46019.677083333299</v>
      </c>
      <c r="S251" t="s">
        <v>130</v>
      </c>
      <c r="V251" t="b">
        <f t="shared" si="16"/>
        <v>1</v>
      </c>
      <c r="W251" t="b">
        <f>AND(OR(WEEKDAY(C251,2)=5,WEEKDAY(C251,2)=6),'01_Parameters'!$C$11="Enabled")</f>
        <v>0</v>
      </c>
      <c r="X251" t="b">
        <f t="shared" si="17"/>
        <v>0</v>
      </c>
      <c r="Y251" t="b">
        <f t="shared" si="18"/>
        <v>0</v>
      </c>
      <c r="Z251" t="b">
        <f t="shared" si="19"/>
        <v>0</v>
      </c>
    </row>
    <row r="252" spans="1:26" ht="15" customHeight="1">
      <c r="A252" t="s">
        <v>674</v>
      </c>
      <c r="B252" t="s">
        <v>677</v>
      </c>
      <c r="C252" s="14">
        <v>46019</v>
      </c>
      <c r="D252" s="14">
        <v>46019</v>
      </c>
      <c r="E252">
        <v>2025</v>
      </c>
      <c r="F252">
        <v>12</v>
      </c>
      <c r="G252" t="s">
        <v>199</v>
      </c>
      <c r="H252" t="s">
        <v>200</v>
      </c>
      <c r="I252" t="s">
        <v>146</v>
      </c>
      <c r="J252" s="15">
        <v>0</v>
      </c>
      <c r="K252" s="15">
        <v>74496.289999999994</v>
      </c>
      <c r="L252" s="15">
        <f t="shared" si="15"/>
        <v>-74496.289999999994</v>
      </c>
      <c r="M252" t="s">
        <v>195</v>
      </c>
      <c r="N252" t="s">
        <v>676</v>
      </c>
      <c r="O252" t="s">
        <v>197</v>
      </c>
      <c r="P252" t="s">
        <v>151</v>
      </c>
      <c r="Q252" t="s">
        <v>129</v>
      </c>
      <c r="R252" s="16">
        <v>46019.677083333299</v>
      </c>
      <c r="S252" t="s">
        <v>130</v>
      </c>
      <c r="V252" t="b">
        <f t="shared" si="16"/>
        <v>1</v>
      </c>
      <c r="W252" t="b">
        <f>AND(OR(WEEKDAY(C252,2)=5,WEEKDAY(C252,2)=6),'01_Parameters'!$C$11="Enabled")</f>
        <v>0</v>
      </c>
      <c r="X252" t="b">
        <f t="shared" si="17"/>
        <v>0</v>
      </c>
      <c r="Y252" t="b">
        <f t="shared" si="18"/>
        <v>0</v>
      </c>
      <c r="Z252" t="b">
        <f t="shared" si="19"/>
        <v>0</v>
      </c>
    </row>
    <row r="253" spans="1:26" ht="15" customHeight="1">
      <c r="A253" t="s">
        <v>678</v>
      </c>
      <c r="B253" t="s">
        <v>679</v>
      </c>
      <c r="C253" s="14">
        <v>45958</v>
      </c>
      <c r="D253" s="14">
        <v>45957</v>
      </c>
      <c r="E253">
        <v>2025</v>
      </c>
      <c r="F253">
        <v>10</v>
      </c>
      <c r="G253" t="s">
        <v>207</v>
      </c>
      <c r="H253" t="s">
        <v>208</v>
      </c>
      <c r="I253" t="s">
        <v>124</v>
      </c>
      <c r="J253" s="15">
        <v>61917.3</v>
      </c>
      <c r="K253" s="15">
        <v>0</v>
      </c>
      <c r="L253" s="15">
        <f t="shared" si="15"/>
        <v>61917.3</v>
      </c>
      <c r="M253" t="s">
        <v>209</v>
      </c>
      <c r="N253" t="s">
        <v>680</v>
      </c>
      <c r="O253" t="s">
        <v>211</v>
      </c>
      <c r="P253" t="s">
        <v>150</v>
      </c>
      <c r="Q253" t="s">
        <v>175</v>
      </c>
      <c r="R253" s="16">
        <v>45958.927083333299</v>
      </c>
      <c r="S253" t="s">
        <v>130</v>
      </c>
      <c r="T253" t="s">
        <v>229</v>
      </c>
      <c r="U253" t="s">
        <v>680</v>
      </c>
      <c r="V253" t="b">
        <f t="shared" si="16"/>
        <v>0</v>
      </c>
      <c r="W253" t="b">
        <f>AND(OR(WEEKDAY(C253,2)=5,WEEKDAY(C253,2)=6),'01_Parameters'!$C$11="Enabled")</f>
        <v>0</v>
      </c>
      <c r="X253" t="b">
        <f t="shared" si="17"/>
        <v>1</v>
      </c>
      <c r="Y253" t="b">
        <f t="shared" si="18"/>
        <v>0</v>
      </c>
      <c r="Z253" t="b">
        <f t="shared" si="19"/>
        <v>0</v>
      </c>
    </row>
    <row r="254" spans="1:26" ht="15" customHeight="1">
      <c r="A254" t="s">
        <v>678</v>
      </c>
      <c r="B254" t="s">
        <v>681</v>
      </c>
      <c r="C254" s="14">
        <v>45958</v>
      </c>
      <c r="D254" s="14">
        <v>45957</v>
      </c>
      <c r="E254">
        <v>2025</v>
      </c>
      <c r="F254">
        <v>10</v>
      </c>
      <c r="G254" t="s">
        <v>132</v>
      </c>
      <c r="H254" t="s">
        <v>133</v>
      </c>
      <c r="I254" t="s">
        <v>134</v>
      </c>
      <c r="J254" s="15">
        <v>0</v>
      </c>
      <c r="K254" s="15">
        <v>61917.3</v>
      </c>
      <c r="L254" s="15">
        <f t="shared" si="15"/>
        <v>-61917.3</v>
      </c>
      <c r="M254" t="s">
        <v>209</v>
      </c>
      <c r="N254" t="s">
        <v>680</v>
      </c>
      <c r="O254" t="s">
        <v>211</v>
      </c>
      <c r="P254" t="s">
        <v>150</v>
      </c>
      <c r="Q254" t="s">
        <v>175</v>
      </c>
      <c r="R254" s="16">
        <v>45958.927083333299</v>
      </c>
      <c r="S254" t="s">
        <v>130</v>
      </c>
      <c r="T254" t="s">
        <v>229</v>
      </c>
      <c r="U254" t="s">
        <v>680</v>
      </c>
      <c r="V254" t="b">
        <f t="shared" si="16"/>
        <v>0</v>
      </c>
      <c r="W254" t="b">
        <f>AND(OR(WEEKDAY(C254,2)=5,WEEKDAY(C254,2)=6),'01_Parameters'!$C$11="Enabled")</f>
        <v>0</v>
      </c>
      <c r="X254" t="b">
        <f t="shared" si="17"/>
        <v>1</v>
      </c>
      <c r="Y254" t="b">
        <f t="shared" si="18"/>
        <v>0</v>
      </c>
      <c r="Z254" t="b">
        <f t="shared" si="19"/>
        <v>0</v>
      </c>
    </row>
    <row r="255" spans="1:26" ht="15" customHeight="1">
      <c r="A255" t="s">
        <v>682</v>
      </c>
      <c r="B255" t="s">
        <v>683</v>
      </c>
      <c r="C255" s="14">
        <v>45771</v>
      </c>
      <c r="D255" s="14">
        <v>45769</v>
      </c>
      <c r="E255">
        <v>2025</v>
      </c>
      <c r="F255">
        <v>4</v>
      </c>
      <c r="G255" t="s">
        <v>172</v>
      </c>
      <c r="H255" t="s">
        <v>173</v>
      </c>
      <c r="I255" t="s">
        <v>124</v>
      </c>
      <c r="J255" s="15">
        <v>72725.929999999993</v>
      </c>
      <c r="K255" s="15">
        <v>0</v>
      </c>
      <c r="L255" s="15">
        <f t="shared" si="15"/>
        <v>72725.929999999993</v>
      </c>
      <c r="M255" t="s">
        <v>125</v>
      </c>
      <c r="N255" t="s">
        <v>684</v>
      </c>
      <c r="O255" t="s">
        <v>127</v>
      </c>
      <c r="P255" t="s">
        <v>175</v>
      </c>
      <c r="Q255" t="s">
        <v>150</v>
      </c>
      <c r="R255" s="16">
        <v>45771.947916666701</v>
      </c>
      <c r="S255" t="s">
        <v>130</v>
      </c>
      <c r="V255" t="b">
        <f t="shared" si="16"/>
        <v>0</v>
      </c>
      <c r="W255" t="b">
        <f>AND(OR(WEEKDAY(C255,2)=5,WEEKDAY(C255,2)=6),'01_Parameters'!$C$11="Enabled")</f>
        <v>0</v>
      </c>
      <c r="X255" t="b">
        <f t="shared" si="17"/>
        <v>1</v>
      </c>
      <c r="Y255" t="b">
        <f t="shared" si="18"/>
        <v>0</v>
      </c>
      <c r="Z255" t="b">
        <f t="shared" si="19"/>
        <v>0</v>
      </c>
    </row>
    <row r="256" spans="1:26" ht="15" customHeight="1">
      <c r="A256" t="s">
        <v>682</v>
      </c>
      <c r="B256" t="s">
        <v>685</v>
      </c>
      <c r="C256" s="14">
        <v>45771</v>
      </c>
      <c r="D256" s="14">
        <v>45769</v>
      </c>
      <c r="E256">
        <v>2025</v>
      </c>
      <c r="F256">
        <v>4</v>
      </c>
      <c r="G256" t="s">
        <v>132</v>
      </c>
      <c r="H256" t="s">
        <v>133</v>
      </c>
      <c r="I256" t="s">
        <v>134</v>
      </c>
      <c r="J256" s="15">
        <v>0</v>
      </c>
      <c r="K256" s="15">
        <v>72725.929999999993</v>
      </c>
      <c r="L256" s="15">
        <f t="shared" si="15"/>
        <v>-72725.929999999993</v>
      </c>
      <c r="M256" t="s">
        <v>125</v>
      </c>
      <c r="N256" t="s">
        <v>684</v>
      </c>
      <c r="O256" t="s">
        <v>127</v>
      </c>
      <c r="P256" t="s">
        <v>175</v>
      </c>
      <c r="Q256" t="s">
        <v>150</v>
      </c>
      <c r="R256" s="16">
        <v>45771.947916666701</v>
      </c>
      <c r="S256" t="s">
        <v>130</v>
      </c>
      <c r="V256" t="b">
        <f t="shared" si="16"/>
        <v>0</v>
      </c>
      <c r="W256" t="b">
        <f>AND(OR(WEEKDAY(C256,2)=5,WEEKDAY(C256,2)=6),'01_Parameters'!$C$11="Enabled")</f>
        <v>0</v>
      </c>
      <c r="X256" t="b">
        <f t="shared" si="17"/>
        <v>1</v>
      </c>
      <c r="Y256" t="b">
        <f t="shared" si="18"/>
        <v>0</v>
      </c>
      <c r="Z256" t="b">
        <f t="shared" si="19"/>
        <v>0</v>
      </c>
    </row>
    <row r="257" spans="1:26" ht="15" customHeight="1">
      <c r="A257" t="s">
        <v>686</v>
      </c>
      <c r="B257" t="s">
        <v>687</v>
      </c>
      <c r="C257" s="14">
        <v>45867</v>
      </c>
      <c r="D257" s="14">
        <v>45866</v>
      </c>
      <c r="E257">
        <v>2025</v>
      </c>
      <c r="F257">
        <v>7</v>
      </c>
      <c r="G257" t="s">
        <v>193</v>
      </c>
      <c r="H257" t="s">
        <v>194</v>
      </c>
      <c r="I257" t="s">
        <v>124</v>
      </c>
      <c r="J257" s="15">
        <v>41864.85</v>
      </c>
      <c r="K257" s="15">
        <v>0</v>
      </c>
      <c r="L257" s="15">
        <f t="shared" si="15"/>
        <v>41864.85</v>
      </c>
      <c r="M257" t="s">
        <v>195</v>
      </c>
      <c r="N257" t="s">
        <v>688</v>
      </c>
      <c r="O257" t="s">
        <v>197</v>
      </c>
      <c r="P257" t="s">
        <v>128</v>
      </c>
      <c r="Q257" t="s">
        <v>129</v>
      </c>
      <c r="R257" s="16">
        <v>45867.354166666701</v>
      </c>
      <c r="S257" t="s">
        <v>130</v>
      </c>
      <c r="V257" t="b">
        <f t="shared" si="16"/>
        <v>0</v>
      </c>
      <c r="W257" t="b">
        <f>AND(OR(WEEKDAY(C257,2)=5,WEEKDAY(C257,2)=6),'01_Parameters'!$C$11="Enabled")</f>
        <v>0</v>
      </c>
      <c r="X257" t="b">
        <f t="shared" si="17"/>
        <v>0</v>
      </c>
      <c r="Y257" t="b">
        <f t="shared" si="18"/>
        <v>0</v>
      </c>
      <c r="Z257" t="b">
        <f t="shared" si="19"/>
        <v>0</v>
      </c>
    </row>
    <row r="258" spans="1:26" ht="15" customHeight="1">
      <c r="A258" t="s">
        <v>686</v>
      </c>
      <c r="B258" t="s">
        <v>689</v>
      </c>
      <c r="C258" s="14">
        <v>45867</v>
      </c>
      <c r="D258" s="14">
        <v>45866</v>
      </c>
      <c r="E258">
        <v>2025</v>
      </c>
      <c r="F258">
        <v>7</v>
      </c>
      <c r="G258" t="s">
        <v>199</v>
      </c>
      <c r="H258" t="s">
        <v>200</v>
      </c>
      <c r="I258" t="s">
        <v>146</v>
      </c>
      <c r="J258" s="15">
        <v>0</v>
      </c>
      <c r="K258" s="15">
        <v>41864.85</v>
      </c>
      <c r="L258" s="15">
        <f t="shared" si="15"/>
        <v>-41864.85</v>
      </c>
      <c r="M258" t="s">
        <v>195</v>
      </c>
      <c r="N258" t="s">
        <v>688</v>
      </c>
      <c r="O258" t="s">
        <v>197</v>
      </c>
      <c r="P258" t="s">
        <v>128</v>
      </c>
      <c r="Q258" t="s">
        <v>129</v>
      </c>
      <c r="R258" s="16">
        <v>45867.354166666701</v>
      </c>
      <c r="S258" t="s">
        <v>130</v>
      </c>
      <c r="V258" t="b">
        <f t="shared" si="16"/>
        <v>0</v>
      </c>
      <c r="W258" t="b">
        <f>AND(OR(WEEKDAY(C258,2)=5,WEEKDAY(C258,2)=6),'01_Parameters'!$C$11="Enabled")</f>
        <v>0</v>
      </c>
      <c r="X258" t="b">
        <f t="shared" si="17"/>
        <v>0</v>
      </c>
      <c r="Y258" t="b">
        <f t="shared" si="18"/>
        <v>0</v>
      </c>
      <c r="Z258" t="b">
        <f t="shared" si="19"/>
        <v>0</v>
      </c>
    </row>
    <row r="259" spans="1:26" ht="15" customHeight="1">
      <c r="A259" t="s">
        <v>690</v>
      </c>
      <c r="B259" t="s">
        <v>691</v>
      </c>
      <c r="C259" s="14">
        <v>45798</v>
      </c>
      <c r="D259" s="14">
        <v>45794</v>
      </c>
      <c r="E259">
        <v>2025</v>
      </c>
      <c r="F259">
        <v>5</v>
      </c>
      <c r="G259" t="s">
        <v>144</v>
      </c>
      <c r="H259" t="s">
        <v>145</v>
      </c>
      <c r="I259" t="s">
        <v>146</v>
      </c>
      <c r="J259" s="15">
        <v>17265</v>
      </c>
      <c r="K259" s="15">
        <v>0</v>
      </c>
      <c r="L259" s="15">
        <f t="shared" si="15"/>
        <v>17265</v>
      </c>
      <c r="M259" t="s">
        <v>147</v>
      </c>
      <c r="N259" t="s">
        <v>692</v>
      </c>
      <c r="O259" t="s">
        <v>149</v>
      </c>
      <c r="P259" t="s">
        <v>140</v>
      </c>
      <c r="Q259" t="s">
        <v>128</v>
      </c>
      <c r="R259" s="16">
        <v>45798.84375</v>
      </c>
      <c r="S259" t="s">
        <v>130</v>
      </c>
      <c r="V259" t="b">
        <f t="shared" si="16"/>
        <v>0</v>
      </c>
      <c r="W259" t="b">
        <f>AND(OR(WEEKDAY(C259,2)=5,WEEKDAY(C259,2)=6),'01_Parameters'!$C$11="Enabled")</f>
        <v>0</v>
      </c>
      <c r="X259" t="b">
        <f t="shared" si="17"/>
        <v>1</v>
      </c>
      <c r="Y259" t="b">
        <f t="shared" si="18"/>
        <v>0</v>
      </c>
      <c r="Z259" t="b">
        <f t="shared" si="19"/>
        <v>0</v>
      </c>
    </row>
    <row r="260" spans="1:26" ht="15" customHeight="1">
      <c r="A260" t="s">
        <v>690</v>
      </c>
      <c r="B260" t="s">
        <v>693</v>
      </c>
      <c r="C260" s="14">
        <v>45798</v>
      </c>
      <c r="D260" s="14">
        <v>45794</v>
      </c>
      <c r="E260">
        <v>2025</v>
      </c>
      <c r="F260">
        <v>5</v>
      </c>
      <c r="G260" t="s">
        <v>153</v>
      </c>
      <c r="H260" t="s">
        <v>154</v>
      </c>
      <c r="I260" t="s">
        <v>155</v>
      </c>
      <c r="J260" s="15">
        <v>0</v>
      </c>
      <c r="K260" s="15">
        <v>17265</v>
      </c>
      <c r="L260" s="15">
        <f t="shared" si="15"/>
        <v>-17265</v>
      </c>
      <c r="M260" t="s">
        <v>147</v>
      </c>
      <c r="N260" t="s">
        <v>692</v>
      </c>
      <c r="O260" t="s">
        <v>149</v>
      </c>
      <c r="P260" t="s">
        <v>140</v>
      </c>
      <c r="Q260" t="s">
        <v>128</v>
      </c>
      <c r="R260" s="16">
        <v>45798.84375</v>
      </c>
      <c r="S260" t="s">
        <v>130</v>
      </c>
      <c r="V260" t="b">
        <f t="shared" si="16"/>
        <v>0</v>
      </c>
      <c r="W260" t="b">
        <f>AND(OR(WEEKDAY(C260,2)=5,WEEKDAY(C260,2)=6),'01_Parameters'!$C$11="Enabled")</f>
        <v>0</v>
      </c>
      <c r="X260" t="b">
        <f t="shared" si="17"/>
        <v>1</v>
      </c>
      <c r="Y260" t="b">
        <f t="shared" si="18"/>
        <v>0</v>
      </c>
      <c r="Z260" t="b">
        <f t="shared" si="19"/>
        <v>0</v>
      </c>
    </row>
    <row r="261" spans="1:26" ht="15" customHeight="1">
      <c r="A261" t="s">
        <v>694</v>
      </c>
      <c r="B261" t="s">
        <v>695</v>
      </c>
      <c r="C261" s="14">
        <v>45877</v>
      </c>
      <c r="D261" s="14">
        <v>45874</v>
      </c>
      <c r="E261">
        <v>2025</v>
      </c>
      <c r="F261">
        <v>8</v>
      </c>
      <c r="G261" t="s">
        <v>137</v>
      </c>
      <c r="H261" t="s">
        <v>138</v>
      </c>
      <c r="I261" t="s">
        <v>124</v>
      </c>
      <c r="J261" s="15">
        <v>18257.04</v>
      </c>
      <c r="K261" s="15">
        <v>0</v>
      </c>
      <c r="L261" s="15">
        <f t="shared" ref="L261:L324" si="20">J261-K261</f>
        <v>18257.04</v>
      </c>
      <c r="M261" t="s">
        <v>125</v>
      </c>
      <c r="N261" t="s">
        <v>696</v>
      </c>
      <c r="O261" t="s">
        <v>127</v>
      </c>
      <c r="P261" t="s">
        <v>175</v>
      </c>
      <c r="Q261" t="s">
        <v>151</v>
      </c>
      <c r="R261" s="16">
        <v>45877.40625</v>
      </c>
      <c r="S261" t="s">
        <v>130</v>
      </c>
      <c r="V261" t="b">
        <f t="shared" ref="V261:V324" si="21">AND(C261&gt;=Year_End_Window_Start,C261&lt;=Year_End_Window_End)</f>
        <v>0</v>
      </c>
      <c r="W261" t="b">
        <f>AND(OR(WEEKDAY(C261,2)=5,WEEKDAY(C261,2)=6),'01_Parameters'!$C$11="Enabled")</f>
        <v>1</v>
      </c>
      <c r="X261" t="b">
        <f t="shared" ref="X261:X324" si="22">AND(HOUR(R261)&lt;Business_Day_Start,HOUR(R261)&gt;=0)+AND(HOUR(R261)&gt;=Business_Day_End,HOUR(R261)&lt;=23)&gt;0</f>
        <v>0</v>
      </c>
      <c r="Y261" t="b">
        <f t="shared" ref="Y261:Y324" si="23">ABS(L261)&gt;High_Value_GL_Threshold</f>
        <v>0</v>
      </c>
      <c r="Z261" t="b">
        <f t="shared" ref="Z261:Z324" si="24">AND(ABS(L261)&gt;=Round_Number_Threshold,MOD(ABS(L261),Round_Number_Threshold)=0)</f>
        <v>0</v>
      </c>
    </row>
    <row r="262" spans="1:26" ht="15" customHeight="1">
      <c r="A262" t="s">
        <v>694</v>
      </c>
      <c r="B262" t="s">
        <v>697</v>
      </c>
      <c r="C262" s="14">
        <v>45877</v>
      </c>
      <c r="D262" s="14">
        <v>45874</v>
      </c>
      <c r="E262">
        <v>2025</v>
      </c>
      <c r="F262">
        <v>8</v>
      </c>
      <c r="G262" t="s">
        <v>132</v>
      </c>
      <c r="H262" t="s">
        <v>133</v>
      </c>
      <c r="I262" t="s">
        <v>134</v>
      </c>
      <c r="J262" s="15">
        <v>0</v>
      </c>
      <c r="K262" s="15">
        <v>18257.04</v>
      </c>
      <c r="L262" s="15">
        <f t="shared" si="20"/>
        <v>-18257.04</v>
      </c>
      <c r="M262" t="s">
        <v>125</v>
      </c>
      <c r="N262" t="s">
        <v>696</v>
      </c>
      <c r="O262" t="s">
        <v>127</v>
      </c>
      <c r="P262" t="s">
        <v>175</v>
      </c>
      <c r="Q262" t="s">
        <v>151</v>
      </c>
      <c r="R262" s="16">
        <v>45877.40625</v>
      </c>
      <c r="S262" t="s">
        <v>130</v>
      </c>
      <c r="V262" t="b">
        <f t="shared" si="21"/>
        <v>0</v>
      </c>
      <c r="W262" t="b">
        <f>AND(OR(WEEKDAY(C262,2)=5,WEEKDAY(C262,2)=6),'01_Parameters'!$C$11="Enabled")</f>
        <v>1</v>
      </c>
      <c r="X262" t="b">
        <f t="shared" si="22"/>
        <v>0</v>
      </c>
      <c r="Y262" t="b">
        <f t="shared" si="23"/>
        <v>0</v>
      </c>
      <c r="Z262" t="b">
        <f t="shared" si="24"/>
        <v>0</v>
      </c>
    </row>
    <row r="263" spans="1:26" ht="15" customHeight="1">
      <c r="A263" t="s">
        <v>698</v>
      </c>
      <c r="B263" t="s">
        <v>699</v>
      </c>
      <c r="C263" s="14">
        <v>45849</v>
      </c>
      <c r="D263" s="14">
        <v>45847</v>
      </c>
      <c r="E263">
        <v>2025</v>
      </c>
      <c r="F263">
        <v>7</v>
      </c>
      <c r="G263" t="s">
        <v>172</v>
      </c>
      <c r="H263" t="s">
        <v>173</v>
      </c>
      <c r="I263" t="s">
        <v>124</v>
      </c>
      <c r="J263" s="15">
        <v>29633.42</v>
      </c>
      <c r="K263" s="15">
        <v>0</v>
      </c>
      <c r="L263" s="15">
        <f t="shared" si="20"/>
        <v>29633.42</v>
      </c>
      <c r="M263" t="s">
        <v>125</v>
      </c>
      <c r="N263" t="s">
        <v>700</v>
      </c>
      <c r="O263" t="s">
        <v>127</v>
      </c>
      <c r="P263" t="s">
        <v>140</v>
      </c>
      <c r="Q263" t="s">
        <v>150</v>
      </c>
      <c r="R263" s="16">
        <v>45849.3125</v>
      </c>
      <c r="S263" t="s">
        <v>130</v>
      </c>
      <c r="V263" t="b">
        <f t="shared" si="21"/>
        <v>0</v>
      </c>
      <c r="W263" t="b">
        <f>AND(OR(WEEKDAY(C263,2)=5,WEEKDAY(C263,2)=6),'01_Parameters'!$C$11="Enabled")</f>
        <v>1</v>
      </c>
      <c r="X263" t="b">
        <f t="shared" si="22"/>
        <v>1</v>
      </c>
      <c r="Y263" t="b">
        <f t="shared" si="23"/>
        <v>0</v>
      </c>
      <c r="Z263" t="b">
        <f t="shared" si="24"/>
        <v>0</v>
      </c>
    </row>
    <row r="264" spans="1:26" ht="15" customHeight="1">
      <c r="A264" t="s">
        <v>698</v>
      </c>
      <c r="B264" t="s">
        <v>701</v>
      </c>
      <c r="C264" s="14">
        <v>45849</v>
      </c>
      <c r="D264" s="14">
        <v>45847</v>
      </c>
      <c r="E264">
        <v>2025</v>
      </c>
      <c r="F264">
        <v>7</v>
      </c>
      <c r="G264" t="s">
        <v>132</v>
      </c>
      <c r="H264" t="s">
        <v>133</v>
      </c>
      <c r="I264" t="s">
        <v>134</v>
      </c>
      <c r="J264" s="15">
        <v>0</v>
      </c>
      <c r="K264" s="15">
        <v>29633.42</v>
      </c>
      <c r="L264" s="15">
        <f t="shared" si="20"/>
        <v>-29633.42</v>
      </c>
      <c r="M264" t="s">
        <v>125</v>
      </c>
      <c r="N264" t="s">
        <v>700</v>
      </c>
      <c r="O264" t="s">
        <v>127</v>
      </c>
      <c r="P264" t="s">
        <v>140</v>
      </c>
      <c r="Q264" t="s">
        <v>150</v>
      </c>
      <c r="R264" s="16">
        <v>45849.3125</v>
      </c>
      <c r="S264" t="s">
        <v>130</v>
      </c>
      <c r="V264" t="b">
        <f t="shared" si="21"/>
        <v>0</v>
      </c>
      <c r="W264" t="b">
        <f>AND(OR(WEEKDAY(C264,2)=5,WEEKDAY(C264,2)=6),'01_Parameters'!$C$11="Enabled")</f>
        <v>1</v>
      </c>
      <c r="X264" t="b">
        <f t="shared" si="22"/>
        <v>1</v>
      </c>
      <c r="Y264" t="b">
        <f t="shared" si="23"/>
        <v>0</v>
      </c>
      <c r="Z264" t="b">
        <f t="shared" si="24"/>
        <v>0</v>
      </c>
    </row>
    <row r="265" spans="1:26" ht="15" customHeight="1">
      <c r="A265" t="s">
        <v>702</v>
      </c>
      <c r="B265" t="s">
        <v>703</v>
      </c>
      <c r="C265" s="14">
        <v>45942</v>
      </c>
      <c r="D265" s="14">
        <v>45939</v>
      </c>
      <c r="E265">
        <v>2025</v>
      </c>
      <c r="F265">
        <v>10</v>
      </c>
      <c r="G265" t="s">
        <v>199</v>
      </c>
      <c r="H265" t="s">
        <v>200</v>
      </c>
      <c r="I265" t="s">
        <v>146</v>
      </c>
      <c r="J265" s="15">
        <v>9978.76</v>
      </c>
      <c r="K265" s="15">
        <v>0</v>
      </c>
      <c r="L265" s="15">
        <f t="shared" si="20"/>
        <v>9978.76</v>
      </c>
      <c r="M265" t="s">
        <v>209</v>
      </c>
      <c r="N265" t="s">
        <v>704</v>
      </c>
      <c r="O265" t="s">
        <v>211</v>
      </c>
      <c r="P265" t="s">
        <v>175</v>
      </c>
      <c r="Q265" t="s">
        <v>129</v>
      </c>
      <c r="R265" s="16">
        <v>45942.583333333299</v>
      </c>
      <c r="S265" t="s">
        <v>130</v>
      </c>
      <c r="T265" t="s">
        <v>705</v>
      </c>
      <c r="U265" t="s">
        <v>704</v>
      </c>
      <c r="V265" t="b">
        <f t="shared" si="21"/>
        <v>0</v>
      </c>
      <c r="W265" t="b">
        <f>AND(OR(WEEKDAY(C265,2)=5,WEEKDAY(C265,2)=6),'01_Parameters'!$C$11="Enabled")</f>
        <v>0</v>
      </c>
      <c r="X265" t="b">
        <f t="shared" si="22"/>
        <v>0</v>
      </c>
      <c r="Y265" t="b">
        <f t="shared" si="23"/>
        <v>0</v>
      </c>
      <c r="Z265" t="b">
        <f t="shared" si="24"/>
        <v>0</v>
      </c>
    </row>
    <row r="266" spans="1:26" ht="15" customHeight="1">
      <c r="A266" t="s">
        <v>702</v>
      </c>
      <c r="B266" t="s">
        <v>706</v>
      </c>
      <c r="C266" s="14">
        <v>45942</v>
      </c>
      <c r="D266" s="14">
        <v>45939</v>
      </c>
      <c r="E266">
        <v>2025</v>
      </c>
      <c r="F266">
        <v>10</v>
      </c>
      <c r="G266" t="s">
        <v>132</v>
      </c>
      <c r="H266" t="s">
        <v>133</v>
      </c>
      <c r="I266" t="s">
        <v>134</v>
      </c>
      <c r="J266" s="15">
        <v>0</v>
      </c>
      <c r="K266" s="15">
        <v>9978.76</v>
      </c>
      <c r="L266" s="15">
        <f t="shared" si="20"/>
        <v>-9978.76</v>
      </c>
      <c r="M266" t="s">
        <v>209</v>
      </c>
      <c r="N266" t="s">
        <v>704</v>
      </c>
      <c r="O266" t="s">
        <v>211</v>
      </c>
      <c r="P266" t="s">
        <v>175</v>
      </c>
      <c r="Q266" t="s">
        <v>129</v>
      </c>
      <c r="R266" s="16">
        <v>45942.583333333299</v>
      </c>
      <c r="S266" t="s">
        <v>130</v>
      </c>
      <c r="T266" t="s">
        <v>705</v>
      </c>
      <c r="U266" t="s">
        <v>704</v>
      </c>
      <c r="V266" t="b">
        <f t="shared" si="21"/>
        <v>0</v>
      </c>
      <c r="W266" t="b">
        <f>AND(OR(WEEKDAY(C266,2)=5,WEEKDAY(C266,2)=6),'01_Parameters'!$C$11="Enabled")</f>
        <v>0</v>
      </c>
      <c r="X266" t="b">
        <f t="shared" si="22"/>
        <v>0</v>
      </c>
      <c r="Y266" t="b">
        <f t="shared" si="23"/>
        <v>0</v>
      </c>
      <c r="Z266" t="b">
        <f t="shared" si="24"/>
        <v>0</v>
      </c>
    </row>
    <row r="267" spans="1:26" ht="15" customHeight="1">
      <c r="A267" t="s">
        <v>707</v>
      </c>
      <c r="B267" t="s">
        <v>708</v>
      </c>
      <c r="C267" s="14">
        <v>45713</v>
      </c>
      <c r="D267" s="14">
        <v>45713</v>
      </c>
      <c r="E267">
        <v>2025</v>
      </c>
      <c r="F267">
        <v>2</v>
      </c>
      <c r="G267" t="s">
        <v>137</v>
      </c>
      <c r="H267" t="s">
        <v>138</v>
      </c>
      <c r="I267" t="s">
        <v>124</v>
      </c>
      <c r="J267" s="15">
        <v>32555.24</v>
      </c>
      <c r="K267" s="15">
        <v>0</v>
      </c>
      <c r="L267" s="15">
        <f t="shared" si="20"/>
        <v>32555.24</v>
      </c>
      <c r="M267" t="s">
        <v>209</v>
      </c>
      <c r="N267" t="s">
        <v>709</v>
      </c>
      <c r="O267" t="s">
        <v>211</v>
      </c>
      <c r="P267" t="s">
        <v>150</v>
      </c>
      <c r="Q267" t="s">
        <v>129</v>
      </c>
      <c r="R267" s="16">
        <v>45713.541666666701</v>
      </c>
      <c r="S267" t="s">
        <v>288</v>
      </c>
      <c r="T267" t="s">
        <v>229</v>
      </c>
      <c r="U267" t="s">
        <v>709</v>
      </c>
      <c r="V267" t="b">
        <f t="shared" si="21"/>
        <v>0</v>
      </c>
      <c r="W267" t="b">
        <f>AND(OR(WEEKDAY(C267,2)=5,WEEKDAY(C267,2)=6),'01_Parameters'!$C$11="Enabled")</f>
        <v>0</v>
      </c>
      <c r="X267" t="b">
        <f t="shared" si="22"/>
        <v>0</v>
      </c>
      <c r="Y267" t="b">
        <f t="shared" si="23"/>
        <v>0</v>
      </c>
      <c r="Z267" t="b">
        <f t="shared" si="24"/>
        <v>0</v>
      </c>
    </row>
    <row r="268" spans="1:26" ht="15" customHeight="1">
      <c r="A268" t="s">
        <v>707</v>
      </c>
      <c r="B268" t="s">
        <v>710</v>
      </c>
      <c r="C268" s="14">
        <v>45713</v>
      </c>
      <c r="D268" s="14">
        <v>45713</v>
      </c>
      <c r="E268">
        <v>2025</v>
      </c>
      <c r="F268">
        <v>2</v>
      </c>
      <c r="G268" t="s">
        <v>132</v>
      </c>
      <c r="H268" t="s">
        <v>133</v>
      </c>
      <c r="I268" t="s">
        <v>134</v>
      </c>
      <c r="J268" s="15">
        <v>0</v>
      </c>
      <c r="K268" s="15">
        <v>32555.24</v>
      </c>
      <c r="L268" s="15">
        <f t="shared" si="20"/>
        <v>-32555.24</v>
      </c>
      <c r="M268" t="s">
        <v>209</v>
      </c>
      <c r="N268" t="s">
        <v>709</v>
      </c>
      <c r="O268" t="s">
        <v>211</v>
      </c>
      <c r="P268" t="s">
        <v>150</v>
      </c>
      <c r="Q268" t="s">
        <v>129</v>
      </c>
      <c r="R268" s="16">
        <v>45713.541666666701</v>
      </c>
      <c r="S268" t="s">
        <v>288</v>
      </c>
      <c r="T268" t="s">
        <v>229</v>
      </c>
      <c r="U268" t="s">
        <v>709</v>
      </c>
      <c r="V268" t="b">
        <f t="shared" si="21"/>
        <v>0</v>
      </c>
      <c r="W268" t="b">
        <f>AND(OR(WEEKDAY(C268,2)=5,WEEKDAY(C268,2)=6),'01_Parameters'!$C$11="Enabled")</f>
        <v>0</v>
      </c>
      <c r="X268" t="b">
        <f t="shared" si="22"/>
        <v>0</v>
      </c>
      <c r="Y268" t="b">
        <f t="shared" si="23"/>
        <v>0</v>
      </c>
      <c r="Z268" t="b">
        <f t="shared" si="24"/>
        <v>0</v>
      </c>
    </row>
    <row r="269" spans="1:26" ht="15" customHeight="1">
      <c r="A269" t="s">
        <v>711</v>
      </c>
      <c r="B269" t="s">
        <v>712</v>
      </c>
      <c r="C269" s="14">
        <v>45778</v>
      </c>
      <c r="D269" s="14">
        <v>45778</v>
      </c>
      <c r="E269">
        <v>2025</v>
      </c>
      <c r="F269">
        <v>5</v>
      </c>
      <c r="G269" t="s">
        <v>179</v>
      </c>
      <c r="H269" t="s">
        <v>180</v>
      </c>
      <c r="I269" t="s">
        <v>124</v>
      </c>
      <c r="J269" s="15">
        <v>30788.71</v>
      </c>
      <c r="K269" s="15">
        <v>0</v>
      </c>
      <c r="L269" s="15">
        <f t="shared" si="20"/>
        <v>30788.71</v>
      </c>
      <c r="M269" t="s">
        <v>181</v>
      </c>
      <c r="N269" t="s">
        <v>713</v>
      </c>
      <c r="O269" t="s">
        <v>183</v>
      </c>
      <c r="P269" t="s">
        <v>128</v>
      </c>
      <c r="Q269" t="s">
        <v>175</v>
      </c>
      <c r="R269" s="16">
        <v>45778.427083333299</v>
      </c>
      <c r="S269" t="s">
        <v>130</v>
      </c>
      <c r="V269" t="b">
        <f t="shared" si="21"/>
        <v>0</v>
      </c>
      <c r="W269" t="b">
        <f>AND(OR(WEEKDAY(C269,2)=5,WEEKDAY(C269,2)=6),'01_Parameters'!$C$11="Enabled")</f>
        <v>0</v>
      </c>
      <c r="X269" t="b">
        <f t="shared" si="22"/>
        <v>0</v>
      </c>
      <c r="Y269" t="b">
        <f t="shared" si="23"/>
        <v>0</v>
      </c>
      <c r="Z269" t="b">
        <f t="shared" si="24"/>
        <v>0</v>
      </c>
    </row>
    <row r="270" spans="1:26" ht="15" customHeight="1">
      <c r="A270" t="s">
        <v>711</v>
      </c>
      <c r="B270" t="s">
        <v>714</v>
      </c>
      <c r="C270" s="14">
        <v>45778</v>
      </c>
      <c r="D270" s="14">
        <v>45778</v>
      </c>
      <c r="E270">
        <v>2025</v>
      </c>
      <c r="F270">
        <v>5</v>
      </c>
      <c r="G270" t="s">
        <v>185</v>
      </c>
      <c r="H270" t="s">
        <v>186</v>
      </c>
      <c r="I270" t="s">
        <v>134</v>
      </c>
      <c r="J270" s="15">
        <v>0</v>
      </c>
      <c r="K270" s="15">
        <v>30788.71</v>
      </c>
      <c r="L270" s="15">
        <f t="shared" si="20"/>
        <v>-30788.71</v>
      </c>
      <c r="M270" t="s">
        <v>181</v>
      </c>
      <c r="N270" t="s">
        <v>713</v>
      </c>
      <c r="O270" t="s">
        <v>183</v>
      </c>
      <c r="P270" t="s">
        <v>128</v>
      </c>
      <c r="Q270" t="s">
        <v>175</v>
      </c>
      <c r="R270" s="16">
        <v>45778.427083333299</v>
      </c>
      <c r="S270" t="s">
        <v>130</v>
      </c>
      <c r="V270" t="b">
        <f t="shared" si="21"/>
        <v>0</v>
      </c>
      <c r="W270" t="b">
        <f>AND(OR(WEEKDAY(C270,2)=5,WEEKDAY(C270,2)=6),'01_Parameters'!$C$11="Enabled")</f>
        <v>0</v>
      </c>
      <c r="X270" t="b">
        <f t="shared" si="22"/>
        <v>0</v>
      </c>
      <c r="Y270" t="b">
        <f t="shared" si="23"/>
        <v>0</v>
      </c>
      <c r="Z270" t="b">
        <f t="shared" si="24"/>
        <v>0</v>
      </c>
    </row>
    <row r="271" spans="1:26" ht="15" customHeight="1">
      <c r="A271" t="s">
        <v>715</v>
      </c>
      <c r="B271" t="s">
        <v>716</v>
      </c>
      <c r="C271" s="14">
        <v>45805</v>
      </c>
      <c r="D271" s="14">
        <v>45801</v>
      </c>
      <c r="E271">
        <v>2025</v>
      </c>
      <c r="F271">
        <v>5</v>
      </c>
      <c r="G271" t="s">
        <v>193</v>
      </c>
      <c r="H271" t="s">
        <v>194</v>
      </c>
      <c r="I271" t="s">
        <v>124</v>
      </c>
      <c r="J271" s="15">
        <v>72532.91</v>
      </c>
      <c r="K271" s="15">
        <v>0</v>
      </c>
      <c r="L271" s="15">
        <f t="shared" si="20"/>
        <v>72532.91</v>
      </c>
      <c r="M271" t="s">
        <v>195</v>
      </c>
      <c r="N271" t="s">
        <v>717</v>
      </c>
      <c r="O271" t="s">
        <v>197</v>
      </c>
      <c r="P271" t="s">
        <v>128</v>
      </c>
      <c r="Q271" t="s">
        <v>129</v>
      </c>
      <c r="R271" s="16">
        <v>45805.666666666701</v>
      </c>
      <c r="S271" t="s">
        <v>130</v>
      </c>
      <c r="V271" t="b">
        <f t="shared" si="21"/>
        <v>0</v>
      </c>
      <c r="W271" t="b">
        <f>AND(OR(WEEKDAY(C271,2)=5,WEEKDAY(C271,2)=6),'01_Parameters'!$C$11="Enabled")</f>
        <v>0</v>
      </c>
      <c r="X271" t="b">
        <f t="shared" si="22"/>
        <v>0</v>
      </c>
      <c r="Y271" t="b">
        <f t="shared" si="23"/>
        <v>0</v>
      </c>
      <c r="Z271" t="b">
        <f t="shared" si="24"/>
        <v>0</v>
      </c>
    </row>
    <row r="272" spans="1:26" ht="15" customHeight="1">
      <c r="A272" t="s">
        <v>715</v>
      </c>
      <c r="B272" t="s">
        <v>718</v>
      </c>
      <c r="C272" s="14">
        <v>45805</v>
      </c>
      <c r="D272" s="14">
        <v>45801</v>
      </c>
      <c r="E272">
        <v>2025</v>
      </c>
      <c r="F272">
        <v>5</v>
      </c>
      <c r="G272" t="s">
        <v>199</v>
      </c>
      <c r="H272" t="s">
        <v>200</v>
      </c>
      <c r="I272" t="s">
        <v>146</v>
      </c>
      <c r="J272" s="15">
        <v>0</v>
      </c>
      <c r="K272" s="15">
        <v>72532.91</v>
      </c>
      <c r="L272" s="15">
        <f t="shared" si="20"/>
        <v>-72532.91</v>
      </c>
      <c r="M272" t="s">
        <v>195</v>
      </c>
      <c r="N272" t="s">
        <v>717</v>
      </c>
      <c r="O272" t="s">
        <v>197</v>
      </c>
      <c r="P272" t="s">
        <v>128</v>
      </c>
      <c r="Q272" t="s">
        <v>129</v>
      </c>
      <c r="R272" s="16">
        <v>45805.666666666701</v>
      </c>
      <c r="S272" t="s">
        <v>130</v>
      </c>
      <c r="V272" t="b">
        <f t="shared" si="21"/>
        <v>0</v>
      </c>
      <c r="W272" t="b">
        <f>AND(OR(WEEKDAY(C272,2)=5,WEEKDAY(C272,2)=6),'01_Parameters'!$C$11="Enabled")</f>
        <v>0</v>
      </c>
      <c r="X272" t="b">
        <f t="shared" si="22"/>
        <v>0</v>
      </c>
      <c r="Y272" t="b">
        <f t="shared" si="23"/>
        <v>0</v>
      </c>
      <c r="Z272" t="b">
        <f t="shared" si="24"/>
        <v>0</v>
      </c>
    </row>
    <row r="273" spans="1:26" ht="15" customHeight="1">
      <c r="A273" t="s">
        <v>719</v>
      </c>
      <c r="B273" t="s">
        <v>720</v>
      </c>
      <c r="C273" s="14">
        <v>45721</v>
      </c>
      <c r="D273" s="14">
        <v>45717</v>
      </c>
      <c r="E273">
        <v>2025</v>
      </c>
      <c r="F273">
        <v>3</v>
      </c>
      <c r="G273" t="s">
        <v>158</v>
      </c>
      <c r="H273" t="s">
        <v>159</v>
      </c>
      <c r="I273" t="s">
        <v>124</v>
      </c>
      <c r="J273" s="15">
        <v>60909.25</v>
      </c>
      <c r="K273" s="15">
        <v>0</v>
      </c>
      <c r="L273" s="15">
        <f t="shared" si="20"/>
        <v>60909.25</v>
      </c>
      <c r="M273" t="s">
        <v>160</v>
      </c>
      <c r="N273" t="s">
        <v>721</v>
      </c>
      <c r="O273" t="s">
        <v>162</v>
      </c>
      <c r="P273" t="s">
        <v>128</v>
      </c>
      <c r="Q273" t="s">
        <v>150</v>
      </c>
      <c r="R273" s="16">
        <v>45721.885416666701</v>
      </c>
      <c r="S273" t="s">
        <v>130</v>
      </c>
      <c r="V273" t="b">
        <f t="shared" si="21"/>
        <v>0</v>
      </c>
      <c r="W273" t="b">
        <f>AND(OR(WEEKDAY(C273,2)=5,WEEKDAY(C273,2)=6),'01_Parameters'!$C$11="Enabled")</f>
        <v>0</v>
      </c>
      <c r="X273" t="b">
        <f t="shared" si="22"/>
        <v>1</v>
      </c>
      <c r="Y273" t="b">
        <f t="shared" si="23"/>
        <v>0</v>
      </c>
      <c r="Z273" t="b">
        <f t="shared" si="24"/>
        <v>0</v>
      </c>
    </row>
    <row r="274" spans="1:26" ht="15" customHeight="1">
      <c r="A274" t="s">
        <v>719</v>
      </c>
      <c r="B274" t="s">
        <v>722</v>
      </c>
      <c r="C274" s="14">
        <v>45721</v>
      </c>
      <c r="D274" s="14">
        <v>45717</v>
      </c>
      <c r="E274">
        <v>2025</v>
      </c>
      <c r="F274">
        <v>3</v>
      </c>
      <c r="G274" t="s">
        <v>164</v>
      </c>
      <c r="H274" t="s">
        <v>165</v>
      </c>
      <c r="I274" t="s">
        <v>146</v>
      </c>
      <c r="J274" s="15">
        <v>0</v>
      </c>
      <c r="K274" s="15">
        <v>60909.25</v>
      </c>
      <c r="L274" s="15">
        <f t="shared" si="20"/>
        <v>-60909.25</v>
      </c>
      <c r="M274" t="s">
        <v>160</v>
      </c>
      <c r="N274" t="s">
        <v>721</v>
      </c>
      <c r="O274" t="s">
        <v>162</v>
      </c>
      <c r="P274" t="s">
        <v>128</v>
      </c>
      <c r="Q274" t="s">
        <v>150</v>
      </c>
      <c r="R274" s="16">
        <v>45721.885416666701</v>
      </c>
      <c r="S274" t="s">
        <v>130</v>
      </c>
      <c r="V274" t="b">
        <f t="shared" si="21"/>
        <v>0</v>
      </c>
      <c r="W274" t="b">
        <f>AND(OR(WEEKDAY(C274,2)=5,WEEKDAY(C274,2)=6),'01_Parameters'!$C$11="Enabled")</f>
        <v>0</v>
      </c>
      <c r="X274" t="b">
        <f t="shared" si="22"/>
        <v>1</v>
      </c>
      <c r="Y274" t="b">
        <f t="shared" si="23"/>
        <v>0</v>
      </c>
      <c r="Z274" t="b">
        <f t="shared" si="24"/>
        <v>0</v>
      </c>
    </row>
    <row r="275" spans="1:26" ht="15" customHeight="1">
      <c r="A275" t="s">
        <v>723</v>
      </c>
      <c r="B275" t="s">
        <v>724</v>
      </c>
      <c r="C275" s="14">
        <v>45986</v>
      </c>
      <c r="D275" s="14">
        <v>45983</v>
      </c>
      <c r="E275">
        <v>2025</v>
      </c>
      <c r="F275">
        <v>11</v>
      </c>
      <c r="G275" t="s">
        <v>144</v>
      </c>
      <c r="H275" t="s">
        <v>145</v>
      </c>
      <c r="I275" t="s">
        <v>146</v>
      </c>
      <c r="J275" s="15">
        <v>48535.78</v>
      </c>
      <c r="K275" s="15">
        <v>0</v>
      </c>
      <c r="L275" s="15">
        <f t="shared" si="20"/>
        <v>48535.78</v>
      </c>
      <c r="M275" t="s">
        <v>147</v>
      </c>
      <c r="N275" t="s">
        <v>725</v>
      </c>
      <c r="O275" t="s">
        <v>149</v>
      </c>
      <c r="P275" t="s">
        <v>140</v>
      </c>
      <c r="Q275" t="s">
        <v>150</v>
      </c>
      <c r="R275" s="16">
        <v>45986.520833333299</v>
      </c>
      <c r="S275" t="s">
        <v>130</v>
      </c>
      <c r="V275" t="b">
        <f t="shared" si="21"/>
        <v>0</v>
      </c>
      <c r="W275" t="b">
        <f>AND(OR(WEEKDAY(C275,2)=5,WEEKDAY(C275,2)=6),'01_Parameters'!$C$11="Enabled")</f>
        <v>0</v>
      </c>
      <c r="X275" t="b">
        <f t="shared" si="22"/>
        <v>0</v>
      </c>
      <c r="Y275" t="b">
        <f t="shared" si="23"/>
        <v>0</v>
      </c>
      <c r="Z275" t="b">
        <f t="shared" si="24"/>
        <v>0</v>
      </c>
    </row>
    <row r="276" spans="1:26" ht="15" customHeight="1">
      <c r="A276" t="s">
        <v>723</v>
      </c>
      <c r="B276" t="s">
        <v>726</v>
      </c>
      <c r="C276" s="14">
        <v>45986</v>
      </c>
      <c r="D276" s="14">
        <v>45983</v>
      </c>
      <c r="E276">
        <v>2025</v>
      </c>
      <c r="F276">
        <v>11</v>
      </c>
      <c r="G276" t="s">
        <v>153</v>
      </c>
      <c r="H276" t="s">
        <v>154</v>
      </c>
      <c r="I276" t="s">
        <v>155</v>
      </c>
      <c r="J276" s="15">
        <v>0</v>
      </c>
      <c r="K276" s="15">
        <v>48535.78</v>
      </c>
      <c r="L276" s="15">
        <f t="shared" si="20"/>
        <v>-48535.78</v>
      </c>
      <c r="M276" t="s">
        <v>147</v>
      </c>
      <c r="N276" t="s">
        <v>725</v>
      </c>
      <c r="O276" t="s">
        <v>149</v>
      </c>
      <c r="P276" t="s">
        <v>140</v>
      </c>
      <c r="Q276" t="s">
        <v>150</v>
      </c>
      <c r="R276" s="16">
        <v>45986.520833333299</v>
      </c>
      <c r="S276" t="s">
        <v>130</v>
      </c>
      <c r="V276" t="b">
        <f t="shared" si="21"/>
        <v>0</v>
      </c>
      <c r="W276" t="b">
        <f>AND(OR(WEEKDAY(C276,2)=5,WEEKDAY(C276,2)=6),'01_Parameters'!$C$11="Enabled")</f>
        <v>0</v>
      </c>
      <c r="X276" t="b">
        <f t="shared" si="22"/>
        <v>0</v>
      </c>
      <c r="Y276" t="b">
        <f t="shared" si="23"/>
        <v>0</v>
      </c>
      <c r="Z276" t="b">
        <f t="shared" si="24"/>
        <v>0</v>
      </c>
    </row>
    <row r="277" spans="1:26" ht="15" customHeight="1">
      <c r="A277" t="s">
        <v>727</v>
      </c>
      <c r="B277" t="s">
        <v>728</v>
      </c>
      <c r="C277" s="14">
        <v>45883</v>
      </c>
      <c r="D277" s="14">
        <v>45881</v>
      </c>
      <c r="E277">
        <v>2025</v>
      </c>
      <c r="F277">
        <v>8</v>
      </c>
      <c r="G277" t="s">
        <v>158</v>
      </c>
      <c r="H277" t="s">
        <v>159</v>
      </c>
      <c r="I277" t="s">
        <v>124</v>
      </c>
      <c r="J277" s="15">
        <v>52264.24</v>
      </c>
      <c r="K277" s="15">
        <v>0</v>
      </c>
      <c r="L277" s="15">
        <f t="shared" si="20"/>
        <v>52264.24</v>
      </c>
      <c r="M277" t="s">
        <v>160</v>
      </c>
      <c r="N277" t="s">
        <v>729</v>
      </c>
      <c r="O277" t="s">
        <v>162</v>
      </c>
      <c r="P277" t="s">
        <v>175</v>
      </c>
      <c r="Q277" t="s">
        <v>151</v>
      </c>
      <c r="R277" s="16">
        <v>45883.822916666701</v>
      </c>
      <c r="S277" t="s">
        <v>130</v>
      </c>
      <c r="V277" t="b">
        <f t="shared" si="21"/>
        <v>0</v>
      </c>
      <c r="W277" t="b">
        <f>AND(OR(WEEKDAY(C277,2)=5,WEEKDAY(C277,2)=6),'01_Parameters'!$C$11="Enabled")</f>
        <v>0</v>
      </c>
      <c r="X277" t="b">
        <f t="shared" si="22"/>
        <v>1</v>
      </c>
      <c r="Y277" t="b">
        <f t="shared" si="23"/>
        <v>0</v>
      </c>
      <c r="Z277" t="b">
        <f t="shared" si="24"/>
        <v>0</v>
      </c>
    </row>
    <row r="278" spans="1:26" ht="15" customHeight="1">
      <c r="A278" t="s">
        <v>727</v>
      </c>
      <c r="B278" t="s">
        <v>730</v>
      </c>
      <c r="C278" s="14">
        <v>45883</v>
      </c>
      <c r="D278" s="14">
        <v>45881</v>
      </c>
      <c r="E278">
        <v>2025</v>
      </c>
      <c r="F278">
        <v>8</v>
      </c>
      <c r="G278" t="s">
        <v>164</v>
      </c>
      <c r="H278" t="s">
        <v>165</v>
      </c>
      <c r="I278" t="s">
        <v>146</v>
      </c>
      <c r="J278" s="15">
        <v>0</v>
      </c>
      <c r="K278" s="15">
        <v>52264.24</v>
      </c>
      <c r="L278" s="15">
        <f t="shared" si="20"/>
        <v>-52264.24</v>
      </c>
      <c r="M278" t="s">
        <v>160</v>
      </c>
      <c r="N278" t="s">
        <v>729</v>
      </c>
      <c r="O278" t="s">
        <v>162</v>
      </c>
      <c r="P278" t="s">
        <v>175</v>
      </c>
      <c r="Q278" t="s">
        <v>151</v>
      </c>
      <c r="R278" s="16">
        <v>45883.822916666701</v>
      </c>
      <c r="S278" t="s">
        <v>130</v>
      </c>
      <c r="V278" t="b">
        <f t="shared" si="21"/>
        <v>0</v>
      </c>
      <c r="W278" t="b">
        <f>AND(OR(WEEKDAY(C278,2)=5,WEEKDAY(C278,2)=6),'01_Parameters'!$C$11="Enabled")</f>
        <v>0</v>
      </c>
      <c r="X278" t="b">
        <f t="shared" si="22"/>
        <v>1</v>
      </c>
      <c r="Y278" t="b">
        <f t="shared" si="23"/>
        <v>0</v>
      </c>
      <c r="Z278" t="b">
        <f t="shared" si="24"/>
        <v>0</v>
      </c>
    </row>
    <row r="279" spans="1:26" ht="15" customHeight="1">
      <c r="A279" t="s">
        <v>731</v>
      </c>
      <c r="B279" t="s">
        <v>732</v>
      </c>
      <c r="C279" s="14">
        <v>45796</v>
      </c>
      <c r="D279" s="14">
        <v>45793</v>
      </c>
      <c r="E279">
        <v>2025</v>
      </c>
      <c r="F279">
        <v>5</v>
      </c>
      <c r="G279" t="s">
        <v>207</v>
      </c>
      <c r="H279" t="s">
        <v>208</v>
      </c>
      <c r="I279" t="s">
        <v>124</v>
      </c>
      <c r="J279" s="15">
        <v>65863.259999999995</v>
      </c>
      <c r="K279" s="15">
        <v>0</v>
      </c>
      <c r="L279" s="15">
        <f t="shared" si="20"/>
        <v>65863.259999999995</v>
      </c>
      <c r="M279" t="s">
        <v>209</v>
      </c>
      <c r="N279" t="s">
        <v>733</v>
      </c>
      <c r="O279" t="s">
        <v>211</v>
      </c>
      <c r="P279" t="s">
        <v>128</v>
      </c>
      <c r="Q279" t="s">
        <v>151</v>
      </c>
      <c r="R279" s="16">
        <v>45796.40625</v>
      </c>
      <c r="S279" t="s">
        <v>130</v>
      </c>
      <c r="T279" t="s">
        <v>705</v>
      </c>
      <c r="U279" t="s">
        <v>733</v>
      </c>
      <c r="V279" t="b">
        <f t="shared" si="21"/>
        <v>0</v>
      </c>
      <c r="W279" t="b">
        <f>AND(OR(WEEKDAY(C279,2)=5,WEEKDAY(C279,2)=6),'01_Parameters'!$C$11="Enabled")</f>
        <v>0</v>
      </c>
      <c r="X279" t="b">
        <f t="shared" si="22"/>
        <v>0</v>
      </c>
      <c r="Y279" t="b">
        <f t="shared" si="23"/>
        <v>0</v>
      </c>
      <c r="Z279" t="b">
        <f t="shared" si="24"/>
        <v>0</v>
      </c>
    </row>
    <row r="280" spans="1:26" ht="15" customHeight="1">
      <c r="A280" t="s">
        <v>731</v>
      </c>
      <c r="B280" t="s">
        <v>734</v>
      </c>
      <c r="C280" s="14">
        <v>45796</v>
      </c>
      <c r="D280" s="14">
        <v>45793</v>
      </c>
      <c r="E280">
        <v>2025</v>
      </c>
      <c r="F280">
        <v>5</v>
      </c>
      <c r="G280" t="s">
        <v>132</v>
      </c>
      <c r="H280" t="s">
        <v>133</v>
      </c>
      <c r="I280" t="s">
        <v>134</v>
      </c>
      <c r="J280" s="15">
        <v>0</v>
      </c>
      <c r="K280" s="15">
        <v>65863.259999999995</v>
      </c>
      <c r="L280" s="15">
        <f t="shared" si="20"/>
        <v>-65863.259999999995</v>
      </c>
      <c r="M280" t="s">
        <v>209</v>
      </c>
      <c r="N280" t="s">
        <v>733</v>
      </c>
      <c r="O280" t="s">
        <v>211</v>
      </c>
      <c r="P280" t="s">
        <v>128</v>
      </c>
      <c r="Q280" t="s">
        <v>151</v>
      </c>
      <c r="R280" s="16">
        <v>45796.40625</v>
      </c>
      <c r="S280" t="s">
        <v>130</v>
      </c>
      <c r="T280" t="s">
        <v>705</v>
      </c>
      <c r="U280" t="s">
        <v>733</v>
      </c>
      <c r="V280" t="b">
        <f t="shared" si="21"/>
        <v>0</v>
      </c>
      <c r="W280" t="b">
        <f>AND(OR(WEEKDAY(C280,2)=5,WEEKDAY(C280,2)=6),'01_Parameters'!$C$11="Enabled")</f>
        <v>0</v>
      </c>
      <c r="X280" t="b">
        <f t="shared" si="22"/>
        <v>0</v>
      </c>
      <c r="Y280" t="b">
        <f t="shared" si="23"/>
        <v>0</v>
      </c>
      <c r="Z280" t="b">
        <f t="shared" si="24"/>
        <v>0</v>
      </c>
    </row>
    <row r="281" spans="1:26" ht="15" customHeight="1">
      <c r="A281" t="s">
        <v>735</v>
      </c>
      <c r="B281" t="s">
        <v>736</v>
      </c>
      <c r="C281" s="14">
        <v>45841</v>
      </c>
      <c r="D281" s="14">
        <v>45836</v>
      </c>
      <c r="E281">
        <v>2025</v>
      </c>
      <c r="F281">
        <v>7</v>
      </c>
      <c r="G281" t="s">
        <v>144</v>
      </c>
      <c r="H281" t="s">
        <v>145</v>
      </c>
      <c r="I281" t="s">
        <v>146</v>
      </c>
      <c r="J281" s="15">
        <v>66988.289999999994</v>
      </c>
      <c r="K281" s="15">
        <v>0</v>
      </c>
      <c r="L281" s="15">
        <f t="shared" si="20"/>
        <v>66988.289999999994</v>
      </c>
      <c r="M281" t="s">
        <v>147</v>
      </c>
      <c r="N281" t="s">
        <v>737</v>
      </c>
      <c r="O281" t="s">
        <v>149</v>
      </c>
      <c r="P281" t="s">
        <v>140</v>
      </c>
      <c r="Q281" t="s">
        <v>128</v>
      </c>
      <c r="R281" s="16">
        <v>45841.302083333299</v>
      </c>
      <c r="S281" t="s">
        <v>130</v>
      </c>
      <c r="V281" t="b">
        <f t="shared" si="21"/>
        <v>0</v>
      </c>
      <c r="W281" t="b">
        <f>AND(OR(WEEKDAY(C281,2)=5,WEEKDAY(C281,2)=6),'01_Parameters'!$C$11="Enabled")</f>
        <v>0</v>
      </c>
      <c r="X281" t="b">
        <f t="shared" si="22"/>
        <v>1</v>
      </c>
      <c r="Y281" t="b">
        <f t="shared" si="23"/>
        <v>0</v>
      </c>
      <c r="Z281" t="b">
        <f t="shared" si="24"/>
        <v>0</v>
      </c>
    </row>
    <row r="282" spans="1:26" ht="15" customHeight="1">
      <c r="A282" t="s">
        <v>735</v>
      </c>
      <c r="B282" t="s">
        <v>738</v>
      </c>
      <c r="C282" s="14">
        <v>45841</v>
      </c>
      <c r="D282" s="14">
        <v>45836</v>
      </c>
      <c r="E282">
        <v>2025</v>
      </c>
      <c r="F282">
        <v>7</v>
      </c>
      <c r="G282" t="s">
        <v>153</v>
      </c>
      <c r="H282" t="s">
        <v>154</v>
      </c>
      <c r="I282" t="s">
        <v>155</v>
      </c>
      <c r="J282" s="15">
        <v>0</v>
      </c>
      <c r="K282" s="15">
        <v>66988.289999999994</v>
      </c>
      <c r="L282" s="15">
        <f t="shared" si="20"/>
        <v>-66988.289999999994</v>
      </c>
      <c r="M282" t="s">
        <v>147</v>
      </c>
      <c r="N282" t="s">
        <v>737</v>
      </c>
      <c r="O282" t="s">
        <v>149</v>
      </c>
      <c r="P282" t="s">
        <v>140</v>
      </c>
      <c r="Q282" t="s">
        <v>128</v>
      </c>
      <c r="R282" s="16">
        <v>45841.302083333299</v>
      </c>
      <c r="S282" t="s">
        <v>130</v>
      </c>
      <c r="V282" t="b">
        <f t="shared" si="21"/>
        <v>0</v>
      </c>
      <c r="W282" t="b">
        <f>AND(OR(WEEKDAY(C282,2)=5,WEEKDAY(C282,2)=6),'01_Parameters'!$C$11="Enabled")</f>
        <v>0</v>
      </c>
      <c r="X282" t="b">
        <f t="shared" si="22"/>
        <v>1</v>
      </c>
      <c r="Y282" t="b">
        <f t="shared" si="23"/>
        <v>0</v>
      </c>
      <c r="Z282" t="b">
        <f t="shared" si="24"/>
        <v>0</v>
      </c>
    </row>
    <row r="283" spans="1:26" ht="15" customHeight="1">
      <c r="A283" t="s">
        <v>739</v>
      </c>
      <c r="B283" t="s">
        <v>740</v>
      </c>
      <c r="C283" s="14">
        <v>46012</v>
      </c>
      <c r="D283" s="14">
        <v>46009</v>
      </c>
      <c r="E283">
        <v>2025</v>
      </c>
      <c r="F283">
        <v>12</v>
      </c>
      <c r="G283" t="s">
        <v>137</v>
      </c>
      <c r="H283" t="s">
        <v>138</v>
      </c>
      <c r="I283" t="s">
        <v>124</v>
      </c>
      <c r="J283" s="15">
        <v>86031.19</v>
      </c>
      <c r="K283" s="15">
        <v>0</v>
      </c>
      <c r="L283" s="15">
        <f t="shared" si="20"/>
        <v>86031.19</v>
      </c>
      <c r="M283" t="s">
        <v>125</v>
      </c>
      <c r="N283" t="s">
        <v>741</v>
      </c>
      <c r="O283" t="s">
        <v>127</v>
      </c>
      <c r="P283" t="s">
        <v>150</v>
      </c>
      <c r="Q283" t="s">
        <v>129</v>
      </c>
      <c r="R283" s="16">
        <v>46012.34375</v>
      </c>
      <c r="S283" t="s">
        <v>130</v>
      </c>
      <c r="V283" t="b">
        <f t="shared" si="21"/>
        <v>1</v>
      </c>
      <c r="W283" t="b">
        <f>AND(OR(WEEKDAY(C283,2)=5,WEEKDAY(C283,2)=6),'01_Parameters'!$C$11="Enabled")</f>
        <v>0</v>
      </c>
      <c r="X283" t="b">
        <f t="shared" si="22"/>
        <v>0</v>
      </c>
      <c r="Y283" t="b">
        <f t="shared" si="23"/>
        <v>0</v>
      </c>
      <c r="Z283" t="b">
        <f t="shared" si="24"/>
        <v>0</v>
      </c>
    </row>
    <row r="284" spans="1:26" ht="15" customHeight="1">
      <c r="A284" t="s">
        <v>739</v>
      </c>
      <c r="B284" t="s">
        <v>742</v>
      </c>
      <c r="C284" s="14">
        <v>46012</v>
      </c>
      <c r="D284" s="14">
        <v>46009</v>
      </c>
      <c r="E284">
        <v>2025</v>
      </c>
      <c r="F284">
        <v>12</v>
      </c>
      <c r="G284" t="s">
        <v>132</v>
      </c>
      <c r="H284" t="s">
        <v>133</v>
      </c>
      <c r="I284" t="s">
        <v>134</v>
      </c>
      <c r="J284" s="15">
        <v>0</v>
      </c>
      <c r="K284" s="15">
        <v>86031.19</v>
      </c>
      <c r="L284" s="15">
        <f t="shared" si="20"/>
        <v>-86031.19</v>
      </c>
      <c r="M284" t="s">
        <v>125</v>
      </c>
      <c r="N284" t="s">
        <v>741</v>
      </c>
      <c r="O284" t="s">
        <v>127</v>
      </c>
      <c r="P284" t="s">
        <v>150</v>
      </c>
      <c r="Q284" t="s">
        <v>129</v>
      </c>
      <c r="R284" s="16">
        <v>46012.34375</v>
      </c>
      <c r="S284" t="s">
        <v>130</v>
      </c>
      <c r="V284" t="b">
        <f t="shared" si="21"/>
        <v>1</v>
      </c>
      <c r="W284" t="b">
        <f>AND(OR(WEEKDAY(C284,2)=5,WEEKDAY(C284,2)=6),'01_Parameters'!$C$11="Enabled")</f>
        <v>0</v>
      </c>
      <c r="X284" t="b">
        <f t="shared" si="22"/>
        <v>0</v>
      </c>
      <c r="Y284" t="b">
        <f t="shared" si="23"/>
        <v>0</v>
      </c>
      <c r="Z284" t="b">
        <f t="shared" si="24"/>
        <v>0</v>
      </c>
    </row>
    <row r="285" spans="1:26" ht="15" customHeight="1">
      <c r="A285" t="s">
        <v>743</v>
      </c>
      <c r="B285" t="s">
        <v>744</v>
      </c>
      <c r="C285" s="14">
        <v>45681</v>
      </c>
      <c r="D285" s="14">
        <v>45677</v>
      </c>
      <c r="E285">
        <v>2025</v>
      </c>
      <c r="F285">
        <v>1</v>
      </c>
      <c r="G285" t="s">
        <v>193</v>
      </c>
      <c r="H285" t="s">
        <v>194</v>
      </c>
      <c r="I285" t="s">
        <v>124</v>
      </c>
      <c r="J285" s="15">
        <v>80542.850000000006</v>
      </c>
      <c r="K285" s="15">
        <v>0</v>
      </c>
      <c r="L285" s="15">
        <f t="shared" si="20"/>
        <v>80542.850000000006</v>
      </c>
      <c r="M285" t="s">
        <v>195</v>
      </c>
      <c r="N285" t="s">
        <v>745</v>
      </c>
      <c r="O285" t="s">
        <v>197</v>
      </c>
      <c r="P285" t="s">
        <v>150</v>
      </c>
      <c r="Q285" t="s">
        <v>175</v>
      </c>
      <c r="R285" s="16">
        <v>45681.84375</v>
      </c>
      <c r="S285" t="s">
        <v>130</v>
      </c>
      <c r="V285" t="b">
        <f t="shared" si="21"/>
        <v>0</v>
      </c>
      <c r="W285" t="b">
        <f>AND(OR(WEEKDAY(C285,2)=5,WEEKDAY(C285,2)=6),'01_Parameters'!$C$11="Enabled")</f>
        <v>1</v>
      </c>
      <c r="X285" t="b">
        <f t="shared" si="22"/>
        <v>1</v>
      </c>
      <c r="Y285" t="b">
        <f t="shared" si="23"/>
        <v>0</v>
      </c>
      <c r="Z285" t="b">
        <f t="shared" si="24"/>
        <v>0</v>
      </c>
    </row>
    <row r="286" spans="1:26" ht="15" customHeight="1">
      <c r="A286" t="s">
        <v>743</v>
      </c>
      <c r="B286" t="s">
        <v>746</v>
      </c>
      <c r="C286" s="14">
        <v>45681</v>
      </c>
      <c r="D286" s="14">
        <v>45677</v>
      </c>
      <c r="E286">
        <v>2025</v>
      </c>
      <c r="F286">
        <v>1</v>
      </c>
      <c r="G286" t="s">
        <v>199</v>
      </c>
      <c r="H286" t="s">
        <v>200</v>
      </c>
      <c r="I286" t="s">
        <v>146</v>
      </c>
      <c r="J286" s="15">
        <v>0</v>
      </c>
      <c r="K286" s="15">
        <v>80542.850000000006</v>
      </c>
      <c r="L286" s="15">
        <f t="shared" si="20"/>
        <v>-80542.850000000006</v>
      </c>
      <c r="M286" t="s">
        <v>195</v>
      </c>
      <c r="N286" t="s">
        <v>745</v>
      </c>
      <c r="O286" t="s">
        <v>197</v>
      </c>
      <c r="P286" t="s">
        <v>150</v>
      </c>
      <c r="Q286" t="s">
        <v>175</v>
      </c>
      <c r="R286" s="16">
        <v>45681.84375</v>
      </c>
      <c r="S286" t="s">
        <v>130</v>
      </c>
      <c r="V286" t="b">
        <f t="shared" si="21"/>
        <v>0</v>
      </c>
      <c r="W286" t="b">
        <f>AND(OR(WEEKDAY(C286,2)=5,WEEKDAY(C286,2)=6),'01_Parameters'!$C$11="Enabled")</f>
        <v>1</v>
      </c>
      <c r="X286" t="b">
        <f t="shared" si="22"/>
        <v>1</v>
      </c>
      <c r="Y286" t="b">
        <f t="shared" si="23"/>
        <v>0</v>
      </c>
      <c r="Z286" t="b">
        <f t="shared" si="24"/>
        <v>0</v>
      </c>
    </row>
    <row r="287" spans="1:26" ht="15" customHeight="1">
      <c r="A287" t="s">
        <v>747</v>
      </c>
      <c r="B287" t="s">
        <v>748</v>
      </c>
      <c r="C287" s="14">
        <v>45685</v>
      </c>
      <c r="D287" s="14">
        <v>45681</v>
      </c>
      <c r="E287">
        <v>2025</v>
      </c>
      <c r="F287">
        <v>1</v>
      </c>
      <c r="G287" t="s">
        <v>179</v>
      </c>
      <c r="H287" t="s">
        <v>180</v>
      </c>
      <c r="I287" t="s">
        <v>124</v>
      </c>
      <c r="J287" s="15">
        <v>7349.9</v>
      </c>
      <c r="K287" s="15">
        <v>0</v>
      </c>
      <c r="L287" s="15">
        <f t="shared" si="20"/>
        <v>7349.9</v>
      </c>
      <c r="M287" t="s">
        <v>181</v>
      </c>
      <c r="N287" t="s">
        <v>749</v>
      </c>
      <c r="O287" t="s">
        <v>183</v>
      </c>
      <c r="P287" t="s">
        <v>140</v>
      </c>
      <c r="Q287" t="s">
        <v>151</v>
      </c>
      <c r="R287" s="16">
        <v>45685.802083333299</v>
      </c>
      <c r="S287" t="s">
        <v>130</v>
      </c>
      <c r="V287" t="b">
        <f t="shared" si="21"/>
        <v>0</v>
      </c>
      <c r="W287" t="b">
        <f>AND(OR(WEEKDAY(C287,2)=5,WEEKDAY(C287,2)=6),'01_Parameters'!$C$11="Enabled")</f>
        <v>0</v>
      </c>
      <c r="X287" t="b">
        <f t="shared" si="22"/>
        <v>1</v>
      </c>
      <c r="Y287" t="b">
        <f t="shared" si="23"/>
        <v>0</v>
      </c>
      <c r="Z287" t="b">
        <f t="shared" si="24"/>
        <v>0</v>
      </c>
    </row>
    <row r="288" spans="1:26" ht="15" customHeight="1">
      <c r="A288" t="s">
        <v>747</v>
      </c>
      <c r="B288" t="s">
        <v>750</v>
      </c>
      <c r="C288" s="14">
        <v>45685</v>
      </c>
      <c r="D288" s="14">
        <v>45681</v>
      </c>
      <c r="E288">
        <v>2025</v>
      </c>
      <c r="F288">
        <v>1</v>
      </c>
      <c r="G288" t="s">
        <v>185</v>
      </c>
      <c r="H288" t="s">
        <v>186</v>
      </c>
      <c r="I288" t="s">
        <v>134</v>
      </c>
      <c r="J288" s="15">
        <v>0</v>
      </c>
      <c r="K288" s="15">
        <v>7349.9</v>
      </c>
      <c r="L288" s="15">
        <f t="shared" si="20"/>
        <v>-7349.9</v>
      </c>
      <c r="M288" t="s">
        <v>181</v>
      </c>
      <c r="N288" t="s">
        <v>749</v>
      </c>
      <c r="O288" t="s">
        <v>183</v>
      </c>
      <c r="P288" t="s">
        <v>140</v>
      </c>
      <c r="Q288" t="s">
        <v>151</v>
      </c>
      <c r="R288" s="16">
        <v>45685.802083333299</v>
      </c>
      <c r="S288" t="s">
        <v>130</v>
      </c>
      <c r="V288" t="b">
        <f t="shared" si="21"/>
        <v>0</v>
      </c>
      <c r="W288" t="b">
        <f>AND(OR(WEEKDAY(C288,2)=5,WEEKDAY(C288,2)=6),'01_Parameters'!$C$11="Enabled")</f>
        <v>0</v>
      </c>
      <c r="X288" t="b">
        <f t="shared" si="22"/>
        <v>1</v>
      </c>
      <c r="Y288" t="b">
        <f t="shared" si="23"/>
        <v>0</v>
      </c>
      <c r="Z288" t="b">
        <f t="shared" si="24"/>
        <v>0</v>
      </c>
    </row>
    <row r="289" spans="1:26" ht="15" customHeight="1">
      <c r="A289" t="s">
        <v>751</v>
      </c>
      <c r="B289" t="s">
        <v>752</v>
      </c>
      <c r="C289" s="14">
        <v>45728</v>
      </c>
      <c r="D289" s="14">
        <v>45726</v>
      </c>
      <c r="E289">
        <v>2025</v>
      </c>
      <c r="F289">
        <v>3</v>
      </c>
      <c r="G289" t="s">
        <v>158</v>
      </c>
      <c r="H289" t="s">
        <v>159</v>
      </c>
      <c r="I289" t="s">
        <v>124</v>
      </c>
      <c r="J289" s="15">
        <v>71350.48</v>
      </c>
      <c r="K289" s="15">
        <v>0</v>
      </c>
      <c r="L289" s="15">
        <f t="shared" si="20"/>
        <v>71350.48</v>
      </c>
      <c r="M289" t="s">
        <v>160</v>
      </c>
      <c r="N289" t="s">
        <v>753</v>
      </c>
      <c r="O289" t="s">
        <v>162</v>
      </c>
      <c r="P289" t="s">
        <v>129</v>
      </c>
      <c r="Q289" t="s">
        <v>128</v>
      </c>
      <c r="R289" s="16">
        <v>45728.729166666701</v>
      </c>
      <c r="S289" t="s">
        <v>130</v>
      </c>
      <c r="V289" t="b">
        <f t="shared" si="21"/>
        <v>0</v>
      </c>
      <c r="W289" t="b">
        <f>AND(OR(WEEKDAY(C289,2)=5,WEEKDAY(C289,2)=6),'01_Parameters'!$C$11="Enabled")</f>
        <v>0</v>
      </c>
      <c r="X289" t="b">
        <f t="shared" si="22"/>
        <v>0</v>
      </c>
      <c r="Y289" t="b">
        <f t="shared" si="23"/>
        <v>0</v>
      </c>
      <c r="Z289" t="b">
        <f t="shared" si="24"/>
        <v>0</v>
      </c>
    </row>
    <row r="290" spans="1:26" ht="15" customHeight="1">
      <c r="A290" t="s">
        <v>751</v>
      </c>
      <c r="B290" t="s">
        <v>754</v>
      </c>
      <c r="C290" s="14">
        <v>45728</v>
      </c>
      <c r="D290" s="14">
        <v>45726</v>
      </c>
      <c r="E290">
        <v>2025</v>
      </c>
      <c r="F290">
        <v>3</v>
      </c>
      <c r="G290" t="s">
        <v>164</v>
      </c>
      <c r="H290" t="s">
        <v>165</v>
      </c>
      <c r="I290" t="s">
        <v>146</v>
      </c>
      <c r="J290" s="15">
        <v>0</v>
      </c>
      <c r="K290" s="15">
        <v>71350.48</v>
      </c>
      <c r="L290" s="15">
        <f t="shared" si="20"/>
        <v>-71350.48</v>
      </c>
      <c r="M290" t="s">
        <v>160</v>
      </c>
      <c r="N290" t="s">
        <v>753</v>
      </c>
      <c r="O290" t="s">
        <v>162</v>
      </c>
      <c r="P290" t="s">
        <v>129</v>
      </c>
      <c r="Q290" t="s">
        <v>128</v>
      </c>
      <c r="R290" s="16">
        <v>45728.729166666701</v>
      </c>
      <c r="S290" t="s">
        <v>130</v>
      </c>
      <c r="V290" t="b">
        <f t="shared" si="21"/>
        <v>0</v>
      </c>
      <c r="W290" t="b">
        <f>AND(OR(WEEKDAY(C290,2)=5,WEEKDAY(C290,2)=6),'01_Parameters'!$C$11="Enabled")</f>
        <v>0</v>
      </c>
      <c r="X290" t="b">
        <f t="shared" si="22"/>
        <v>0</v>
      </c>
      <c r="Y290" t="b">
        <f t="shared" si="23"/>
        <v>0</v>
      </c>
      <c r="Z290" t="b">
        <f t="shared" si="24"/>
        <v>0</v>
      </c>
    </row>
    <row r="291" spans="1:26" ht="15" customHeight="1">
      <c r="A291" t="s">
        <v>755</v>
      </c>
      <c r="B291" t="s">
        <v>756</v>
      </c>
      <c r="C291" s="14">
        <v>45923</v>
      </c>
      <c r="D291" s="14">
        <v>45922</v>
      </c>
      <c r="E291">
        <v>2025</v>
      </c>
      <c r="F291">
        <v>9</v>
      </c>
      <c r="G291" t="s">
        <v>179</v>
      </c>
      <c r="H291" t="s">
        <v>180</v>
      </c>
      <c r="I291" t="s">
        <v>124</v>
      </c>
      <c r="J291" s="15">
        <v>1567.76</v>
      </c>
      <c r="K291" s="15">
        <v>0</v>
      </c>
      <c r="L291" s="15">
        <f t="shared" si="20"/>
        <v>1567.76</v>
      </c>
      <c r="M291" t="s">
        <v>181</v>
      </c>
      <c r="N291" t="s">
        <v>757</v>
      </c>
      <c r="O291" t="s">
        <v>183</v>
      </c>
      <c r="P291" t="s">
        <v>150</v>
      </c>
      <c r="Q291" t="s">
        <v>140</v>
      </c>
      <c r="R291" s="16">
        <v>45923.354166666701</v>
      </c>
      <c r="S291" t="s">
        <v>130</v>
      </c>
      <c r="V291" t="b">
        <f t="shared" si="21"/>
        <v>0</v>
      </c>
      <c r="W291" t="b">
        <f>AND(OR(WEEKDAY(C291,2)=5,WEEKDAY(C291,2)=6),'01_Parameters'!$C$11="Enabled")</f>
        <v>0</v>
      </c>
      <c r="X291" t="b">
        <f t="shared" si="22"/>
        <v>0</v>
      </c>
      <c r="Y291" t="b">
        <f t="shared" si="23"/>
        <v>0</v>
      </c>
      <c r="Z291" t="b">
        <f t="shared" si="24"/>
        <v>0</v>
      </c>
    </row>
    <row r="292" spans="1:26" ht="15" customHeight="1">
      <c r="A292" t="s">
        <v>755</v>
      </c>
      <c r="B292" t="s">
        <v>758</v>
      </c>
      <c r="C292" s="14">
        <v>45923</v>
      </c>
      <c r="D292" s="14">
        <v>45922</v>
      </c>
      <c r="E292">
        <v>2025</v>
      </c>
      <c r="F292">
        <v>9</v>
      </c>
      <c r="G292" t="s">
        <v>185</v>
      </c>
      <c r="H292" t="s">
        <v>186</v>
      </c>
      <c r="I292" t="s">
        <v>134</v>
      </c>
      <c r="J292" s="15">
        <v>0</v>
      </c>
      <c r="K292" s="15">
        <v>1567.76</v>
      </c>
      <c r="L292" s="15">
        <f t="shared" si="20"/>
        <v>-1567.76</v>
      </c>
      <c r="M292" t="s">
        <v>181</v>
      </c>
      <c r="N292" t="s">
        <v>757</v>
      </c>
      <c r="O292" t="s">
        <v>183</v>
      </c>
      <c r="P292" t="s">
        <v>150</v>
      </c>
      <c r="Q292" t="s">
        <v>140</v>
      </c>
      <c r="R292" s="16">
        <v>45923.354166666701</v>
      </c>
      <c r="S292" t="s">
        <v>130</v>
      </c>
      <c r="V292" t="b">
        <f t="shared" si="21"/>
        <v>0</v>
      </c>
      <c r="W292" t="b">
        <f>AND(OR(WEEKDAY(C292,2)=5,WEEKDAY(C292,2)=6),'01_Parameters'!$C$11="Enabled")</f>
        <v>0</v>
      </c>
      <c r="X292" t="b">
        <f t="shared" si="22"/>
        <v>0</v>
      </c>
      <c r="Y292" t="b">
        <f t="shared" si="23"/>
        <v>0</v>
      </c>
      <c r="Z292" t="b">
        <f t="shared" si="24"/>
        <v>0</v>
      </c>
    </row>
    <row r="293" spans="1:26" ht="15" customHeight="1">
      <c r="A293" t="s">
        <v>759</v>
      </c>
      <c r="B293" t="s">
        <v>760</v>
      </c>
      <c r="C293" s="14">
        <v>45918</v>
      </c>
      <c r="D293" s="14">
        <v>45914</v>
      </c>
      <c r="E293">
        <v>2025</v>
      </c>
      <c r="F293">
        <v>9</v>
      </c>
      <c r="G293" t="s">
        <v>193</v>
      </c>
      <c r="H293" t="s">
        <v>194</v>
      </c>
      <c r="I293" t="s">
        <v>124</v>
      </c>
      <c r="J293" s="15">
        <v>59865.75</v>
      </c>
      <c r="K293" s="15">
        <v>0</v>
      </c>
      <c r="L293" s="15">
        <f t="shared" si="20"/>
        <v>59865.75</v>
      </c>
      <c r="M293" t="s">
        <v>195</v>
      </c>
      <c r="N293" t="s">
        <v>761</v>
      </c>
      <c r="O293" t="s">
        <v>197</v>
      </c>
      <c r="P293" t="s">
        <v>151</v>
      </c>
      <c r="Q293" t="s">
        <v>175</v>
      </c>
      <c r="R293" s="16">
        <v>45918.854166666701</v>
      </c>
      <c r="S293" t="s">
        <v>130</v>
      </c>
      <c r="V293" t="b">
        <f t="shared" si="21"/>
        <v>0</v>
      </c>
      <c r="W293" t="b">
        <f>AND(OR(WEEKDAY(C293,2)=5,WEEKDAY(C293,2)=6),'01_Parameters'!$C$11="Enabled")</f>
        <v>0</v>
      </c>
      <c r="X293" t="b">
        <f t="shared" si="22"/>
        <v>1</v>
      </c>
      <c r="Y293" t="b">
        <f t="shared" si="23"/>
        <v>0</v>
      </c>
      <c r="Z293" t="b">
        <f t="shared" si="24"/>
        <v>0</v>
      </c>
    </row>
    <row r="294" spans="1:26" ht="15" customHeight="1">
      <c r="A294" t="s">
        <v>759</v>
      </c>
      <c r="B294" t="s">
        <v>762</v>
      </c>
      <c r="C294" s="14">
        <v>45918</v>
      </c>
      <c r="D294" s="14">
        <v>45914</v>
      </c>
      <c r="E294">
        <v>2025</v>
      </c>
      <c r="F294">
        <v>9</v>
      </c>
      <c r="G294" t="s">
        <v>199</v>
      </c>
      <c r="H294" t="s">
        <v>200</v>
      </c>
      <c r="I294" t="s">
        <v>146</v>
      </c>
      <c r="J294" s="15">
        <v>0</v>
      </c>
      <c r="K294" s="15">
        <v>59865.75</v>
      </c>
      <c r="L294" s="15">
        <f t="shared" si="20"/>
        <v>-59865.75</v>
      </c>
      <c r="M294" t="s">
        <v>195</v>
      </c>
      <c r="N294" t="s">
        <v>761</v>
      </c>
      <c r="O294" t="s">
        <v>197</v>
      </c>
      <c r="P294" t="s">
        <v>151</v>
      </c>
      <c r="Q294" t="s">
        <v>175</v>
      </c>
      <c r="R294" s="16">
        <v>45918.854166666701</v>
      </c>
      <c r="S294" t="s">
        <v>130</v>
      </c>
      <c r="V294" t="b">
        <f t="shared" si="21"/>
        <v>0</v>
      </c>
      <c r="W294" t="b">
        <f>AND(OR(WEEKDAY(C294,2)=5,WEEKDAY(C294,2)=6),'01_Parameters'!$C$11="Enabled")</f>
        <v>0</v>
      </c>
      <c r="X294" t="b">
        <f t="shared" si="22"/>
        <v>1</v>
      </c>
      <c r="Y294" t="b">
        <f t="shared" si="23"/>
        <v>0</v>
      </c>
      <c r="Z294" t="b">
        <f t="shared" si="24"/>
        <v>0</v>
      </c>
    </row>
    <row r="295" spans="1:26" ht="15" customHeight="1">
      <c r="A295" t="s">
        <v>763</v>
      </c>
      <c r="B295" t="s">
        <v>764</v>
      </c>
      <c r="C295" s="14">
        <v>45743</v>
      </c>
      <c r="D295" s="14">
        <v>45743</v>
      </c>
      <c r="E295">
        <v>2025</v>
      </c>
      <c r="F295">
        <v>3</v>
      </c>
      <c r="G295" t="s">
        <v>158</v>
      </c>
      <c r="H295" t="s">
        <v>159</v>
      </c>
      <c r="I295" t="s">
        <v>124</v>
      </c>
      <c r="J295" s="15">
        <v>8300.59</v>
      </c>
      <c r="K295" s="15">
        <v>0</v>
      </c>
      <c r="L295" s="15">
        <f t="shared" si="20"/>
        <v>8300.59</v>
      </c>
      <c r="M295" t="s">
        <v>160</v>
      </c>
      <c r="N295" t="s">
        <v>765</v>
      </c>
      <c r="O295" t="s">
        <v>162</v>
      </c>
      <c r="P295" t="s">
        <v>140</v>
      </c>
      <c r="Q295" t="s">
        <v>150</v>
      </c>
      <c r="R295" s="16">
        <v>45743.458333333299</v>
      </c>
      <c r="S295" t="s">
        <v>130</v>
      </c>
      <c r="V295" t="b">
        <f t="shared" si="21"/>
        <v>0</v>
      </c>
      <c r="W295" t="b">
        <f>AND(OR(WEEKDAY(C295,2)=5,WEEKDAY(C295,2)=6),'01_Parameters'!$C$11="Enabled")</f>
        <v>0</v>
      </c>
      <c r="X295" t="b">
        <f t="shared" si="22"/>
        <v>0</v>
      </c>
      <c r="Y295" t="b">
        <f t="shared" si="23"/>
        <v>0</v>
      </c>
      <c r="Z295" t="b">
        <f t="shared" si="24"/>
        <v>0</v>
      </c>
    </row>
    <row r="296" spans="1:26" ht="15" customHeight="1">
      <c r="A296" t="s">
        <v>763</v>
      </c>
      <c r="B296" t="s">
        <v>766</v>
      </c>
      <c r="C296" s="14">
        <v>45743</v>
      </c>
      <c r="D296" s="14">
        <v>45743</v>
      </c>
      <c r="E296">
        <v>2025</v>
      </c>
      <c r="F296">
        <v>3</v>
      </c>
      <c r="G296" t="s">
        <v>164</v>
      </c>
      <c r="H296" t="s">
        <v>165</v>
      </c>
      <c r="I296" t="s">
        <v>146</v>
      </c>
      <c r="J296" s="15">
        <v>0</v>
      </c>
      <c r="K296" s="15">
        <v>8300.59</v>
      </c>
      <c r="L296" s="15">
        <f t="shared" si="20"/>
        <v>-8300.59</v>
      </c>
      <c r="M296" t="s">
        <v>160</v>
      </c>
      <c r="N296" t="s">
        <v>765</v>
      </c>
      <c r="O296" t="s">
        <v>162</v>
      </c>
      <c r="P296" t="s">
        <v>140</v>
      </c>
      <c r="Q296" t="s">
        <v>150</v>
      </c>
      <c r="R296" s="16">
        <v>45743.458333333299</v>
      </c>
      <c r="S296" t="s">
        <v>130</v>
      </c>
      <c r="V296" t="b">
        <f t="shared" si="21"/>
        <v>0</v>
      </c>
      <c r="W296" t="b">
        <f>AND(OR(WEEKDAY(C296,2)=5,WEEKDAY(C296,2)=6),'01_Parameters'!$C$11="Enabled")</f>
        <v>0</v>
      </c>
      <c r="X296" t="b">
        <f t="shared" si="22"/>
        <v>0</v>
      </c>
      <c r="Y296" t="b">
        <f t="shared" si="23"/>
        <v>0</v>
      </c>
      <c r="Z296" t="b">
        <f t="shared" si="24"/>
        <v>0</v>
      </c>
    </row>
    <row r="297" spans="1:26" ht="15" customHeight="1">
      <c r="A297" t="s">
        <v>767</v>
      </c>
      <c r="B297" t="s">
        <v>768</v>
      </c>
      <c r="C297" s="14">
        <v>45879</v>
      </c>
      <c r="D297" s="14">
        <v>45876</v>
      </c>
      <c r="E297">
        <v>2025</v>
      </c>
      <c r="F297">
        <v>8</v>
      </c>
      <c r="G297" t="s">
        <v>144</v>
      </c>
      <c r="H297" t="s">
        <v>145</v>
      </c>
      <c r="I297" t="s">
        <v>146</v>
      </c>
      <c r="J297" s="15">
        <v>20159.23</v>
      </c>
      <c r="K297" s="15">
        <v>0</v>
      </c>
      <c r="L297" s="15">
        <f t="shared" si="20"/>
        <v>20159.23</v>
      </c>
      <c r="M297" t="s">
        <v>147</v>
      </c>
      <c r="N297" t="s">
        <v>769</v>
      </c>
      <c r="O297" t="s">
        <v>149</v>
      </c>
      <c r="P297" t="s">
        <v>128</v>
      </c>
      <c r="Q297" t="s">
        <v>151</v>
      </c>
      <c r="R297" s="16">
        <v>45879.322916666701</v>
      </c>
      <c r="S297" t="s">
        <v>130</v>
      </c>
      <c r="V297" t="b">
        <f t="shared" si="21"/>
        <v>0</v>
      </c>
      <c r="W297" t="b">
        <f>AND(OR(WEEKDAY(C297,2)=5,WEEKDAY(C297,2)=6),'01_Parameters'!$C$11="Enabled")</f>
        <v>0</v>
      </c>
      <c r="X297" t="b">
        <f t="shared" si="22"/>
        <v>1</v>
      </c>
      <c r="Y297" t="b">
        <f t="shared" si="23"/>
        <v>0</v>
      </c>
      <c r="Z297" t="b">
        <f t="shared" si="24"/>
        <v>0</v>
      </c>
    </row>
    <row r="298" spans="1:26" ht="15" customHeight="1">
      <c r="A298" t="s">
        <v>767</v>
      </c>
      <c r="B298" t="s">
        <v>770</v>
      </c>
      <c r="C298" s="14">
        <v>45879</v>
      </c>
      <c r="D298" s="14">
        <v>45876</v>
      </c>
      <c r="E298">
        <v>2025</v>
      </c>
      <c r="F298">
        <v>8</v>
      </c>
      <c r="G298" t="s">
        <v>153</v>
      </c>
      <c r="H298" t="s">
        <v>154</v>
      </c>
      <c r="I298" t="s">
        <v>155</v>
      </c>
      <c r="J298" s="15">
        <v>0</v>
      </c>
      <c r="K298" s="15">
        <v>20159.23</v>
      </c>
      <c r="L298" s="15">
        <f t="shared" si="20"/>
        <v>-20159.23</v>
      </c>
      <c r="M298" t="s">
        <v>147</v>
      </c>
      <c r="N298" t="s">
        <v>769</v>
      </c>
      <c r="O298" t="s">
        <v>149</v>
      </c>
      <c r="P298" t="s">
        <v>128</v>
      </c>
      <c r="Q298" t="s">
        <v>151</v>
      </c>
      <c r="R298" s="16">
        <v>45879.322916666701</v>
      </c>
      <c r="S298" t="s">
        <v>130</v>
      </c>
      <c r="V298" t="b">
        <f t="shared" si="21"/>
        <v>0</v>
      </c>
      <c r="W298" t="b">
        <f>AND(OR(WEEKDAY(C298,2)=5,WEEKDAY(C298,2)=6),'01_Parameters'!$C$11="Enabled")</f>
        <v>0</v>
      </c>
      <c r="X298" t="b">
        <f t="shared" si="22"/>
        <v>1</v>
      </c>
      <c r="Y298" t="b">
        <f t="shared" si="23"/>
        <v>0</v>
      </c>
      <c r="Z298" t="b">
        <f t="shared" si="24"/>
        <v>0</v>
      </c>
    </row>
    <row r="299" spans="1:26" ht="15" customHeight="1">
      <c r="A299" t="s">
        <v>771</v>
      </c>
      <c r="B299" t="s">
        <v>772</v>
      </c>
      <c r="C299" s="14">
        <v>45936</v>
      </c>
      <c r="D299" s="14">
        <v>45934</v>
      </c>
      <c r="E299">
        <v>2025</v>
      </c>
      <c r="F299">
        <v>10</v>
      </c>
      <c r="G299" t="s">
        <v>158</v>
      </c>
      <c r="H299" t="s">
        <v>159</v>
      </c>
      <c r="I299" t="s">
        <v>124</v>
      </c>
      <c r="J299" s="15">
        <v>23549.82</v>
      </c>
      <c r="K299" s="15">
        <v>0</v>
      </c>
      <c r="L299" s="15">
        <f t="shared" si="20"/>
        <v>23549.82</v>
      </c>
      <c r="M299" t="s">
        <v>160</v>
      </c>
      <c r="N299" t="s">
        <v>773</v>
      </c>
      <c r="O299" t="s">
        <v>162</v>
      </c>
      <c r="P299" t="s">
        <v>151</v>
      </c>
      <c r="Q299" t="s">
        <v>175</v>
      </c>
      <c r="R299" s="16">
        <v>45936.375</v>
      </c>
      <c r="S299" t="s">
        <v>130</v>
      </c>
      <c r="V299" t="b">
        <f t="shared" si="21"/>
        <v>0</v>
      </c>
      <c r="W299" t="b">
        <f>AND(OR(WEEKDAY(C299,2)=5,WEEKDAY(C299,2)=6),'01_Parameters'!$C$11="Enabled")</f>
        <v>0</v>
      </c>
      <c r="X299" t="b">
        <f t="shared" si="22"/>
        <v>0</v>
      </c>
      <c r="Y299" t="b">
        <f t="shared" si="23"/>
        <v>0</v>
      </c>
      <c r="Z299" t="b">
        <f t="shared" si="24"/>
        <v>0</v>
      </c>
    </row>
    <row r="300" spans="1:26" ht="15" customHeight="1">
      <c r="A300" t="s">
        <v>771</v>
      </c>
      <c r="B300" t="s">
        <v>774</v>
      </c>
      <c r="C300" s="14">
        <v>45936</v>
      </c>
      <c r="D300" s="14">
        <v>45934</v>
      </c>
      <c r="E300">
        <v>2025</v>
      </c>
      <c r="F300">
        <v>10</v>
      </c>
      <c r="G300" t="s">
        <v>164</v>
      </c>
      <c r="H300" t="s">
        <v>165</v>
      </c>
      <c r="I300" t="s">
        <v>146</v>
      </c>
      <c r="J300" s="15">
        <v>0</v>
      </c>
      <c r="K300" s="15">
        <v>23549.82</v>
      </c>
      <c r="L300" s="15">
        <f t="shared" si="20"/>
        <v>-23549.82</v>
      </c>
      <c r="M300" t="s">
        <v>160</v>
      </c>
      <c r="N300" t="s">
        <v>773</v>
      </c>
      <c r="O300" t="s">
        <v>162</v>
      </c>
      <c r="P300" t="s">
        <v>151</v>
      </c>
      <c r="Q300" t="s">
        <v>175</v>
      </c>
      <c r="R300" s="16">
        <v>45936.375</v>
      </c>
      <c r="S300" t="s">
        <v>130</v>
      </c>
      <c r="V300" t="b">
        <f t="shared" si="21"/>
        <v>0</v>
      </c>
      <c r="W300" t="b">
        <f>AND(OR(WEEKDAY(C300,2)=5,WEEKDAY(C300,2)=6),'01_Parameters'!$C$11="Enabled")</f>
        <v>0</v>
      </c>
      <c r="X300" t="b">
        <f t="shared" si="22"/>
        <v>0</v>
      </c>
      <c r="Y300" t="b">
        <f t="shared" si="23"/>
        <v>0</v>
      </c>
      <c r="Z300" t="b">
        <f t="shared" si="24"/>
        <v>0</v>
      </c>
    </row>
    <row r="301" spans="1:26" ht="15" customHeight="1">
      <c r="A301" t="s">
        <v>775</v>
      </c>
      <c r="B301" t="s">
        <v>776</v>
      </c>
      <c r="C301" s="14">
        <v>45700</v>
      </c>
      <c r="D301" s="14">
        <v>45698</v>
      </c>
      <c r="E301">
        <v>2025</v>
      </c>
      <c r="F301">
        <v>2</v>
      </c>
      <c r="G301" t="s">
        <v>179</v>
      </c>
      <c r="H301" t="s">
        <v>180</v>
      </c>
      <c r="I301" t="s">
        <v>124</v>
      </c>
      <c r="J301" s="15">
        <v>14590.86</v>
      </c>
      <c r="K301" s="15">
        <v>0</v>
      </c>
      <c r="L301" s="15">
        <f t="shared" si="20"/>
        <v>14590.86</v>
      </c>
      <c r="M301" t="s">
        <v>181</v>
      </c>
      <c r="N301" t="s">
        <v>777</v>
      </c>
      <c r="O301" t="s">
        <v>183</v>
      </c>
      <c r="P301" t="s">
        <v>128</v>
      </c>
      <c r="Q301" t="s">
        <v>175</v>
      </c>
      <c r="R301" s="16">
        <v>45700.270833333299</v>
      </c>
      <c r="S301" t="s">
        <v>130</v>
      </c>
      <c r="V301" t="b">
        <f t="shared" si="21"/>
        <v>0</v>
      </c>
      <c r="W301" t="b">
        <f>AND(OR(WEEKDAY(C301,2)=5,WEEKDAY(C301,2)=6),'01_Parameters'!$C$11="Enabled")</f>
        <v>0</v>
      </c>
      <c r="X301" t="b">
        <f t="shared" si="22"/>
        <v>1</v>
      </c>
      <c r="Y301" t="b">
        <f t="shared" si="23"/>
        <v>0</v>
      </c>
      <c r="Z301" t="b">
        <f t="shared" si="24"/>
        <v>0</v>
      </c>
    </row>
    <row r="302" spans="1:26" ht="15" customHeight="1">
      <c r="A302" t="s">
        <v>775</v>
      </c>
      <c r="B302" t="s">
        <v>778</v>
      </c>
      <c r="C302" s="14">
        <v>45700</v>
      </c>
      <c r="D302" s="14">
        <v>45698</v>
      </c>
      <c r="E302">
        <v>2025</v>
      </c>
      <c r="F302">
        <v>2</v>
      </c>
      <c r="G302" t="s">
        <v>185</v>
      </c>
      <c r="H302" t="s">
        <v>186</v>
      </c>
      <c r="I302" t="s">
        <v>134</v>
      </c>
      <c r="J302" s="15">
        <v>0</v>
      </c>
      <c r="K302" s="15">
        <v>14590.86</v>
      </c>
      <c r="L302" s="15">
        <f t="shared" si="20"/>
        <v>-14590.86</v>
      </c>
      <c r="M302" t="s">
        <v>181</v>
      </c>
      <c r="N302" t="s">
        <v>777</v>
      </c>
      <c r="O302" t="s">
        <v>183</v>
      </c>
      <c r="P302" t="s">
        <v>128</v>
      </c>
      <c r="Q302" t="s">
        <v>175</v>
      </c>
      <c r="R302" s="16">
        <v>45700.270833333299</v>
      </c>
      <c r="S302" t="s">
        <v>130</v>
      </c>
      <c r="V302" t="b">
        <f t="shared" si="21"/>
        <v>0</v>
      </c>
      <c r="W302" t="b">
        <f>AND(OR(WEEKDAY(C302,2)=5,WEEKDAY(C302,2)=6),'01_Parameters'!$C$11="Enabled")</f>
        <v>0</v>
      </c>
      <c r="X302" t="b">
        <f t="shared" si="22"/>
        <v>1</v>
      </c>
      <c r="Y302" t="b">
        <f t="shared" si="23"/>
        <v>0</v>
      </c>
      <c r="Z302" t="b">
        <f t="shared" si="24"/>
        <v>0</v>
      </c>
    </row>
    <row r="303" spans="1:26" ht="15" customHeight="1">
      <c r="A303" t="s">
        <v>779</v>
      </c>
      <c r="B303" t="s">
        <v>780</v>
      </c>
      <c r="C303" s="14">
        <v>45679</v>
      </c>
      <c r="D303" s="14">
        <v>45677</v>
      </c>
      <c r="E303">
        <v>2025</v>
      </c>
      <c r="F303">
        <v>1</v>
      </c>
      <c r="G303" t="s">
        <v>137</v>
      </c>
      <c r="H303" t="s">
        <v>138</v>
      </c>
      <c r="I303" t="s">
        <v>124</v>
      </c>
      <c r="J303" s="15">
        <v>21794.51</v>
      </c>
      <c r="K303" s="15">
        <v>0</v>
      </c>
      <c r="L303" s="15">
        <f t="shared" si="20"/>
        <v>21794.51</v>
      </c>
      <c r="M303" t="s">
        <v>209</v>
      </c>
      <c r="N303" t="s">
        <v>781</v>
      </c>
      <c r="O303" t="s">
        <v>211</v>
      </c>
      <c r="P303" t="s">
        <v>128</v>
      </c>
      <c r="Q303" t="s">
        <v>150</v>
      </c>
      <c r="R303" s="16">
        <v>45679.78125</v>
      </c>
      <c r="S303" t="s">
        <v>130</v>
      </c>
      <c r="T303" t="s">
        <v>782</v>
      </c>
      <c r="U303" t="s">
        <v>781</v>
      </c>
      <c r="V303" t="b">
        <f t="shared" si="21"/>
        <v>0</v>
      </c>
      <c r="W303" t="b">
        <f>AND(OR(WEEKDAY(C303,2)=5,WEEKDAY(C303,2)=6),'01_Parameters'!$C$11="Enabled")</f>
        <v>0</v>
      </c>
      <c r="X303" t="b">
        <f t="shared" si="22"/>
        <v>1</v>
      </c>
      <c r="Y303" t="b">
        <f t="shared" si="23"/>
        <v>0</v>
      </c>
      <c r="Z303" t="b">
        <f t="shared" si="24"/>
        <v>0</v>
      </c>
    </row>
    <row r="304" spans="1:26" ht="15" customHeight="1">
      <c r="A304" t="s">
        <v>779</v>
      </c>
      <c r="B304" t="s">
        <v>783</v>
      </c>
      <c r="C304" s="14">
        <v>45679</v>
      </c>
      <c r="D304" s="14">
        <v>45677</v>
      </c>
      <c r="E304">
        <v>2025</v>
      </c>
      <c r="F304">
        <v>1</v>
      </c>
      <c r="G304" t="s">
        <v>132</v>
      </c>
      <c r="H304" t="s">
        <v>133</v>
      </c>
      <c r="I304" t="s">
        <v>134</v>
      </c>
      <c r="J304" s="15">
        <v>0</v>
      </c>
      <c r="K304" s="15">
        <v>21794.51</v>
      </c>
      <c r="L304" s="15">
        <f t="shared" si="20"/>
        <v>-21794.51</v>
      </c>
      <c r="M304" t="s">
        <v>209</v>
      </c>
      <c r="N304" t="s">
        <v>781</v>
      </c>
      <c r="O304" t="s">
        <v>211</v>
      </c>
      <c r="P304" t="s">
        <v>128</v>
      </c>
      <c r="Q304" t="s">
        <v>150</v>
      </c>
      <c r="R304" s="16">
        <v>45679.78125</v>
      </c>
      <c r="S304" t="s">
        <v>130</v>
      </c>
      <c r="T304" t="s">
        <v>782</v>
      </c>
      <c r="U304" t="s">
        <v>781</v>
      </c>
      <c r="V304" t="b">
        <f t="shared" si="21"/>
        <v>0</v>
      </c>
      <c r="W304" t="b">
        <f>AND(OR(WEEKDAY(C304,2)=5,WEEKDAY(C304,2)=6),'01_Parameters'!$C$11="Enabled")</f>
        <v>0</v>
      </c>
      <c r="X304" t="b">
        <f t="shared" si="22"/>
        <v>1</v>
      </c>
      <c r="Y304" t="b">
        <f t="shared" si="23"/>
        <v>0</v>
      </c>
      <c r="Z304" t="b">
        <f t="shared" si="24"/>
        <v>0</v>
      </c>
    </row>
    <row r="305" spans="1:26" ht="15" customHeight="1">
      <c r="A305" t="s">
        <v>784</v>
      </c>
      <c r="B305" t="s">
        <v>785</v>
      </c>
      <c r="C305" s="14">
        <v>45933</v>
      </c>
      <c r="D305" s="14">
        <v>45931</v>
      </c>
      <c r="E305">
        <v>2025</v>
      </c>
      <c r="F305">
        <v>10</v>
      </c>
      <c r="G305" t="s">
        <v>122</v>
      </c>
      <c r="H305" t="s">
        <v>123</v>
      </c>
      <c r="I305" t="s">
        <v>124</v>
      </c>
      <c r="J305" s="15">
        <v>46998.99</v>
      </c>
      <c r="K305" s="15">
        <v>0</v>
      </c>
      <c r="L305" s="15">
        <f t="shared" si="20"/>
        <v>46998.99</v>
      </c>
      <c r="M305" t="s">
        <v>209</v>
      </c>
      <c r="N305" t="s">
        <v>786</v>
      </c>
      <c r="O305" t="s">
        <v>211</v>
      </c>
      <c r="P305" t="s">
        <v>128</v>
      </c>
      <c r="Q305" t="s">
        <v>151</v>
      </c>
      <c r="R305" s="16">
        <v>45933.822916666701</v>
      </c>
      <c r="S305" t="s">
        <v>130</v>
      </c>
      <c r="T305" t="s">
        <v>349</v>
      </c>
      <c r="U305" t="s">
        <v>786</v>
      </c>
      <c r="V305" t="b">
        <f t="shared" si="21"/>
        <v>0</v>
      </c>
      <c r="W305" t="b">
        <f>AND(OR(WEEKDAY(C305,2)=5,WEEKDAY(C305,2)=6),'01_Parameters'!$C$11="Enabled")</f>
        <v>1</v>
      </c>
      <c r="X305" t="b">
        <f t="shared" si="22"/>
        <v>1</v>
      </c>
      <c r="Y305" t="b">
        <f t="shared" si="23"/>
        <v>0</v>
      </c>
      <c r="Z305" t="b">
        <f t="shared" si="24"/>
        <v>0</v>
      </c>
    </row>
    <row r="306" spans="1:26" ht="15" customHeight="1">
      <c r="A306" t="s">
        <v>784</v>
      </c>
      <c r="B306" t="s">
        <v>787</v>
      </c>
      <c r="C306" s="14">
        <v>45933</v>
      </c>
      <c r="D306" s="14">
        <v>45931</v>
      </c>
      <c r="E306">
        <v>2025</v>
      </c>
      <c r="F306">
        <v>10</v>
      </c>
      <c r="G306" t="s">
        <v>132</v>
      </c>
      <c r="H306" t="s">
        <v>133</v>
      </c>
      <c r="I306" t="s">
        <v>134</v>
      </c>
      <c r="J306" s="15">
        <v>0</v>
      </c>
      <c r="K306" s="15">
        <v>46998.99</v>
      </c>
      <c r="L306" s="15">
        <f t="shared" si="20"/>
        <v>-46998.99</v>
      </c>
      <c r="M306" t="s">
        <v>209</v>
      </c>
      <c r="N306" t="s">
        <v>786</v>
      </c>
      <c r="O306" t="s">
        <v>211</v>
      </c>
      <c r="P306" t="s">
        <v>128</v>
      </c>
      <c r="Q306" t="s">
        <v>151</v>
      </c>
      <c r="R306" s="16">
        <v>45933.822916666701</v>
      </c>
      <c r="S306" t="s">
        <v>130</v>
      </c>
      <c r="T306" t="s">
        <v>349</v>
      </c>
      <c r="U306" t="s">
        <v>786</v>
      </c>
      <c r="V306" t="b">
        <f t="shared" si="21"/>
        <v>0</v>
      </c>
      <c r="W306" t="b">
        <f>AND(OR(WEEKDAY(C306,2)=5,WEEKDAY(C306,2)=6),'01_Parameters'!$C$11="Enabled")</f>
        <v>1</v>
      </c>
      <c r="X306" t="b">
        <f t="shared" si="22"/>
        <v>1</v>
      </c>
      <c r="Y306" t="b">
        <f t="shared" si="23"/>
        <v>0</v>
      </c>
      <c r="Z306" t="b">
        <f t="shared" si="24"/>
        <v>0</v>
      </c>
    </row>
    <row r="307" spans="1:26" ht="15" customHeight="1">
      <c r="A307" t="s">
        <v>788</v>
      </c>
      <c r="B307" t="s">
        <v>789</v>
      </c>
      <c r="C307" s="14">
        <v>45927</v>
      </c>
      <c r="D307" s="14">
        <v>45922</v>
      </c>
      <c r="E307">
        <v>2025</v>
      </c>
      <c r="F307">
        <v>9</v>
      </c>
      <c r="G307" t="s">
        <v>137</v>
      </c>
      <c r="H307" t="s">
        <v>138</v>
      </c>
      <c r="I307" t="s">
        <v>124</v>
      </c>
      <c r="J307" s="15">
        <v>7421.74</v>
      </c>
      <c r="K307" s="15">
        <v>0</v>
      </c>
      <c r="L307" s="15">
        <f t="shared" si="20"/>
        <v>7421.74</v>
      </c>
      <c r="M307" t="s">
        <v>209</v>
      </c>
      <c r="N307" t="s">
        <v>790</v>
      </c>
      <c r="O307" t="s">
        <v>211</v>
      </c>
      <c r="P307" t="s">
        <v>129</v>
      </c>
      <c r="Q307" t="s">
        <v>151</v>
      </c>
      <c r="R307" s="16">
        <v>45927.583333333299</v>
      </c>
      <c r="S307" t="s">
        <v>130</v>
      </c>
      <c r="T307" t="s">
        <v>212</v>
      </c>
      <c r="U307" t="s">
        <v>790</v>
      </c>
      <c r="V307" t="b">
        <f t="shared" si="21"/>
        <v>0</v>
      </c>
      <c r="W307" t="b">
        <f>AND(OR(WEEKDAY(C307,2)=5,WEEKDAY(C307,2)=6),'01_Parameters'!$C$11="Enabled")</f>
        <v>1</v>
      </c>
      <c r="X307" t="b">
        <f t="shared" si="22"/>
        <v>0</v>
      </c>
      <c r="Y307" t="b">
        <f t="shared" si="23"/>
        <v>0</v>
      </c>
      <c r="Z307" t="b">
        <f t="shared" si="24"/>
        <v>0</v>
      </c>
    </row>
    <row r="308" spans="1:26" ht="15" customHeight="1">
      <c r="A308" t="s">
        <v>788</v>
      </c>
      <c r="B308" t="s">
        <v>791</v>
      </c>
      <c r="C308" s="14">
        <v>45927</v>
      </c>
      <c r="D308" s="14">
        <v>45922</v>
      </c>
      <c r="E308">
        <v>2025</v>
      </c>
      <c r="F308">
        <v>9</v>
      </c>
      <c r="G308" t="s">
        <v>132</v>
      </c>
      <c r="H308" t="s">
        <v>133</v>
      </c>
      <c r="I308" t="s">
        <v>134</v>
      </c>
      <c r="J308" s="15">
        <v>0</v>
      </c>
      <c r="K308" s="15">
        <v>7421.74</v>
      </c>
      <c r="L308" s="15">
        <f t="shared" si="20"/>
        <v>-7421.74</v>
      </c>
      <c r="M308" t="s">
        <v>209</v>
      </c>
      <c r="N308" t="s">
        <v>790</v>
      </c>
      <c r="O308" t="s">
        <v>211</v>
      </c>
      <c r="P308" t="s">
        <v>129</v>
      </c>
      <c r="Q308" t="s">
        <v>151</v>
      </c>
      <c r="R308" s="16">
        <v>45927.583333333299</v>
      </c>
      <c r="S308" t="s">
        <v>130</v>
      </c>
      <c r="T308" t="s">
        <v>212</v>
      </c>
      <c r="U308" t="s">
        <v>790</v>
      </c>
      <c r="V308" t="b">
        <f t="shared" si="21"/>
        <v>0</v>
      </c>
      <c r="W308" t="b">
        <f>AND(OR(WEEKDAY(C308,2)=5,WEEKDAY(C308,2)=6),'01_Parameters'!$C$11="Enabled")</f>
        <v>1</v>
      </c>
      <c r="X308" t="b">
        <f t="shared" si="22"/>
        <v>0</v>
      </c>
      <c r="Y308" t="b">
        <f t="shared" si="23"/>
        <v>0</v>
      </c>
      <c r="Z308" t="b">
        <f t="shared" si="24"/>
        <v>0</v>
      </c>
    </row>
    <row r="309" spans="1:26" ht="15" customHeight="1">
      <c r="A309" t="s">
        <v>792</v>
      </c>
      <c r="B309" t="s">
        <v>793</v>
      </c>
      <c r="C309" s="14">
        <v>45908</v>
      </c>
      <c r="D309" s="14">
        <v>45908</v>
      </c>
      <c r="E309">
        <v>2025</v>
      </c>
      <c r="F309">
        <v>9</v>
      </c>
      <c r="G309" t="s">
        <v>193</v>
      </c>
      <c r="H309" t="s">
        <v>194</v>
      </c>
      <c r="I309" t="s">
        <v>124</v>
      </c>
      <c r="J309" s="15">
        <v>44699.74</v>
      </c>
      <c r="K309" s="15">
        <v>0</v>
      </c>
      <c r="L309" s="15">
        <f t="shared" si="20"/>
        <v>44699.74</v>
      </c>
      <c r="M309" t="s">
        <v>195</v>
      </c>
      <c r="N309" t="s">
        <v>794</v>
      </c>
      <c r="O309" t="s">
        <v>197</v>
      </c>
      <c r="P309" t="s">
        <v>129</v>
      </c>
      <c r="Q309" t="s">
        <v>151</v>
      </c>
      <c r="R309" s="16">
        <v>45908.40625</v>
      </c>
      <c r="S309" t="s">
        <v>130</v>
      </c>
      <c r="V309" t="b">
        <f t="shared" si="21"/>
        <v>0</v>
      </c>
      <c r="W309" t="b">
        <f>AND(OR(WEEKDAY(C309,2)=5,WEEKDAY(C309,2)=6),'01_Parameters'!$C$11="Enabled")</f>
        <v>0</v>
      </c>
      <c r="X309" t="b">
        <f t="shared" si="22"/>
        <v>0</v>
      </c>
      <c r="Y309" t="b">
        <f t="shared" si="23"/>
        <v>0</v>
      </c>
      <c r="Z309" t="b">
        <f t="shared" si="24"/>
        <v>0</v>
      </c>
    </row>
    <row r="310" spans="1:26" ht="15" customHeight="1">
      <c r="A310" t="s">
        <v>792</v>
      </c>
      <c r="B310" t="s">
        <v>795</v>
      </c>
      <c r="C310" s="14">
        <v>45908</v>
      </c>
      <c r="D310" s="14">
        <v>45908</v>
      </c>
      <c r="E310">
        <v>2025</v>
      </c>
      <c r="F310">
        <v>9</v>
      </c>
      <c r="G310" t="s">
        <v>199</v>
      </c>
      <c r="H310" t="s">
        <v>200</v>
      </c>
      <c r="I310" t="s">
        <v>146</v>
      </c>
      <c r="J310" s="15">
        <v>0</v>
      </c>
      <c r="K310" s="15">
        <v>44699.74</v>
      </c>
      <c r="L310" s="15">
        <f t="shared" si="20"/>
        <v>-44699.74</v>
      </c>
      <c r="M310" t="s">
        <v>195</v>
      </c>
      <c r="N310" t="s">
        <v>794</v>
      </c>
      <c r="O310" t="s">
        <v>197</v>
      </c>
      <c r="P310" t="s">
        <v>129</v>
      </c>
      <c r="Q310" t="s">
        <v>151</v>
      </c>
      <c r="R310" s="16">
        <v>45908.40625</v>
      </c>
      <c r="S310" t="s">
        <v>130</v>
      </c>
      <c r="V310" t="b">
        <f t="shared" si="21"/>
        <v>0</v>
      </c>
      <c r="W310" t="b">
        <f>AND(OR(WEEKDAY(C310,2)=5,WEEKDAY(C310,2)=6),'01_Parameters'!$C$11="Enabled")</f>
        <v>0</v>
      </c>
      <c r="X310" t="b">
        <f t="shared" si="22"/>
        <v>0</v>
      </c>
      <c r="Y310" t="b">
        <f t="shared" si="23"/>
        <v>0</v>
      </c>
      <c r="Z310" t="b">
        <f t="shared" si="24"/>
        <v>0</v>
      </c>
    </row>
    <row r="311" spans="1:26" ht="15" customHeight="1">
      <c r="A311" t="s">
        <v>796</v>
      </c>
      <c r="B311" t="s">
        <v>797</v>
      </c>
      <c r="C311" s="14">
        <v>45983</v>
      </c>
      <c r="D311" s="14">
        <v>45979</v>
      </c>
      <c r="E311">
        <v>2025</v>
      </c>
      <c r="F311">
        <v>11</v>
      </c>
      <c r="G311" t="s">
        <v>193</v>
      </c>
      <c r="H311" t="s">
        <v>194</v>
      </c>
      <c r="I311" t="s">
        <v>124</v>
      </c>
      <c r="J311" s="15">
        <v>76261.64</v>
      </c>
      <c r="K311" s="15">
        <v>0</v>
      </c>
      <c r="L311" s="15">
        <f t="shared" si="20"/>
        <v>76261.64</v>
      </c>
      <c r="M311" t="s">
        <v>195</v>
      </c>
      <c r="N311" t="s">
        <v>798</v>
      </c>
      <c r="O311" t="s">
        <v>197</v>
      </c>
      <c r="P311" t="s">
        <v>128</v>
      </c>
      <c r="Q311" t="s">
        <v>129</v>
      </c>
      <c r="R311" s="16">
        <v>45983.6875</v>
      </c>
      <c r="S311" t="s">
        <v>130</v>
      </c>
      <c r="V311" t="b">
        <f t="shared" si="21"/>
        <v>0</v>
      </c>
      <c r="W311" t="b">
        <f>AND(OR(WEEKDAY(C311,2)=5,WEEKDAY(C311,2)=6),'01_Parameters'!$C$11="Enabled")</f>
        <v>1</v>
      </c>
      <c r="X311" t="b">
        <f t="shared" si="22"/>
        <v>0</v>
      </c>
      <c r="Y311" t="b">
        <f t="shared" si="23"/>
        <v>0</v>
      </c>
      <c r="Z311" t="b">
        <f t="shared" si="24"/>
        <v>0</v>
      </c>
    </row>
    <row r="312" spans="1:26" ht="15" customHeight="1">
      <c r="A312" t="s">
        <v>796</v>
      </c>
      <c r="B312" t="s">
        <v>799</v>
      </c>
      <c r="C312" s="14">
        <v>45983</v>
      </c>
      <c r="D312" s="14">
        <v>45979</v>
      </c>
      <c r="E312">
        <v>2025</v>
      </c>
      <c r="F312">
        <v>11</v>
      </c>
      <c r="G312" t="s">
        <v>199</v>
      </c>
      <c r="H312" t="s">
        <v>200</v>
      </c>
      <c r="I312" t="s">
        <v>146</v>
      </c>
      <c r="J312" s="15">
        <v>0</v>
      </c>
      <c r="K312" s="15">
        <v>76261.64</v>
      </c>
      <c r="L312" s="15">
        <f t="shared" si="20"/>
        <v>-76261.64</v>
      </c>
      <c r="M312" t="s">
        <v>195</v>
      </c>
      <c r="N312" t="s">
        <v>798</v>
      </c>
      <c r="O312" t="s">
        <v>197</v>
      </c>
      <c r="P312" t="s">
        <v>128</v>
      </c>
      <c r="Q312" t="s">
        <v>129</v>
      </c>
      <c r="R312" s="16">
        <v>45983.6875</v>
      </c>
      <c r="S312" t="s">
        <v>130</v>
      </c>
      <c r="V312" t="b">
        <f t="shared" si="21"/>
        <v>0</v>
      </c>
      <c r="W312" t="b">
        <f>AND(OR(WEEKDAY(C312,2)=5,WEEKDAY(C312,2)=6),'01_Parameters'!$C$11="Enabled")</f>
        <v>1</v>
      </c>
      <c r="X312" t="b">
        <f t="shared" si="22"/>
        <v>0</v>
      </c>
      <c r="Y312" t="b">
        <f t="shared" si="23"/>
        <v>0</v>
      </c>
      <c r="Z312" t="b">
        <f t="shared" si="24"/>
        <v>0</v>
      </c>
    </row>
    <row r="313" spans="1:26" ht="15" customHeight="1">
      <c r="A313" t="s">
        <v>800</v>
      </c>
      <c r="B313" t="s">
        <v>801</v>
      </c>
      <c r="C313" s="14">
        <v>46004</v>
      </c>
      <c r="D313" s="14">
        <v>45999</v>
      </c>
      <c r="E313">
        <v>2025</v>
      </c>
      <c r="F313">
        <v>12</v>
      </c>
      <c r="G313" t="s">
        <v>158</v>
      </c>
      <c r="H313" t="s">
        <v>159</v>
      </c>
      <c r="I313" t="s">
        <v>124</v>
      </c>
      <c r="J313" s="15">
        <v>23708.73</v>
      </c>
      <c r="K313" s="15">
        <v>0</v>
      </c>
      <c r="L313" s="15">
        <f t="shared" si="20"/>
        <v>23708.73</v>
      </c>
      <c r="M313" t="s">
        <v>160</v>
      </c>
      <c r="N313" t="s">
        <v>802</v>
      </c>
      <c r="O313" t="s">
        <v>162</v>
      </c>
      <c r="P313" t="s">
        <v>151</v>
      </c>
      <c r="Q313" t="s">
        <v>129</v>
      </c>
      <c r="R313" s="16">
        <v>46004.458333333299</v>
      </c>
      <c r="S313" t="s">
        <v>130</v>
      </c>
      <c r="V313" t="b">
        <f t="shared" si="21"/>
        <v>0</v>
      </c>
      <c r="W313" t="b">
        <f>AND(OR(WEEKDAY(C313,2)=5,WEEKDAY(C313,2)=6),'01_Parameters'!$C$11="Enabled")</f>
        <v>1</v>
      </c>
      <c r="X313" t="b">
        <f t="shared" si="22"/>
        <v>0</v>
      </c>
      <c r="Y313" t="b">
        <f t="shared" si="23"/>
        <v>0</v>
      </c>
      <c r="Z313" t="b">
        <f t="shared" si="24"/>
        <v>0</v>
      </c>
    </row>
    <row r="314" spans="1:26" ht="15" customHeight="1">
      <c r="A314" t="s">
        <v>800</v>
      </c>
      <c r="B314" t="s">
        <v>803</v>
      </c>
      <c r="C314" s="14">
        <v>46004</v>
      </c>
      <c r="D314" s="14">
        <v>45999</v>
      </c>
      <c r="E314">
        <v>2025</v>
      </c>
      <c r="F314">
        <v>12</v>
      </c>
      <c r="G314" t="s">
        <v>164</v>
      </c>
      <c r="H314" t="s">
        <v>165</v>
      </c>
      <c r="I314" t="s">
        <v>146</v>
      </c>
      <c r="J314" s="15">
        <v>0</v>
      </c>
      <c r="K314" s="15">
        <v>23708.73</v>
      </c>
      <c r="L314" s="15">
        <f t="shared" si="20"/>
        <v>-23708.73</v>
      </c>
      <c r="M314" t="s">
        <v>160</v>
      </c>
      <c r="N314" t="s">
        <v>802</v>
      </c>
      <c r="O314" t="s">
        <v>162</v>
      </c>
      <c r="P314" t="s">
        <v>151</v>
      </c>
      <c r="Q314" t="s">
        <v>129</v>
      </c>
      <c r="R314" s="16">
        <v>46004.458333333299</v>
      </c>
      <c r="S314" t="s">
        <v>130</v>
      </c>
      <c r="V314" t="b">
        <f t="shared" si="21"/>
        <v>0</v>
      </c>
      <c r="W314" t="b">
        <f>AND(OR(WEEKDAY(C314,2)=5,WEEKDAY(C314,2)=6),'01_Parameters'!$C$11="Enabled")</f>
        <v>1</v>
      </c>
      <c r="X314" t="b">
        <f t="shared" si="22"/>
        <v>0</v>
      </c>
      <c r="Y314" t="b">
        <f t="shared" si="23"/>
        <v>0</v>
      </c>
      <c r="Z314" t="b">
        <f t="shared" si="24"/>
        <v>0</v>
      </c>
    </row>
    <row r="315" spans="1:26" ht="15" customHeight="1">
      <c r="A315" t="s">
        <v>804</v>
      </c>
      <c r="B315" t="s">
        <v>805</v>
      </c>
      <c r="C315" s="14">
        <v>45911</v>
      </c>
      <c r="D315" s="14">
        <v>45909</v>
      </c>
      <c r="E315">
        <v>2025</v>
      </c>
      <c r="F315">
        <v>9</v>
      </c>
      <c r="G315" t="s">
        <v>158</v>
      </c>
      <c r="H315" t="s">
        <v>159</v>
      </c>
      <c r="I315" t="s">
        <v>124</v>
      </c>
      <c r="J315" s="15">
        <v>75660.210000000006</v>
      </c>
      <c r="K315" s="15">
        <v>0</v>
      </c>
      <c r="L315" s="15">
        <f t="shared" si="20"/>
        <v>75660.210000000006</v>
      </c>
      <c r="M315" t="s">
        <v>160</v>
      </c>
      <c r="N315" t="s">
        <v>806</v>
      </c>
      <c r="O315" t="s">
        <v>162</v>
      </c>
      <c r="P315" t="s">
        <v>175</v>
      </c>
      <c r="Q315" t="s">
        <v>151</v>
      </c>
      <c r="R315" s="16">
        <v>45911.28125</v>
      </c>
      <c r="S315" t="s">
        <v>130</v>
      </c>
      <c r="V315" t="b">
        <f t="shared" si="21"/>
        <v>0</v>
      </c>
      <c r="W315" t="b">
        <f>AND(OR(WEEKDAY(C315,2)=5,WEEKDAY(C315,2)=6),'01_Parameters'!$C$11="Enabled")</f>
        <v>0</v>
      </c>
      <c r="X315" t="b">
        <f t="shared" si="22"/>
        <v>1</v>
      </c>
      <c r="Y315" t="b">
        <f t="shared" si="23"/>
        <v>0</v>
      </c>
      <c r="Z315" t="b">
        <f t="shared" si="24"/>
        <v>0</v>
      </c>
    </row>
    <row r="316" spans="1:26" ht="15" customHeight="1">
      <c r="A316" t="s">
        <v>804</v>
      </c>
      <c r="B316" t="s">
        <v>807</v>
      </c>
      <c r="C316" s="14">
        <v>45911</v>
      </c>
      <c r="D316" s="14">
        <v>45909</v>
      </c>
      <c r="E316">
        <v>2025</v>
      </c>
      <c r="F316">
        <v>9</v>
      </c>
      <c r="G316" t="s">
        <v>164</v>
      </c>
      <c r="H316" t="s">
        <v>165</v>
      </c>
      <c r="I316" t="s">
        <v>146</v>
      </c>
      <c r="J316" s="15">
        <v>0</v>
      </c>
      <c r="K316" s="15">
        <v>75660.210000000006</v>
      </c>
      <c r="L316" s="15">
        <f t="shared" si="20"/>
        <v>-75660.210000000006</v>
      </c>
      <c r="M316" t="s">
        <v>160</v>
      </c>
      <c r="N316" t="s">
        <v>806</v>
      </c>
      <c r="O316" t="s">
        <v>162</v>
      </c>
      <c r="P316" t="s">
        <v>175</v>
      </c>
      <c r="Q316" t="s">
        <v>151</v>
      </c>
      <c r="R316" s="16">
        <v>45911.28125</v>
      </c>
      <c r="S316" t="s">
        <v>130</v>
      </c>
      <c r="V316" t="b">
        <f t="shared" si="21"/>
        <v>0</v>
      </c>
      <c r="W316" t="b">
        <f>AND(OR(WEEKDAY(C316,2)=5,WEEKDAY(C316,2)=6),'01_Parameters'!$C$11="Enabled")</f>
        <v>0</v>
      </c>
      <c r="X316" t="b">
        <f t="shared" si="22"/>
        <v>1</v>
      </c>
      <c r="Y316" t="b">
        <f t="shared" si="23"/>
        <v>0</v>
      </c>
      <c r="Z316" t="b">
        <f t="shared" si="24"/>
        <v>0</v>
      </c>
    </row>
    <row r="317" spans="1:26" ht="15" customHeight="1">
      <c r="A317" t="s">
        <v>808</v>
      </c>
      <c r="B317" t="s">
        <v>809</v>
      </c>
      <c r="C317" s="14">
        <v>45734</v>
      </c>
      <c r="D317" s="14">
        <v>45734</v>
      </c>
      <c r="E317">
        <v>2025</v>
      </c>
      <c r="F317">
        <v>3</v>
      </c>
      <c r="G317" t="s">
        <v>193</v>
      </c>
      <c r="H317" t="s">
        <v>194</v>
      </c>
      <c r="I317" t="s">
        <v>124</v>
      </c>
      <c r="J317" s="15">
        <v>10900.24</v>
      </c>
      <c r="K317" s="15">
        <v>0</v>
      </c>
      <c r="L317" s="15">
        <f t="shared" si="20"/>
        <v>10900.24</v>
      </c>
      <c r="M317" t="s">
        <v>195</v>
      </c>
      <c r="N317" t="s">
        <v>810</v>
      </c>
      <c r="O317" t="s">
        <v>197</v>
      </c>
      <c r="P317" t="s">
        <v>175</v>
      </c>
      <c r="Q317" t="s">
        <v>140</v>
      </c>
      <c r="R317" s="16">
        <v>45734.260416666701</v>
      </c>
      <c r="S317" t="s">
        <v>130</v>
      </c>
      <c r="V317" t="b">
        <f t="shared" si="21"/>
        <v>0</v>
      </c>
      <c r="W317" t="b">
        <f>AND(OR(WEEKDAY(C317,2)=5,WEEKDAY(C317,2)=6),'01_Parameters'!$C$11="Enabled")</f>
        <v>0</v>
      </c>
      <c r="X317" t="b">
        <f t="shared" si="22"/>
        <v>1</v>
      </c>
      <c r="Y317" t="b">
        <f t="shared" si="23"/>
        <v>0</v>
      </c>
      <c r="Z317" t="b">
        <f t="shared" si="24"/>
        <v>0</v>
      </c>
    </row>
    <row r="318" spans="1:26" ht="15" customHeight="1">
      <c r="A318" t="s">
        <v>808</v>
      </c>
      <c r="B318" t="s">
        <v>811</v>
      </c>
      <c r="C318" s="14">
        <v>45734</v>
      </c>
      <c r="D318" s="14">
        <v>45734</v>
      </c>
      <c r="E318">
        <v>2025</v>
      </c>
      <c r="F318">
        <v>3</v>
      </c>
      <c r="G318" t="s">
        <v>199</v>
      </c>
      <c r="H318" t="s">
        <v>200</v>
      </c>
      <c r="I318" t="s">
        <v>146</v>
      </c>
      <c r="J318" s="15">
        <v>0</v>
      </c>
      <c r="K318" s="15">
        <v>10900.24</v>
      </c>
      <c r="L318" s="15">
        <f t="shared" si="20"/>
        <v>-10900.24</v>
      </c>
      <c r="M318" t="s">
        <v>195</v>
      </c>
      <c r="N318" t="s">
        <v>810</v>
      </c>
      <c r="O318" t="s">
        <v>197</v>
      </c>
      <c r="P318" t="s">
        <v>175</v>
      </c>
      <c r="Q318" t="s">
        <v>140</v>
      </c>
      <c r="R318" s="16">
        <v>45734.260416666701</v>
      </c>
      <c r="S318" t="s">
        <v>130</v>
      </c>
      <c r="V318" t="b">
        <f t="shared" si="21"/>
        <v>0</v>
      </c>
      <c r="W318" t="b">
        <f>AND(OR(WEEKDAY(C318,2)=5,WEEKDAY(C318,2)=6),'01_Parameters'!$C$11="Enabled")</f>
        <v>0</v>
      </c>
      <c r="X318" t="b">
        <f t="shared" si="22"/>
        <v>1</v>
      </c>
      <c r="Y318" t="b">
        <f t="shared" si="23"/>
        <v>0</v>
      </c>
      <c r="Z318" t="b">
        <f t="shared" si="24"/>
        <v>0</v>
      </c>
    </row>
    <row r="319" spans="1:26" ht="15" customHeight="1">
      <c r="A319" t="s">
        <v>812</v>
      </c>
      <c r="B319" t="s">
        <v>813</v>
      </c>
      <c r="C319" s="14">
        <v>45779</v>
      </c>
      <c r="D319" s="14">
        <v>45776</v>
      </c>
      <c r="E319">
        <v>2025</v>
      </c>
      <c r="F319">
        <v>5</v>
      </c>
      <c r="G319" t="s">
        <v>179</v>
      </c>
      <c r="H319" t="s">
        <v>180</v>
      </c>
      <c r="I319" t="s">
        <v>124</v>
      </c>
      <c r="J319" s="15">
        <v>27198.26</v>
      </c>
      <c r="K319" s="15">
        <v>0</v>
      </c>
      <c r="L319" s="15">
        <f t="shared" si="20"/>
        <v>27198.26</v>
      </c>
      <c r="M319" t="s">
        <v>181</v>
      </c>
      <c r="N319" t="s">
        <v>814</v>
      </c>
      <c r="O319" t="s">
        <v>183</v>
      </c>
      <c r="P319" t="s">
        <v>175</v>
      </c>
      <c r="Q319" t="s">
        <v>129</v>
      </c>
      <c r="R319" s="16">
        <v>45779.770833333299</v>
      </c>
      <c r="S319" t="s">
        <v>130</v>
      </c>
      <c r="V319" t="b">
        <f t="shared" si="21"/>
        <v>0</v>
      </c>
      <c r="W319" t="b">
        <f>AND(OR(WEEKDAY(C319,2)=5,WEEKDAY(C319,2)=6),'01_Parameters'!$C$11="Enabled")</f>
        <v>1</v>
      </c>
      <c r="X319" t="b">
        <f t="shared" si="22"/>
        <v>1</v>
      </c>
      <c r="Y319" t="b">
        <f t="shared" si="23"/>
        <v>0</v>
      </c>
      <c r="Z319" t="b">
        <f t="shared" si="24"/>
        <v>0</v>
      </c>
    </row>
    <row r="320" spans="1:26" ht="15" customHeight="1">
      <c r="A320" t="s">
        <v>812</v>
      </c>
      <c r="B320" t="s">
        <v>815</v>
      </c>
      <c r="C320" s="14">
        <v>45779</v>
      </c>
      <c r="D320" s="14">
        <v>45776</v>
      </c>
      <c r="E320">
        <v>2025</v>
      </c>
      <c r="F320">
        <v>5</v>
      </c>
      <c r="G320" t="s">
        <v>185</v>
      </c>
      <c r="H320" t="s">
        <v>186</v>
      </c>
      <c r="I320" t="s">
        <v>134</v>
      </c>
      <c r="J320" s="15">
        <v>0</v>
      </c>
      <c r="K320" s="15">
        <v>27198.26</v>
      </c>
      <c r="L320" s="15">
        <f t="shared" si="20"/>
        <v>-27198.26</v>
      </c>
      <c r="M320" t="s">
        <v>181</v>
      </c>
      <c r="N320" t="s">
        <v>814</v>
      </c>
      <c r="O320" t="s">
        <v>183</v>
      </c>
      <c r="P320" t="s">
        <v>175</v>
      </c>
      <c r="Q320" t="s">
        <v>129</v>
      </c>
      <c r="R320" s="16">
        <v>45779.770833333299</v>
      </c>
      <c r="S320" t="s">
        <v>130</v>
      </c>
      <c r="V320" t="b">
        <f t="shared" si="21"/>
        <v>0</v>
      </c>
      <c r="W320" t="b">
        <f>AND(OR(WEEKDAY(C320,2)=5,WEEKDAY(C320,2)=6),'01_Parameters'!$C$11="Enabled")</f>
        <v>1</v>
      </c>
      <c r="X320" t="b">
        <f t="shared" si="22"/>
        <v>1</v>
      </c>
      <c r="Y320" t="b">
        <f t="shared" si="23"/>
        <v>0</v>
      </c>
      <c r="Z320" t="b">
        <f t="shared" si="24"/>
        <v>0</v>
      </c>
    </row>
    <row r="321" spans="1:26" ht="15" customHeight="1">
      <c r="A321" t="s">
        <v>816</v>
      </c>
      <c r="B321" t="s">
        <v>817</v>
      </c>
      <c r="C321" s="14">
        <v>45797</v>
      </c>
      <c r="D321" s="14">
        <v>45794</v>
      </c>
      <c r="E321">
        <v>2025</v>
      </c>
      <c r="F321">
        <v>5</v>
      </c>
      <c r="G321" t="s">
        <v>144</v>
      </c>
      <c r="H321" t="s">
        <v>145</v>
      </c>
      <c r="I321" t="s">
        <v>146</v>
      </c>
      <c r="J321" s="15">
        <v>51629.14</v>
      </c>
      <c r="K321" s="15">
        <v>0</v>
      </c>
      <c r="L321" s="15">
        <f t="shared" si="20"/>
        <v>51629.14</v>
      </c>
      <c r="M321" t="s">
        <v>147</v>
      </c>
      <c r="N321" t="s">
        <v>818</v>
      </c>
      <c r="O321" t="s">
        <v>149</v>
      </c>
      <c r="P321" t="s">
        <v>151</v>
      </c>
      <c r="Q321" t="s">
        <v>128</v>
      </c>
      <c r="R321" s="16">
        <v>45797.364583333299</v>
      </c>
      <c r="S321" t="s">
        <v>130</v>
      </c>
      <c r="V321" t="b">
        <f t="shared" si="21"/>
        <v>0</v>
      </c>
      <c r="W321" t="b">
        <f>AND(OR(WEEKDAY(C321,2)=5,WEEKDAY(C321,2)=6),'01_Parameters'!$C$11="Enabled")</f>
        <v>0</v>
      </c>
      <c r="X321" t="b">
        <f t="shared" si="22"/>
        <v>0</v>
      </c>
      <c r="Y321" t="b">
        <f t="shared" si="23"/>
        <v>0</v>
      </c>
      <c r="Z321" t="b">
        <f t="shared" si="24"/>
        <v>0</v>
      </c>
    </row>
    <row r="322" spans="1:26" ht="15" customHeight="1">
      <c r="A322" t="s">
        <v>816</v>
      </c>
      <c r="B322" t="s">
        <v>819</v>
      </c>
      <c r="C322" s="14">
        <v>45797</v>
      </c>
      <c r="D322" s="14">
        <v>45794</v>
      </c>
      <c r="E322">
        <v>2025</v>
      </c>
      <c r="F322">
        <v>5</v>
      </c>
      <c r="G322" t="s">
        <v>153</v>
      </c>
      <c r="H322" t="s">
        <v>154</v>
      </c>
      <c r="I322" t="s">
        <v>155</v>
      </c>
      <c r="J322" s="15">
        <v>0</v>
      </c>
      <c r="K322" s="15">
        <v>51629.14</v>
      </c>
      <c r="L322" s="15">
        <f t="shared" si="20"/>
        <v>-51629.14</v>
      </c>
      <c r="M322" t="s">
        <v>147</v>
      </c>
      <c r="N322" t="s">
        <v>818</v>
      </c>
      <c r="O322" t="s">
        <v>149</v>
      </c>
      <c r="P322" t="s">
        <v>151</v>
      </c>
      <c r="Q322" t="s">
        <v>128</v>
      </c>
      <c r="R322" s="16">
        <v>45797.364583333299</v>
      </c>
      <c r="S322" t="s">
        <v>130</v>
      </c>
      <c r="V322" t="b">
        <f t="shared" si="21"/>
        <v>0</v>
      </c>
      <c r="W322" t="b">
        <f>AND(OR(WEEKDAY(C322,2)=5,WEEKDAY(C322,2)=6),'01_Parameters'!$C$11="Enabled")</f>
        <v>0</v>
      </c>
      <c r="X322" t="b">
        <f t="shared" si="22"/>
        <v>0</v>
      </c>
      <c r="Y322" t="b">
        <f t="shared" si="23"/>
        <v>0</v>
      </c>
      <c r="Z322" t="b">
        <f t="shared" si="24"/>
        <v>0</v>
      </c>
    </row>
    <row r="323" spans="1:26" ht="15" customHeight="1">
      <c r="A323" t="s">
        <v>820</v>
      </c>
      <c r="B323" t="s">
        <v>821</v>
      </c>
      <c r="C323" s="14">
        <v>45913</v>
      </c>
      <c r="D323" s="14">
        <v>45912</v>
      </c>
      <c r="E323">
        <v>2025</v>
      </c>
      <c r="F323">
        <v>9</v>
      </c>
      <c r="G323" t="s">
        <v>158</v>
      </c>
      <c r="H323" t="s">
        <v>159</v>
      </c>
      <c r="I323" t="s">
        <v>124</v>
      </c>
      <c r="J323" s="15">
        <v>70418.06</v>
      </c>
      <c r="K323" s="15">
        <v>0</v>
      </c>
      <c r="L323" s="15">
        <f t="shared" si="20"/>
        <v>70418.06</v>
      </c>
      <c r="M323" t="s">
        <v>160</v>
      </c>
      <c r="N323" t="s">
        <v>822</v>
      </c>
      <c r="O323" t="s">
        <v>162</v>
      </c>
      <c r="P323" t="s">
        <v>175</v>
      </c>
      <c r="Q323" t="s">
        <v>128</v>
      </c>
      <c r="R323" s="16">
        <v>45913.458333333299</v>
      </c>
      <c r="S323" t="s">
        <v>130</v>
      </c>
      <c r="V323" t="b">
        <f t="shared" si="21"/>
        <v>0</v>
      </c>
      <c r="W323" t="b">
        <f>AND(OR(WEEKDAY(C323,2)=5,WEEKDAY(C323,2)=6),'01_Parameters'!$C$11="Enabled")</f>
        <v>1</v>
      </c>
      <c r="X323" t="b">
        <f t="shared" si="22"/>
        <v>0</v>
      </c>
      <c r="Y323" t="b">
        <f t="shared" si="23"/>
        <v>0</v>
      </c>
      <c r="Z323" t="b">
        <f t="shared" si="24"/>
        <v>0</v>
      </c>
    </row>
    <row r="324" spans="1:26" ht="15" customHeight="1">
      <c r="A324" t="s">
        <v>820</v>
      </c>
      <c r="B324" t="s">
        <v>823</v>
      </c>
      <c r="C324" s="14">
        <v>45913</v>
      </c>
      <c r="D324" s="14">
        <v>45912</v>
      </c>
      <c r="E324">
        <v>2025</v>
      </c>
      <c r="F324">
        <v>9</v>
      </c>
      <c r="G324" t="s">
        <v>164</v>
      </c>
      <c r="H324" t="s">
        <v>165</v>
      </c>
      <c r="I324" t="s">
        <v>146</v>
      </c>
      <c r="J324" s="15">
        <v>0</v>
      </c>
      <c r="K324" s="15">
        <v>70418.06</v>
      </c>
      <c r="L324" s="15">
        <f t="shared" si="20"/>
        <v>-70418.06</v>
      </c>
      <c r="M324" t="s">
        <v>160</v>
      </c>
      <c r="N324" t="s">
        <v>822</v>
      </c>
      <c r="O324" t="s">
        <v>162</v>
      </c>
      <c r="P324" t="s">
        <v>175</v>
      </c>
      <c r="Q324" t="s">
        <v>128</v>
      </c>
      <c r="R324" s="16">
        <v>45913.458333333299</v>
      </c>
      <c r="S324" t="s">
        <v>130</v>
      </c>
      <c r="V324" t="b">
        <f t="shared" si="21"/>
        <v>0</v>
      </c>
      <c r="W324" t="b">
        <f>AND(OR(WEEKDAY(C324,2)=5,WEEKDAY(C324,2)=6),'01_Parameters'!$C$11="Enabled")</f>
        <v>1</v>
      </c>
      <c r="X324" t="b">
        <f t="shared" si="22"/>
        <v>0</v>
      </c>
      <c r="Y324" t="b">
        <f t="shared" si="23"/>
        <v>0</v>
      </c>
      <c r="Z324" t="b">
        <f t="shared" si="24"/>
        <v>0</v>
      </c>
    </row>
    <row r="325" spans="1:26" ht="15" customHeight="1">
      <c r="A325" t="s">
        <v>824</v>
      </c>
      <c r="B325" t="s">
        <v>825</v>
      </c>
      <c r="C325" s="14">
        <v>45776</v>
      </c>
      <c r="D325" s="14">
        <v>45772</v>
      </c>
      <c r="E325">
        <v>2025</v>
      </c>
      <c r="F325">
        <v>4</v>
      </c>
      <c r="G325" t="s">
        <v>193</v>
      </c>
      <c r="H325" t="s">
        <v>194</v>
      </c>
      <c r="I325" t="s">
        <v>124</v>
      </c>
      <c r="J325" s="15">
        <v>75375.490000000005</v>
      </c>
      <c r="K325" s="15">
        <v>0</v>
      </c>
      <c r="L325" s="15">
        <f t="shared" ref="L325:L388" si="25">J325-K325</f>
        <v>75375.490000000005</v>
      </c>
      <c r="M325" t="s">
        <v>195</v>
      </c>
      <c r="N325" t="s">
        <v>826</v>
      </c>
      <c r="O325" t="s">
        <v>197</v>
      </c>
      <c r="P325" t="s">
        <v>175</v>
      </c>
      <c r="Q325" t="s">
        <v>150</v>
      </c>
      <c r="R325" s="16">
        <v>45776.364583333299</v>
      </c>
      <c r="S325" t="s">
        <v>130</v>
      </c>
      <c r="V325" t="b">
        <f t="shared" ref="V325:V388" si="26">AND(C325&gt;=Year_End_Window_Start,C325&lt;=Year_End_Window_End)</f>
        <v>0</v>
      </c>
      <c r="W325" t="b">
        <f>AND(OR(WEEKDAY(C325,2)=5,WEEKDAY(C325,2)=6),'01_Parameters'!$C$11="Enabled")</f>
        <v>0</v>
      </c>
      <c r="X325" t="b">
        <f t="shared" ref="X325:X388" si="27">AND(HOUR(R325)&lt;Business_Day_Start,HOUR(R325)&gt;=0)+AND(HOUR(R325)&gt;=Business_Day_End,HOUR(R325)&lt;=23)&gt;0</f>
        <v>0</v>
      </c>
      <c r="Y325" t="b">
        <f t="shared" ref="Y325:Y388" si="28">ABS(L325)&gt;High_Value_GL_Threshold</f>
        <v>0</v>
      </c>
      <c r="Z325" t="b">
        <f t="shared" ref="Z325:Z388" si="29">AND(ABS(L325)&gt;=Round_Number_Threshold,MOD(ABS(L325),Round_Number_Threshold)=0)</f>
        <v>0</v>
      </c>
    </row>
    <row r="326" spans="1:26" ht="15" customHeight="1">
      <c r="A326" t="s">
        <v>824</v>
      </c>
      <c r="B326" t="s">
        <v>827</v>
      </c>
      <c r="C326" s="14">
        <v>45776</v>
      </c>
      <c r="D326" s="14">
        <v>45772</v>
      </c>
      <c r="E326">
        <v>2025</v>
      </c>
      <c r="F326">
        <v>4</v>
      </c>
      <c r="G326" t="s">
        <v>199</v>
      </c>
      <c r="H326" t="s">
        <v>200</v>
      </c>
      <c r="I326" t="s">
        <v>146</v>
      </c>
      <c r="J326" s="15">
        <v>0</v>
      </c>
      <c r="K326" s="15">
        <v>75375.490000000005</v>
      </c>
      <c r="L326" s="15">
        <f t="shared" si="25"/>
        <v>-75375.490000000005</v>
      </c>
      <c r="M326" t="s">
        <v>195</v>
      </c>
      <c r="N326" t="s">
        <v>826</v>
      </c>
      <c r="O326" t="s">
        <v>197</v>
      </c>
      <c r="P326" t="s">
        <v>175</v>
      </c>
      <c r="Q326" t="s">
        <v>150</v>
      </c>
      <c r="R326" s="16">
        <v>45776.364583333299</v>
      </c>
      <c r="S326" t="s">
        <v>130</v>
      </c>
      <c r="V326" t="b">
        <f t="shared" si="26"/>
        <v>0</v>
      </c>
      <c r="W326" t="b">
        <f>AND(OR(WEEKDAY(C326,2)=5,WEEKDAY(C326,2)=6),'01_Parameters'!$C$11="Enabled")</f>
        <v>0</v>
      </c>
      <c r="X326" t="b">
        <f t="shared" si="27"/>
        <v>0</v>
      </c>
      <c r="Y326" t="b">
        <f t="shared" si="28"/>
        <v>0</v>
      </c>
      <c r="Z326" t="b">
        <f t="shared" si="29"/>
        <v>0</v>
      </c>
    </row>
    <row r="327" spans="1:26" ht="15" customHeight="1">
      <c r="A327" t="s">
        <v>828</v>
      </c>
      <c r="B327" t="s">
        <v>829</v>
      </c>
      <c r="C327" s="14">
        <v>45885</v>
      </c>
      <c r="D327" s="14">
        <v>45881</v>
      </c>
      <c r="E327">
        <v>2025</v>
      </c>
      <c r="F327">
        <v>8</v>
      </c>
      <c r="G327" t="s">
        <v>193</v>
      </c>
      <c r="H327" t="s">
        <v>194</v>
      </c>
      <c r="I327" t="s">
        <v>124</v>
      </c>
      <c r="J327" s="15">
        <v>42592.36</v>
      </c>
      <c r="K327" s="15">
        <v>0</v>
      </c>
      <c r="L327" s="15">
        <f t="shared" si="25"/>
        <v>42592.36</v>
      </c>
      <c r="M327" t="s">
        <v>195</v>
      </c>
      <c r="N327" t="s">
        <v>830</v>
      </c>
      <c r="O327" t="s">
        <v>197</v>
      </c>
      <c r="P327" t="s">
        <v>129</v>
      </c>
      <c r="Q327" t="s">
        <v>128</v>
      </c>
      <c r="R327" s="16">
        <v>45885.84375</v>
      </c>
      <c r="S327" t="s">
        <v>130</v>
      </c>
      <c r="V327" t="b">
        <f t="shared" si="26"/>
        <v>0</v>
      </c>
      <c r="W327" t="b">
        <f>AND(OR(WEEKDAY(C327,2)=5,WEEKDAY(C327,2)=6),'01_Parameters'!$C$11="Enabled")</f>
        <v>1</v>
      </c>
      <c r="X327" t="b">
        <f t="shared" si="27"/>
        <v>1</v>
      </c>
      <c r="Y327" t="b">
        <f t="shared" si="28"/>
        <v>0</v>
      </c>
      <c r="Z327" t="b">
        <f t="shared" si="29"/>
        <v>0</v>
      </c>
    </row>
    <row r="328" spans="1:26" ht="15" customHeight="1">
      <c r="A328" t="s">
        <v>828</v>
      </c>
      <c r="B328" t="s">
        <v>831</v>
      </c>
      <c r="C328" s="14">
        <v>45885</v>
      </c>
      <c r="D328" s="14">
        <v>45881</v>
      </c>
      <c r="E328">
        <v>2025</v>
      </c>
      <c r="F328">
        <v>8</v>
      </c>
      <c r="G328" t="s">
        <v>199</v>
      </c>
      <c r="H328" t="s">
        <v>200</v>
      </c>
      <c r="I328" t="s">
        <v>146</v>
      </c>
      <c r="J328" s="15">
        <v>0</v>
      </c>
      <c r="K328" s="15">
        <v>42592.36</v>
      </c>
      <c r="L328" s="15">
        <f t="shared" si="25"/>
        <v>-42592.36</v>
      </c>
      <c r="M328" t="s">
        <v>195</v>
      </c>
      <c r="N328" t="s">
        <v>830</v>
      </c>
      <c r="O328" t="s">
        <v>197</v>
      </c>
      <c r="P328" t="s">
        <v>129</v>
      </c>
      <c r="Q328" t="s">
        <v>128</v>
      </c>
      <c r="R328" s="16">
        <v>45885.84375</v>
      </c>
      <c r="S328" t="s">
        <v>130</v>
      </c>
      <c r="V328" t="b">
        <f t="shared" si="26"/>
        <v>0</v>
      </c>
      <c r="W328" t="b">
        <f>AND(OR(WEEKDAY(C328,2)=5,WEEKDAY(C328,2)=6),'01_Parameters'!$C$11="Enabled")</f>
        <v>1</v>
      </c>
      <c r="X328" t="b">
        <f t="shared" si="27"/>
        <v>1</v>
      </c>
      <c r="Y328" t="b">
        <f t="shared" si="28"/>
        <v>0</v>
      </c>
      <c r="Z328" t="b">
        <f t="shared" si="29"/>
        <v>0</v>
      </c>
    </row>
    <row r="329" spans="1:26" ht="15" customHeight="1">
      <c r="A329" t="s">
        <v>832</v>
      </c>
      <c r="B329" t="s">
        <v>833</v>
      </c>
      <c r="C329" s="14">
        <v>45887</v>
      </c>
      <c r="D329" s="14">
        <v>45887</v>
      </c>
      <c r="E329">
        <v>2025</v>
      </c>
      <c r="F329">
        <v>8</v>
      </c>
      <c r="G329" t="s">
        <v>144</v>
      </c>
      <c r="H329" t="s">
        <v>145</v>
      </c>
      <c r="I329" t="s">
        <v>146</v>
      </c>
      <c r="J329" s="15">
        <v>76773.289999999994</v>
      </c>
      <c r="K329" s="15">
        <v>0</v>
      </c>
      <c r="L329" s="15">
        <f t="shared" si="25"/>
        <v>76773.289999999994</v>
      </c>
      <c r="M329" t="s">
        <v>147</v>
      </c>
      <c r="N329" t="s">
        <v>834</v>
      </c>
      <c r="O329" t="s">
        <v>149</v>
      </c>
      <c r="P329" t="s">
        <v>175</v>
      </c>
      <c r="Q329" t="s">
        <v>150</v>
      </c>
      <c r="R329" s="16">
        <v>45887.333333333299</v>
      </c>
      <c r="S329" t="s">
        <v>130</v>
      </c>
      <c r="V329" t="b">
        <f t="shared" si="26"/>
        <v>0</v>
      </c>
      <c r="W329" t="b">
        <f>AND(OR(WEEKDAY(C329,2)=5,WEEKDAY(C329,2)=6),'01_Parameters'!$C$11="Enabled")</f>
        <v>0</v>
      </c>
      <c r="X329" t="b">
        <f t="shared" si="27"/>
        <v>0</v>
      </c>
      <c r="Y329" t="b">
        <f t="shared" si="28"/>
        <v>0</v>
      </c>
      <c r="Z329" t="b">
        <f t="shared" si="29"/>
        <v>0</v>
      </c>
    </row>
    <row r="330" spans="1:26" ht="15" customHeight="1">
      <c r="A330" t="s">
        <v>832</v>
      </c>
      <c r="B330" t="s">
        <v>835</v>
      </c>
      <c r="C330" s="14">
        <v>45887</v>
      </c>
      <c r="D330" s="14">
        <v>45887</v>
      </c>
      <c r="E330">
        <v>2025</v>
      </c>
      <c r="F330">
        <v>8</v>
      </c>
      <c r="G330" t="s">
        <v>153</v>
      </c>
      <c r="H330" t="s">
        <v>154</v>
      </c>
      <c r="I330" t="s">
        <v>155</v>
      </c>
      <c r="J330" s="15">
        <v>0</v>
      </c>
      <c r="K330" s="15">
        <v>76773.289999999994</v>
      </c>
      <c r="L330" s="15">
        <f t="shared" si="25"/>
        <v>-76773.289999999994</v>
      </c>
      <c r="M330" t="s">
        <v>147</v>
      </c>
      <c r="N330" t="s">
        <v>834</v>
      </c>
      <c r="O330" t="s">
        <v>149</v>
      </c>
      <c r="P330" t="s">
        <v>175</v>
      </c>
      <c r="Q330" t="s">
        <v>150</v>
      </c>
      <c r="R330" s="16">
        <v>45887.333333333299</v>
      </c>
      <c r="S330" t="s">
        <v>130</v>
      </c>
      <c r="V330" t="b">
        <f t="shared" si="26"/>
        <v>0</v>
      </c>
      <c r="W330" t="b">
        <f>AND(OR(WEEKDAY(C330,2)=5,WEEKDAY(C330,2)=6),'01_Parameters'!$C$11="Enabled")</f>
        <v>0</v>
      </c>
      <c r="X330" t="b">
        <f t="shared" si="27"/>
        <v>0</v>
      </c>
      <c r="Y330" t="b">
        <f t="shared" si="28"/>
        <v>0</v>
      </c>
      <c r="Z330" t="b">
        <f t="shared" si="29"/>
        <v>0</v>
      </c>
    </row>
    <row r="331" spans="1:26" ht="15" customHeight="1">
      <c r="A331" t="s">
        <v>836</v>
      </c>
      <c r="B331" t="s">
        <v>837</v>
      </c>
      <c r="C331" s="14">
        <v>45900</v>
      </c>
      <c r="D331" s="14">
        <v>45897</v>
      </c>
      <c r="E331">
        <v>2025</v>
      </c>
      <c r="F331">
        <v>8</v>
      </c>
      <c r="G331" t="s">
        <v>144</v>
      </c>
      <c r="H331" t="s">
        <v>145</v>
      </c>
      <c r="I331" t="s">
        <v>146</v>
      </c>
      <c r="J331" s="15">
        <v>58448.55</v>
      </c>
      <c r="K331" s="15">
        <v>0</v>
      </c>
      <c r="L331" s="15">
        <f t="shared" si="25"/>
        <v>58448.55</v>
      </c>
      <c r="M331" t="s">
        <v>147</v>
      </c>
      <c r="N331" t="s">
        <v>838</v>
      </c>
      <c r="O331" t="s">
        <v>149</v>
      </c>
      <c r="P331" t="s">
        <v>140</v>
      </c>
      <c r="Q331" t="s">
        <v>151</v>
      </c>
      <c r="R331" s="16">
        <v>45900.270833333299</v>
      </c>
      <c r="S331" t="s">
        <v>130</v>
      </c>
      <c r="V331" t="b">
        <f t="shared" si="26"/>
        <v>0</v>
      </c>
      <c r="W331" t="b">
        <f>AND(OR(WEEKDAY(C331,2)=5,WEEKDAY(C331,2)=6),'01_Parameters'!$C$11="Enabled")</f>
        <v>0</v>
      </c>
      <c r="X331" t="b">
        <f t="shared" si="27"/>
        <v>1</v>
      </c>
      <c r="Y331" t="b">
        <f t="shared" si="28"/>
        <v>0</v>
      </c>
      <c r="Z331" t="b">
        <f t="shared" si="29"/>
        <v>0</v>
      </c>
    </row>
    <row r="332" spans="1:26" ht="15" customHeight="1">
      <c r="A332" t="s">
        <v>836</v>
      </c>
      <c r="B332" t="s">
        <v>839</v>
      </c>
      <c r="C332" s="14">
        <v>45900</v>
      </c>
      <c r="D332" s="14">
        <v>45897</v>
      </c>
      <c r="E332">
        <v>2025</v>
      </c>
      <c r="F332">
        <v>8</v>
      </c>
      <c r="G332" t="s">
        <v>153</v>
      </c>
      <c r="H332" t="s">
        <v>154</v>
      </c>
      <c r="I332" t="s">
        <v>155</v>
      </c>
      <c r="J332" s="15">
        <v>0</v>
      </c>
      <c r="K332" s="15">
        <v>58448.55</v>
      </c>
      <c r="L332" s="15">
        <f t="shared" si="25"/>
        <v>-58448.55</v>
      </c>
      <c r="M332" t="s">
        <v>147</v>
      </c>
      <c r="N332" t="s">
        <v>838</v>
      </c>
      <c r="O332" t="s">
        <v>149</v>
      </c>
      <c r="P332" t="s">
        <v>140</v>
      </c>
      <c r="Q332" t="s">
        <v>151</v>
      </c>
      <c r="R332" s="16">
        <v>45900.270833333299</v>
      </c>
      <c r="S332" t="s">
        <v>130</v>
      </c>
      <c r="V332" t="b">
        <f t="shared" si="26"/>
        <v>0</v>
      </c>
      <c r="W332" t="b">
        <f>AND(OR(WEEKDAY(C332,2)=5,WEEKDAY(C332,2)=6),'01_Parameters'!$C$11="Enabled")</f>
        <v>0</v>
      </c>
      <c r="X332" t="b">
        <f t="shared" si="27"/>
        <v>1</v>
      </c>
      <c r="Y332" t="b">
        <f t="shared" si="28"/>
        <v>0</v>
      </c>
      <c r="Z332" t="b">
        <f t="shared" si="29"/>
        <v>0</v>
      </c>
    </row>
    <row r="333" spans="1:26" ht="15" customHeight="1">
      <c r="A333" t="s">
        <v>840</v>
      </c>
      <c r="B333" t="s">
        <v>841</v>
      </c>
      <c r="C333" s="14">
        <v>45775</v>
      </c>
      <c r="D333" s="14">
        <v>45775</v>
      </c>
      <c r="E333">
        <v>2025</v>
      </c>
      <c r="F333">
        <v>4</v>
      </c>
      <c r="G333" t="s">
        <v>158</v>
      </c>
      <c r="H333" t="s">
        <v>159</v>
      </c>
      <c r="I333" t="s">
        <v>124</v>
      </c>
      <c r="J333" s="15">
        <v>26880.81</v>
      </c>
      <c r="K333" s="15">
        <v>0</v>
      </c>
      <c r="L333" s="15">
        <f t="shared" si="25"/>
        <v>26880.81</v>
      </c>
      <c r="M333" t="s">
        <v>160</v>
      </c>
      <c r="N333" t="s">
        <v>842</v>
      </c>
      <c r="O333" t="s">
        <v>162</v>
      </c>
      <c r="P333" t="s">
        <v>140</v>
      </c>
      <c r="Q333" t="s">
        <v>175</v>
      </c>
      <c r="R333" s="16">
        <v>45775.40625</v>
      </c>
      <c r="S333" t="s">
        <v>130</v>
      </c>
      <c r="V333" t="b">
        <f t="shared" si="26"/>
        <v>0</v>
      </c>
      <c r="W333" t="b">
        <f>AND(OR(WEEKDAY(C333,2)=5,WEEKDAY(C333,2)=6),'01_Parameters'!$C$11="Enabled")</f>
        <v>0</v>
      </c>
      <c r="X333" t="b">
        <f t="shared" si="27"/>
        <v>0</v>
      </c>
      <c r="Y333" t="b">
        <f t="shared" si="28"/>
        <v>0</v>
      </c>
      <c r="Z333" t="b">
        <f t="shared" si="29"/>
        <v>0</v>
      </c>
    </row>
    <row r="334" spans="1:26" ht="15" customHeight="1">
      <c r="A334" t="s">
        <v>840</v>
      </c>
      <c r="B334" t="s">
        <v>843</v>
      </c>
      <c r="C334" s="14">
        <v>45775</v>
      </c>
      <c r="D334" s="14">
        <v>45775</v>
      </c>
      <c r="E334">
        <v>2025</v>
      </c>
      <c r="F334">
        <v>4</v>
      </c>
      <c r="G334" t="s">
        <v>164</v>
      </c>
      <c r="H334" t="s">
        <v>165</v>
      </c>
      <c r="I334" t="s">
        <v>146</v>
      </c>
      <c r="J334" s="15">
        <v>0</v>
      </c>
      <c r="K334" s="15">
        <v>26880.81</v>
      </c>
      <c r="L334" s="15">
        <f t="shared" si="25"/>
        <v>-26880.81</v>
      </c>
      <c r="M334" t="s">
        <v>160</v>
      </c>
      <c r="N334" t="s">
        <v>842</v>
      </c>
      <c r="O334" t="s">
        <v>162</v>
      </c>
      <c r="P334" t="s">
        <v>140</v>
      </c>
      <c r="Q334" t="s">
        <v>175</v>
      </c>
      <c r="R334" s="16">
        <v>45775.40625</v>
      </c>
      <c r="S334" t="s">
        <v>130</v>
      </c>
      <c r="V334" t="b">
        <f t="shared" si="26"/>
        <v>0</v>
      </c>
      <c r="W334" t="b">
        <f>AND(OR(WEEKDAY(C334,2)=5,WEEKDAY(C334,2)=6),'01_Parameters'!$C$11="Enabled")</f>
        <v>0</v>
      </c>
      <c r="X334" t="b">
        <f t="shared" si="27"/>
        <v>0</v>
      </c>
      <c r="Y334" t="b">
        <f t="shared" si="28"/>
        <v>0</v>
      </c>
      <c r="Z334" t="b">
        <f t="shared" si="29"/>
        <v>0</v>
      </c>
    </row>
    <row r="335" spans="1:26" ht="15" customHeight="1">
      <c r="A335" t="s">
        <v>844</v>
      </c>
      <c r="B335" t="s">
        <v>845</v>
      </c>
      <c r="C335" s="14">
        <v>45795</v>
      </c>
      <c r="D335" s="14">
        <v>45792</v>
      </c>
      <c r="E335">
        <v>2025</v>
      </c>
      <c r="F335">
        <v>5</v>
      </c>
      <c r="G335" t="s">
        <v>144</v>
      </c>
      <c r="H335" t="s">
        <v>145</v>
      </c>
      <c r="I335" t="s">
        <v>146</v>
      </c>
      <c r="J335" s="15">
        <v>63689.39</v>
      </c>
      <c r="K335" s="15">
        <v>0</v>
      </c>
      <c r="L335" s="15">
        <f t="shared" si="25"/>
        <v>63689.39</v>
      </c>
      <c r="M335" t="s">
        <v>147</v>
      </c>
      <c r="N335" t="s">
        <v>846</v>
      </c>
      <c r="O335" t="s">
        <v>149</v>
      </c>
      <c r="P335" t="s">
        <v>140</v>
      </c>
      <c r="Q335" t="s">
        <v>150</v>
      </c>
      <c r="R335" s="16">
        <v>45795.46875</v>
      </c>
      <c r="S335" t="s">
        <v>130</v>
      </c>
      <c r="V335" t="b">
        <f t="shared" si="26"/>
        <v>0</v>
      </c>
      <c r="W335" t="b">
        <f>AND(OR(WEEKDAY(C335,2)=5,WEEKDAY(C335,2)=6),'01_Parameters'!$C$11="Enabled")</f>
        <v>0</v>
      </c>
      <c r="X335" t="b">
        <f t="shared" si="27"/>
        <v>0</v>
      </c>
      <c r="Y335" t="b">
        <f t="shared" si="28"/>
        <v>0</v>
      </c>
      <c r="Z335" t="b">
        <f t="shared" si="29"/>
        <v>0</v>
      </c>
    </row>
    <row r="336" spans="1:26" ht="15" customHeight="1">
      <c r="A336" t="s">
        <v>844</v>
      </c>
      <c r="B336" t="s">
        <v>847</v>
      </c>
      <c r="C336" s="14">
        <v>45795</v>
      </c>
      <c r="D336" s="14">
        <v>45792</v>
      </c>
      <c r="E336">
        <v>2025</v>
      </c>
      <c r="F336">
        <v>5</v>
      </c>
      <c r="G336" t="s">
        <v>153</v>
      </c>
      <c r="H336" t="s">
        <v>154</v>
      </c>
      <c r="I336" t="s">
        <v>155</v>
      </c>
      <c r="J336" s="15">
        <v>0</v>
      </c>
      <c r="K336" s="15">
        <v>63689.39</v>
      </c>
      <c r="L336" s="15">
        <f t="shared" si="25"/>
        <v>-63689.39</v>
      </c>
      <c r="M336" t="s">
        <v>147</v>
      </c>
      <c r="N336" t="s">
        <v>846</v>
      </c>
      <c r="O336" t="s">
        <v>149</v>
      </c>
      <c r="P336" t="s">
        <v>140</v>
      </c>
      <c r="Q336" t="s">
        <v>150</v>
      </c>
      <c r="R336" s="16">
        <v>45795.46875</v>
      </c>
      <c r="S336" t="s">
        <v>130</v>
      </c>
      <c r="V336" t="b">
        <f t="shared" si="26"/>
        <v>0</v>
      </c>
      <c r="W336" t="b">
        <f>AND(OR(WEEKDAY(C336,2)=5,WEEKDAY(C336,2)=6),'01_Parameters'!$C$11="Enabled")</f>
        <v>0</v>
      </c>
      <c r="X336" t="b">
        <f t="shared" si="27"/>
        <v>0</v>
      </c>
      <c r="Y336" t="b">
        <f t="shared" si="28"/>
        <v>0</v>
      </c>
      <c r="Z336" t="b">
        <f t="shared" si="29"/>
        <v>0</v>
      </c>
    </row>
    <row r="337" spans="1:26" ht="15" customHeight="1">
      <c r="A337" t="s">
        <v>848</v>
      </c>
      <c r="B337" t="s">
        <v>849</v>
      </c>
      <c r="C337" s="14">
        <v>45896</v>
      </c>
      <c r="D337" s="14">
        <v>45892</v>
      </c>
      <c r="E337">
        <v>2025</v>
      </c>
      <c r="F337">
        <v>8</v>
      </c>
      <c r="G337" t="s">
        <v>158</v>
      </c>
      <c r="H337" t="s">
        <v>159</v>
      </c>
      <c r="I337" t="s">
        <v>124</v>
      </c>
      <c r="J337" s="15">
        <v>72254.23</v>
      </c>
      <c r="K337" s="15">
        <v>0</v>
      </c>
      <c r="L337" s="15">
        <f t="shared" si="25"/>
        <v>72254.23</v>
      </c>
      <c r="M337" t="s">
        <v>160</v>
      </c>
      <c r="N337" t="s">
        <v>850</v>
      </c>
      <c r="O337" t="s">
        <v>162</v>
      </c>
      <c r="P337" t="s">
        <v>128</v>
      </c>
      <c r="Q337" t="s">
        <v>140</v>
      </c>
      <c r="R337" s="16">
        <v>45896.84375</v>
      </c>
      <c r="S337" t="s">
        <v>130</v>
      </c>
      <c r="V337" t="b">
        <f t="shared" si="26"/>
        <v>0</v>
      </c>
      <c r="W337" t="b">
        <f>AND(OR(WEEKDAY(C337,2)=5,WEEKDAY(C337,2)=6),'01_Parameters'!$C$11="Enabled")</f>
        <v>0</v>
      </c>
      <c r="X337" t="b">
        <f t="shared" si="27"/>
        <v>1</v>
      </c>
      <c r="Y337" t="b">
        <f t="shared" si="28"/>
        <v>0</v>
      </c>
      <c r="Z337" t="b">
        <f t="shared" si="29"/>
        <v>0</v>
      </c>
    </row>
    <row r="338" spans="1:26" ht="15" customHeight="1">
      <c r="A338" t="s">
        <v>848</v>
      </c>
      <c r="B338" t="s">
        <v>851</v>
      </c>
      <c r="C338" s="14">
        <v>45896</v>
      </c>
      <c r="D338" s="14">
        <v>45892</v>
      </c>
      <c r="E338">
        <v>2025</v>
      </c>
      <c r="F338">
        <v>8</v>
      </c>
      <c r="G338" t="s">
        <v>164</v>
      </c>
      <c r="H338" t="s">
        <v>165</v>
      </c>
      <c r="I338" t="s">
        <v>146</v>
      </c>
      <c r="J338" s="15">
        <v>0</v>
      </c>
      <c r="K338" s="15">
        <v>72254.23</v>
      </c>
      <c r="L338" s="15">
        <f t="shared" si="25"/>
        <v>-72254.23</v>
      </c>
      <c r="M338" t="s">
        <v>160</v>
      </c>
      <c r="N338" t="s">
        <v>850</v>
      </c>
      <c r="O338" t="s">
        <v>162</v>
      </c>
      <c r="P338" t="s">
        <v>128</v>
      </c>
      <c r="Q338" t="s">
        <v>140</v>
      </c>
      <c r="R338" s="16">
        <v>45896.84375</v>
      </c>
      <c r="S338" t="s">
        <v>130</v>
      </c>
      <c r="V338" t="b">
        <f t="shared" si="26"/>
        <v>0</v>
      </c>
      <c r="W338" t="b">
        <f>AND(OR(WEEKDAY(C338,2)=5,WEEKDAY(C338,2)=6),'01_Parameters'!$C$11="Enabled")</f>
        <v>0</v>
      </c>
      <c r="X338" t="b">
        <f t="shared" si="27"/>
        <v>1</v>
      </c>
      <c r="Y338" t="b">
        <f t="shared" si="28"/>
        <v>0</v>
      </c>
      <c r="Z338" t="b">
        <f t="shared" si="29"/>
        <v>0</v>
      </c>
    </row>
    <row r="339" spans="1:26" ht="15" customHeight="1">
      <c r="A339" t="s">
        <v>852</v>
      </c>
      <c r="B339" t="s">
        <v>853</v>
      </c>
      <c r="C339" s="14">
        <v>45828</v>
      </c>
      <c r="D339" s="14">
        <v>45823</v>
      </c>
      <c r="E339">
        <v>2025</v>
      </c>
      <c r="F339">
        <v>6</v>
      </c>
      <c r="G339" t="s">
        <v>179</v>
      </c>
      <c r="H339" t="s">
        <v>180</v>
      </c>
      <c r="I339" t="s">
        <v>124</v>
      </c>
      <c r="J339" s="15">
        <v>21908.7</v>
      </c>
      <c r="K339" s="15">
        <v>0</v>
      </c>
      <c r="L339" s="15">
        <f t="shared" si="25"/>
        <v>21908.7</v>
      </c>
      <c r="M339" t="s">
        <v>181</v>
      </c>
      <c r="N339" t="s">
        <v>854</v>
      </c>
      <c r="O339" t="s">
        <v>183</v>
      </c>
      <c r="P339" t="s">
        <v>128</v>
      </c>
      <c r="Q339" t="s">
        <v>151</v>
      </c>
      <c r="R339" s="16">
        <v>45828.583333333299</v>
      </c>
      <c r="S339" t="s">
        <v>288</v>
      </c>
      <c r="V339" t="b">
        <f t="shared" si="26"/>
        <v>0</v>
      </c>
      <c r="W339" t="b">
        <f>AND(OR(WEEKDAY(C339,2)=5,WEEKDAY(C339,2)=6),'01_Parameters'!$C$11="Enabled")</f>
        <v>1</v>
      </c>
      <c r="X339" t="b">
        <f t="shared" si="27"/>
        <v>0</v>
      </c>
      <c r="Y339" t="b">
        <f t="shared" si="28"/>
        <v>0</v>
      </c>
      <c r="Z339" t="b">
        <f t="shared" si="29"/>
        <v>0</v>
      </c>
    </row>
    <row r="340" spans="1:26" ht="15" customHeight="1">
      <c r="A340" t="s">
        <v>852</v>
      </c>
      <c r="B340" t="s">
        <v>855</v>
      </c>
      <c r="C340" s="14">
        <v>45828</v>
      </c>
      <c r="D340" s="14">
        <v>45823</v>
      </c>
      <c r="E340">
        <v>2025</v>
      </c>
      <c r="F340">
        <v>6</v>
      </c>
      <c r="G340" t="s">
        <v>185</v>
      </c>
      <c r="H340" t="s">
        <v>186</v>
      </c>
      <c r="I340" t="s">
        <v>134</v>
      </c>
      <c r="J340" s="15">
        <v>0</v>
      </c>
      <c r="K340" s="15">
        <v>21908.7</v>
      </c>
      <c r="L340" s="15">
        <f t="shared" si="25"/>
        <v>-21908.7</v>
      </c>
      <c r="M340" t="s">
        <v>181</v>
      </c>
      <c r="N340" t="s">
        <v>854</v>
      </c>
      <c r="O340" t="s">
        <v>183</v>
      </c>
      <c r="P340" t="s">
        <v>128</v>
      </c>
      <c r="Q340" t="s">
        <v>151</v>
      </c>
      <c r="R340" s="16">
        <v>45828.583333333299</v>
      </c>
      <c r="S340" t="s">
        <v>288</v>
      </c>
      <c r="V340" t="b">
        <f t="shared" si="26"/>
        <v>0</v>
      </c>
      <c r="W340" t="b">
        <f>AND(OR(WEEKDAY(C340,2)=5,WEEKDAY(C340,2)=6),'01_Parameters'!$C$11="Enabled")</f>
        <v>1</v>
      </c>
      <c r="X340" t="b">
        <f t="shared" si="27"/>
        <v>0</v>
      </c>
      <c r="Y340" t="b">
        <f t="shared" si="28"/>
        <v>0</v>
      </c>
      <c r="Z340" t="b">
        <f t="shared" si="29"/>
        <v>0</v>
      </c>
    </row>
    <row r="341" spans="1:26" ht="15" customHeight="1">
      <c r="A341" t="s">
        <v>856</v>
      </c>
      <c r="B341" t="s">
        <v>857</v>
      </c>
      <c r="C341" s="14">
        <v>46014</v>
      </c>
      <c r="D341" s="14">
        <v>46013</v>
      </c>
      <c r="E341">
        <v>2025</v>
      </c>
      <c r="F341">
        <v>12</v>
      </c>
      <c r="G341" t="s">
        <v>199</v>
      </c>
      <c r="H341" t="s">
        <v>200</v>
      </c>
      <c r="I341" t="s">
        <v>146</v>
      </c>
      <c r="J341" s="15">
        <v>60530.59</v>
      </c>
      <c r="K341" s="15">
        <v>0</v>
      </c>
      <c r="L341" s="15">
        <f t="shared" si="25"/>
        <v>60530.59</v>
      </c>
      <c r="M341" t="s">
        <v>209</v>
      </c>
      <c r="N341" t="s">
        <v>858</v>
      </c>
      <c r="O341" t="s">
        <v>211</v>
      </c>
      <c r="P341" t="s">
        <v>140</v>
      </c>
      <c r="Q341" t="s">
        <v>150</v>
      </c>
      <c r="R341" s="16">
        <v>46014.833333333299</v>
      </c>
      <c r="S341" t="s">
        <v>130</v>
      </c>
      <c r="T341" t="s">
        <v>251</v>
      </c>
      <c r="U341" t="s">
        <v>858</v>
      </c>
      <c r="V341" t="b">
        <f t="shared" si="26"/>
        <v>1</v>
      </c>
      <c r="W341" t="b">
        <f>AND(OR(WEEKDAY(C341,2)=5,WEEKDAY(C341,2)=6),'01_Parameters'!$C$11="Enabled")</f>
        <v>0</v>
      </c>
      <c r="X341" t="b">
        <f t="shared" si="27"/>
        <v>1</v>
      </c>
      <c r="Y341" t="b">
        <f t="shared" si="28"/>
        <v>0</v>
      </c>
      <c r="Z341" t="b">
        <f t="shared" si="29"/>
        <v>0</v>
      </c>
    </row>
    <row r="342" spans="1:26" ht="15" customHeight="1">
      <c r="A342" t="s">
        <v>856</v>
      </c>
      <c r="B342" t="s">
        <v>859</v>
      </c>
      <c r="C342" s="14">
        <v>46014</v>
      </c>
      <c r="D342" s="14">
        <v>46013</v>
      </c>
      <c r="E342">
        <v>2025</v>
      </c>
      <c r="F342">
        <v>12</v>
      </c>
      <c r="G342" t="s">
        <v>132</v>
      </c>
      <c r="H342" t="s">
        <v>133</v>
      </c>
      <c r="I342" t="s">
        <v>134</v>
      </c>
      <c r="J342" s="15">
        <v>0</v>
      </c>
      <c r="K342" s="15">
        <v>60530.59</v>
      </c>
      <c r="L342" s="15">
        <f t="shared" si="25"/>
        <v>-60530.59</v>
      </c>
      <c r="M342" t="s">
        <v>209</v>
      </c>
      <c r="N342" t="s">
        <v>858</v>
      </c>
      <c r="O342" t="s">
        <v>211</v>
      </c>
      <c r="P342" t="s">
        <v>140</v>
      </c>
      <c r="Q342" t="s">
        <v>150</v>
      </c>
      <c r="R342" s="16">
        <v>46014.833333333299</v>
      </c>
      <c r="S342" t="s">
        <v>130</v>
      </c>
      <c r="T342" t="s">
        <v>251</v>
      </c>
      <c r="U342" t="s">
        <v>858</v>
      </c>
      <c r="V342" t="b">
        <f t="shared" si="26"/>
        <v>1</v>
      </c>
      <c r="W342" t="b">
        <f>AND(OR(WEEKDAY(C342,2)=5,WEEKDAY(C342,2)=6),'01_Parameters'!$C$11="Enabled")</f>
        <v>0</v>
      </c>
      <c r="X342" t="b">
        <f t="shared" si="27"/>
        <v>1</v>
      </c>
      <c r="Y342" t="b">
        <f t="shared" si="28"/>
        <v>0</v>
      </c>
      <c r="Z342" t="b">
        <f t="shared" si="29"/>
        <v>0</v>
      </c>
    </row>
    <row r="343" spans="1:26" ht="15" customHeight="1">
      <c r="A343" t="s">
        <v>860</v>
      </c>
      <c r="B343" t="s">
        <v>861</v>
      </c>
      <c r="C343" s="14">
        <v>45812</v>
      </c>
      <c r="D343" s="14">
        <v>45812</v>
      </c>
      <c r="E343">
        <v>2025</v>
      </c>
      <c r="F343">
        <v>6</v>
      </c>
      <c r="G343" t="s">
        <v>193</v>
      </c>
      <c r="H343" t="s">
        <v>194</v>
      </c>
      <c r="I343" t="s">
        <v>124</v>
      </c>
      <c r="J343" s="15">
        <v>31767.21</v>
      </c>
      <c r="K343" s="15">
        <v>0</v>
      </c>
      <c r="L343" s="15">
        <f t="shared" si="25"/>
        <v>31767.21</v>
      </c>
      <c r="M343" t="s">
        <v>195</v>
      </c>
      <c r="N343" t="s">
        <v>862</v>
      </c>
      <c r="O343" t="s">
        <v>197</v>
      </c>
      <c r="P343" t="s">
        <v>140</v>
      </c>
      <c r="Q343" t="s">
        <v>150</v>
      </c>
      <c r="R343" s="16">
        <v>45812.71875</v>
      </c>
      <c r="S343" t="s">
        <v>130</v>
      </c>
      <c r="V343" t="b">
        <f t="shared" si="26"/>
        <v>0</v>
      </c>
      <c r="W343" t="b">
        <f>AND(OR(WEEKDAY(C343,2)=5,WEEKDAY(C343,2)=6),'01_Parameters'!$C$11="Enabled")</f>
        <v>0</v>
      </c>
      <c r="X343" t="b">
        <f t="shared" si="27"/>
        <v>0</v>
      </c>
      <c r="Y343" t="b">
        <f t="shared" si="28"/>
        <v>0</v>
      </c>
      <c r="Z343" t="b">
        <f t="shared" si="29"/>
        <v>0</v>
      </c>
    </row>
    <row r="344" spans="1:26" ht="15" customHeight="1">
      <c r="A344" t="s">
        <v>860</v>
      </c>
      <c r="B344" t="s">
        <v>863</v>
      </c>
      <c r="C344" s="14">
        <v>45812</v>
      </c>
      <c r="D344" s="14">
        <v>45812</v>
      </c>
      <c r="E344">
        <v>2025</v>
      </c>
      <c r="F344">
        <v>6</v>
      </c>
      <c r="G344" t="s">
        <v>199</v>
      </c>
      <c r="H344" t="s">
        <v>200</v>
      </c>
      <c r="I344" t="s">
        <v>146</v>
      </c>
      <c r="J344" s="15">
        <v>0</v>
      </c>
      <c r="K344" s="15">
        <v>31767.21</v>
      </c>
      <c r="L344" s="15">
        <f t="shared" si="25"/>
        <v>-31767.21</v>
      </c>
      <c r="M344" t="s">
        <v>195</v>
      </c>
      <c r="N344" t="s">
        <v>862</v>
      </c>
      <c r="O344" t="s">
        <v>197</v>
      </c>
      <c r="P344" t="s">
        <v>140</v>
      </c>
      <c r="Q344" t="s">
        <v>150</v>
      </c>
      <c r="R344" s="16">
        <v>45812.71875</v>
      </c>
      <c r="S344" t="s">
        <v>130</v>
      </c>
      <c r="V344" t="b">
        <f t="shared" si="26"/>
        <v>0</v>
      </c>
      <c r="W344" t="b">
        <f>AND(OR(WEEKDAY(C344,2)=5,WEEKDAY(C344,2)=6),'01_Parameters'!$C$11="Enabled")</f>
        <v>0</v>
      </c>
      <c r="X344" t="b">
        <f t="shared" si="27"/>
        <v>0</v>
      </c>
      <c r="Y344" t="b">
        <f t="shared" si="28"/>
        <v>0</v>
      </c>
      <c r="Z344" t="b">
        <f t="shared" si="29"/>
        <v>0</v>
      </c>
    </row>
    <row r="345" spans="1:26" ht="15" customHeight="1">
      <c r="A345" t="s">
        <v>864</v>
      </c>
      <c r="B345" t="s">
        <v>865</v>
      </c>
      <c r="C345" s="14">
        <v>45839</v>
      </c>
      <c r="D345" s="14">
        <v>45838</v>
      </c>
      <c r="E345">
        <v>2025</v>
      </c>
      <c r="F345">
        <v>7</v>
      </c>
      <c r="G345" t="s">
        <v>193</v>
      </c>
      <c r="H345" t="s">
        <v>194</v>
      </c>
      <c r="I345" t="s">
        <v>124</v>
      </c>
      <c r="J345" s="15">
        <v>38707.269999999997</v>
      </c>
      <c r="K345" s="15">
        <v>0</v>
      </c>
      <c r="L345" s="15">
        <f t="shared" si="25"/>
        <v>38707.269999999997</v>
      </c>
      <c r="M345" t="s">
        <v>195</v>
      </c>
      <c r="N345" t="s">
        <v>866</v>
      </c>
      <c r="O345" t="s">
        <v>197</v>
      </c>
      <c r="P345" t="s">
        <v>140</v>
      </c>
      <c r="Q345" t="s">
        <v>128</v>
      </c>
      <c r="R345" s="16">
        <v>45839.65625</v>
      </c>
      <c r="S345" t="s">
        <v>130</v>
      </c>
      <c r="V345" t="b">
        <f t="shared" si="26"/>
        <v>0</v>
      </c>
      <c r="W345" t="b">
        <f>AND(OR(WEEKDAY(C345,2)=5,WEEKDAY(C345,2)=6),'01_Parameters'!$C$11="Enabled")</f>
        <v>0</v>
      </c>
      <c r="X345" t="b">
        <f t="shared" si="27"/>
        <v>0</v>
      </c>
      <c r="Y345" t="b">
        <f t="shared" si="28"/>
        <v>0</v>
      </c>
      <c r="Z345" t="b">
        <f t="shared" si="29"/>
        <v>0</v>
      </c>
    </row>
    <row r="346" spans="1:26" ht="15" customHeight="1">
      <c r="A346" t="s">
        <v>864</v>
      </c>
      <c r="B346" t="s">
        <v>867</v>
      </c>
      <c r="C346" s="14">
        <v>45839</v>
      </c>
      <c r="D346" s="14">
        <v>45838</v>
      </c>
      <c r="E346">
        <v>2025</v>
      </c>
      <c r="F346">
        <v>7</v>
      </c>
      <c r="G346" t="s">
        <v>199</v>
      </c>
      <c r="H346" t="s">
        <v>200</v>
      </c>
      <c r="I346" t="s">
        <v>146</v>
      </c>
      <c r="J346" s="15">
        <v>0</v>
      </c>
      <c r="K346" s="15">
        <v>38707.269999999997</v>
      </c>
      <c r="L346" s="15">
        <f t="shared" si="25"/>
        <v>-38707.269999999997</v>
      </c>
      <c r="M346" t="s">
        <v>195</v>
      </c>
      <c r="N346" t="s">
        <v>866</v>
      </c>
      <c r="O346" t="s">
        <v>197</v>
      </c>
      <c r="P346" t="s">
        <v>140</v>
      </c>
      <c r="Q346" t="s">
        <v>128</v>
      </c>
      <c r="R346" s="16">
        <v>45839.65625</v>
      </c>
      <c r="S346" t="s">
        <v>130</v>
      </c>
      <c r="V346" t="b">
        <f t="shared" si="26"/>
        <v>0</v>
      </c>
      <c r="W346" t="b">
        <f>AND(OR(WEEKDAY(C346,2)=5,WEEKDAY(C346,2)=6),'01_Parameters'!$C$11="Enabled")</f>
        <v>0</v>
      </c>
      <c r="X346" t="b">
        <f t="shared" si="27"/>
        <v>0</v>
      </c>
      <c r="Y346" t="b">
        <f t="shared" si="28"/>
        <v>0</v>
      </c>
      <c r="Z346" t="b">
        <f t="shared" si="29"/>
        <v>0</v>
      </c>
    </row>
    <row r="347" spans="1:26" ht="15" customHeight="1">
      <c r="A347" t="s">
        <v>868</v>
      </c>
      <c r="B347" t="s">
        <v>869</v>
      </c>
      <c r="C347" s="14">
        <v>45817</v>
      </c>
      <c r="D347" s="14">
        <v>45813</v>
      </c>
      <c r="E347">
        <v>2025</v>
      </c>
      <c r="F347">
        <v>6</v>
      </c>
      <c r="G347" t="s">
        <v>172</v>
      </c>
      <c r="H347" t="s">
        <v>173</v>
      </c>
      <c r="I347" t="s">
        <v>124</v>
      </c>
      <c r="J347" s="15">
        <v>73503.02</v>
      </c>
      <c r="K347" s="15">
        <v>0</v>
      </c>
      <c r="L347" s="15">
        <f t="shared" si="25"/>
        <v>73503.02</v>
      </c>
      <c r="M347" t="s">
        <v>209</v>
      </c>
      <c r="N347" t="s">
        <v>870</v>
      </c>
      <c r="O347" t="s">
        <v>211</v>
      </c>
      <c r="P347" t="s">
        <v>129</v>
      </c>
      <c r="Q347" t="s">
        <v>151</v>
      </c>
      <c r="R347" s="16">
        <v>45817.458333333299</v>
      </c>
      <c r="S347" t="s">
        <v>130</v>
      </c>
      <c r="T347" t="s">
        <v>440</v>
      </c>
      <c r="U347" t="s">
        <v>870</v>
      </c>
      <c r="V347" t="b">
        <f t="shared" si="26"/>
        <v>0</v>
      </c>
      <c r="W347" t="b">
        <f>AND(OR(WEEKDAY(C347,2)=5,WEEKDAY(C347,2)=6),'01_Parameters'!$C$11="Enabled")</f>
        <v>0</v>
      </c>
      <c r="X347" t="b">
        <f t="shared" si="27"/>
        <v>0</v>
      </c>
      <c r="Y347" t="b">
        <f t="shared" si="28"/>
        <v>0</v>
      </c>
      <c r="Z347" t="b">
        <f t="shared" si="29"/>
        <v>0</v>
      </c>
    </row>
    <row r="348" spans="1:26" ht="15" customHeight="1">
      <c r="A348" t="s">
        <v>868</v>
      </c>
      <c r="B348" t="s">
        <v>871</v>
      </c>
      <c r="C348" s="14">
        <v>45817</v>
      </c>
      <c r="D348" s="14">
        <v>45813</v>
      </c>
      <c r="E348">
        <v>2025</v>
      </c>
      <c r="F348">
        <v>6</v>
      </c>
      <c r="G348" t="s">
        <v>132</v>
      </c>
      <c r="H348" t="s">
        <v>133</v>
      </c>
      <c r="I348" t="s">
        <v>134</v>
      </c>
      <c r="J348" s="15">
        <v>0</v>
      </c>
      <c r="K348" s="15">
        <v>73503.02</v>
      </c>
      <c r="L348" s="15">
        <f t="shared" si="25"/>
        <v>-73503.02</v>
      </c>
      <c r="M348" t="s">
        <v>209</v>
      </c>
      <c r="N348" t="s">
        <v>870</v>
      </c>
      <c r="O348" t="s">
        <v>211</v>
      </c>
      <c r="P348" t="s">
        <v>129</v>
      </c>
      <c r="Q348" t="s">
        <v>151</v>
      </c>
      <c r="R348" s="16">
        <v>45817.458333333299</v>
      </c>
      <c r="S348" t="s">
        <v>130</v>
      </c>
      <c r="T348" t="s">
        <v>440</v>
      </c>
      <c r="U348" t="s">
        <v>870</v>
      </c>
      <c r="V348" t="b">
        <f t="shared" si="26"/>
        <v>0</v>
      </c>
      <c r="W348" t="b">
        <f>AND(OR(WEEKDAY(C348,2)=5,WEEKDAY(C348,2)=6),'01_Parameters'!$C$11="Enabled")</f>
        <v>0</v>
      </c>
      <c r="X348" t="b">
        <f t="shared" si="27"/>
        <v>0</v>
      </c>
      <c r="Y348" t="b">
        <f t="shared" si="28"/>
        <v>0</v>
      </c>
      <c r="Z348" t="b">
        <f t="shared" si="29"/>
        <v>0</v>
      </c>
    </row>
    <row r="349" spans="1:26" ht="15" customHeight="1">
      <c r="A349" t="s">
        <v>872</v>
      </c>
      <c r="B349" t="s">
        <v>873</v>
      </c>
      <c r="C349" s="14">
        <v>45990</v>
      </c>
      <c r="D349" s="14">
        <v>45990</v>
      </c>
      <c r="E349">
        <v>2025</v>
      </c>
      <c r="F349">
        <v>11</v>
      </c>
      <c r="G349" t="s">
        <v>179</v>
      </c>
      <c r="H349" t="s">
        <v>180</v>
      </c>
      <c r="I349" t="s">
        <v>124</v>
      </c>
      <c r="J349" s="15">
        <v>55614.37</v>
      </c>
      <c r="K349" s="15">
        <v>0</v>
      </c>
      <c r="L349" s="15">
        <f t="shared" si="25"/>
        <v>55614.37</v>
      </c>
      <c r="M349" t="s">
        <v>181</v>
      </c>
      <c r="N349" t="s">
        <v>874</v>
      </c>
      <c r="O349" t="s">
        <v>183</v>
      </c>
      <c r="P349" t="s">
        <v>175</v>
      </c>
      <c r="Q349" t="s">
        <v>140</v>
      </c>
      <c r="R349" s="16">
        <v>45990.447916666701</v>
      </c>
      <c r="S349" t="s">
        <v>130</v>
      </c>
      <c r="V349" t="b">
        <f t="shared" si="26"/>
        <v>0</v>
      </c>
      <c r="W349" t="b">
        <f>AND(OR(WEEKDAY(C349,2)=5,WEEKDAY(C349,2)=6),'01_Parameters'!$C$11="Enabled")</f>
        <v>1</v>
      </c>
      <c r="X349" t="b">
        <f t="shared" si="27"/>
        <v>0</v>
      </c>
      <c r="Y349" t="b">
        <f t="shared" si="28"/>
        <v>0</v>
      </c>
      <c r="Z349" t="b">
        <f t="shared" si="29"/>
        <v>0</v>
      </c>
    </row>
    <row r="350" spans="1:26" ht="15" customHeight="1">
      <c r="A350" t="s">
        <v>872</v>
      </c>
      <c r="B350" t="s">
        <v>875</v>
      </c>
      <c r="C350" s="14">
        <v>45990</v>
      </c>
      <c r="D350" s="14">
        <v>45990</v>
      </c>
      <c r="E350">
        <v>2025</v>
      </c>
      <c r="F350">
        <v>11</v>
      </c>
      <c r="G350" t="s">
        <v>185</v>
      </c>
      <c r="H350" t="s">
        <v>186</v>
      </c>
      <c r="I350" t="s">
        <v>134</v>
      </c>
      <c r="J350" s="15">
        <v>0</v>
      </c>
      <c r="K350" s="15">
        <v>55614.37</v>
      </c>
      <c r="L350" s="15">
        <f t="shared" si="25"/>
        <v>-55614.37</v>
      </c>
      <c r="M350" t="s">
        <v>181</v>
      </c>
      <c r="N350" t="s">
        <v>874</v>
      </c>
      <c r="O350" t="s">
        <v>183</v>
      </c>
      <c r="P350" t="s">
        <v>175</v>
      </c>
      <c r="Q350" t="s">
        <v>140</v>
      </c>
      <c r="R350" s="16">
        <v>45990.447916666701</v>
      </c>
      <c r="S350" t="s">
        <v>130</v>
      </c>
      <c r="V350" t="b">
        <f t="shared" si="26"/>
        <v>0</v>
      </c>
      <c r="W350" t="b">
        <f>AND(OR(WEEKDAY(C350,2)=5,WEEKDAY(C350,2)=6),'01_Parameters'!$C$11="Enabled")</f>
        <v>1</v>
      </c>
      <c r="X350" t="b">
        <f t="shared" si="27"/>
        <v>0</v>
      </c>
      <c r="Y350" t="b">
        <f t="shared" si="28"/>
        <v>0</v>
      </c>
      <c r="Z350" t="b">
        <f t="shared" si="29"/>
        <v>0</v>
      </c>
    </row>
    <row r="351" spans="1:26" ht="15" customHeight="1">
      <c r="A351" t="s">
        <v>876</v>
      </c>
      <c r="B351" t="s">
        <v>877</v>
      </c>
      <c r="C351" s="14">
        <v>45964</v>
      </c>
      <c r="D351" s="14">
        <v>45961</v>
      </c>
      <c r="E351">
        <v>2025</v>
      </c>
      <c r="F351">
        <v>11</v>
      </c>
      <c r="G351" t="s">
        <v>193</v>
      </c>
      <c r="H351" t="s">
        <v>194</v>
      </c>
      <c r="I351" t="s">
        <v>124</v>
      </c>
      <c r="J351" s="15">
        <v>38227.01</v>
      </c>
      <c r="K351" s="15">
        <v>0</v>
      </c>
      <c r="L351" s="15">
        <f t="shared" si="25"/>
        <v>38227.01</v>
      </c>
      <c r="M351" t="s">
        <v>195</v>
      </c>
      <c r="N351" t="s">
        <v>878</v>
      </c>
      <c r="O351" t="s">
        <v>197</v>
      </c>
      <c r="P351" t="s">
        <v>128</v>
      </c>
      <c r="Q351" t="s">
        <v>150</v>
      </c>
      <c r="R351" s="16">
        <v>45964.354166666701</v>
      </c>
      <c r="S351" t="s">
        <v>130</v>
      </c>
      <c r="V351" t="b">
        <f t="shared" si="26"/>
        <v>0</v>
      </c>
      <c r="W351" t="b">
        <f>AND(OR(WEEKDAY(C351,2)=5,WEEKDAY(C351,2)=6),'01_Parameters'!$C$11="Enabled")</f>
        <v>0</v>
      </c>
      <c r="X351" t="b">
        <f t="shared" si="27"/>
        <v>0</v>
      </c>
      <c r="Y351" t="b">
        <f t="shared" si="28"/>
        <v>0</v>
      </c>
      <c r="Z351" t="b">
        <f t="shared" si="29"/>
        <v>0</v>
      </c>
    </row>
    <row r="352" spans="1:26" ht="15" customHeight="1">
      <c r="A352" t="s">
        <v>876</v>
      </c>
      <c r="B352" t="s">
        <v>879</v>
      </c>
      <c r="C352" s="14">
        <v>45964</v>
      </c>
      <c r="D352" s="14">
        <v>45961</v>
      </c>
      <c r="E352">
        <v>2025</v>
      </c>
      <c r="F352">
        <v>11</v>
      </c>
      <c r="G352" t="s">
        <v>199</v>
      </c>
      <c r="H352" t="s">
        <v>200</v>
      </c>
      <c r="I352" t="s">
        <v>146</v>
      </c>
      <c r="J352" s="15">
        <v>0</v>
      </c>
      <c r="K352" s="15">
        <v>38227.01</v>
      </c>
      <c r="L352" s="15">
        <f t="shared" si="25"/>
        <v>-38227.01</v>
      </c>
      <c r="M352" t="s">
        <v>195</v>
      </c>
      <c r="N352" t="s">
        <v>878</v>
      </c>
      <c r="O352" t="s">
        <v>197</v>
      </c>
      <c r="P352" t="s">
        <v>128</v>
      </c>
      <c r="Q352" t="s">
        <v>150</v>
      </c>
      <c r="R352" s="16">
        <v>45964.354166666701</v>
      </c>
      <c r="S352" t="s">
        <v>130</v>
      </c>
      <c r="V352" t="b">
        <f t="shared" si="26"/>
        <v>0</v>
      </c>
      <c r="W352" t="b">
        <f>AND(OR(WEEKDAY(C352,2)=5,WEEKDAY(C352,2)=6),'01_Parameters'!$C$11="Enabled")</f>
        <v>0</v>
      </c>
      <c r="X352" t="b">
        <f t="shared" si="27"/>
        <v>0</v>
      </c>
      <c r="Y352" t="b">
        <f t="shared" si="28"/>
        <v>0</v>
      </c>
      <c r="Z352" t="b">
        <f t="shared" si="29"/>
        <v>0</v>
      </c>
    </row>
    <row r="353" spans="1:26" ht="15" customHeight="1">
      <c r="A353" t="s">
        <v>880</v>
      </c>
      <c r="B353" t="s">
        <v>881</v>
      </c>
      <c r="C353" s="14">
        <v>45888</v>
      </c>
      <c r="D353" s="14">
        <v>45884</v>
      </c>
      <c r="E353">
        <v>2025</v>
      </c>
      <c r="F353">
        <v>8</v>
      </c>
      <c r="G353" t="s">
        <v>179</v>
      </c>
      <c r="H353" t="s">
        <v>180</v>
      </c>
      <c r="I353" t="s">
        <v>124</v>
      </c>
      <c r="J353" s="15">
        <v>33817.75</v>
      </c>
      <c r="K353" s="15">
        <v>0</v>
      </c>
      <c r="L353" s="15">
        <f t="shared" si="25"/>
        <v>33817.75</v>
      </c>
      <c r="M353" t="s">
        <v>181</v>
      </c>
      <c r="N353" t="s">
        <v>882</v>
      </c>
      <c r="O353" t="s">
        <v>183</v>
      </c>
      <c r="P353" t="s">
        <v>128</v>
      </c>
      <c r="Q353" t="s">
        <v>140</v>
      </c>
      <c r="R353" s="16">
        <v>45888.572916666701</v>
      </c>
      <c r="S353" t="s">
        <v>130</v>
      </c>
      <c r="V353" t="b">
        <f t="shared" si="26"/>
        <v>0</v>
      </c>
      <c r="W353" t="b">
        <f>AND(OR(WEEKDAY(C353,2)=5,WEEKDAY(C353,2)=6),'01_Parameters'!$C$11="Enabled")</f>
        <v>0</v>
      </c>
      <c r="X353" t="b">
        <f t="shared" si="27"/>
        <v>0</v>
      </c>
      <c r="Y353" t="b">
        <f t="shared" si="28"/>
        <v>0</v>
      </c>
      <c r="Z353" t="b">
        <f t="shared" si="29"/>
        <v>0</v>
      </c>
    </row>
    <row r="354" spans="1:26" ht="15" customHeight="1">
      <c r="A354" t="s">
        <v>880</v>
      </c>
      <c r="B354" t="s">
        <v>883</v>
      </c>
      <c r="C354" s="14">
        <v>45888</v>
      </c>
      <c r="D354" s="14">
        <v>45884</v>
      </c>
      <c r="E354">
        <v>2025</v>
      </c>
      <c r="F354">
        <v>8</v>
      </c>
      <c r="G354" t="s">
        <v>185</v>
      </c>
      <c r="H354" t="s">
        <v>186</v>
      </c>
      <c r="I354" t="s">
        <v>134</v>
      </c>
      <c r="J354" s="15">
        <v>0</v>
      </c>
      <c r="K354" s="15">
        <v>33817.75</v>
      </c>
      <c r="L354" s="15">
        <f t="shared" si="25"/>
        <v>-33817.75</v>
      </c>
      <c r="M354" t="s">
        <v>181</v>
      </c>
      <c r="N354" t="s">
        <v>882</v>
      </c>
      <c r="O354" t="s">
        <v>183</v>
      </c>
      <c r="P354" t="s">
        <v>128</v>
      </c>
      <c r="Q354" t="s">
        <v>140</v>
      </c>
      <c r="R354" s="16">
        <v>45888.572916666701</v>
      </c>
      <c r="S354" t="s">
        <v>130</v>
      </c>
      <c r="V354" t="b">
        <f t="shared" si="26"/>
        <v>0</v>
      </c>
      <c r="W354" t="b">
        <f>AND(OR(WEEKDAY(C354,2)=5,WEEKDAY(C354,2)=6),'01_Parameters'!$C$11="Enabled")</f>
        <v>0</v>
      </c>
      <c r="X354" t="b">
        <f t="shared" si="27"/>
        <v>0</v>
      </c>
      <c r="Y354" t="b">
        <f t="shared" si="28"/>
        <v>0</v>
      </c>
      <c r="Z354" t="b">
        <f t="shared" si="29"/>
        <v>0</v>
      </c>
    </row>
    <row r="355" spans="1:26" ht="15" customHeight="1">
      <c r="A355" t="s">
        <v>884</v>
      </c>
      <c r="B355" t="s">
        <v>885</v>
      </c>
      <c r="C355" s="14">
        <v>45900</v>
      </c>
      <c r="D355" s="14">
        <v>45897</v>
      </c>
      <c r="E355">
        <v>2025</v>
      </c>
      <c r="F355">
        <v>8</v>
      </c>
      <c r="G355" t="s">
        <v>199</v>
      </c>
      <c r="H355" t="s">
        <v>200</v>
      </c>
      <c r="I355" t="s">
        <v>146</v>
      </c>
      <c r="J355" s="15">
        <v>74345.429999999993</v>
      </c>
      <c r="K355" s="15">
        <v>0</v>
      </c>
      <c r="L355" s="15">
        <f t="shared" si="25"/>
        <v>74345.429999999993</v>
      </c>
      <c r="M355" t="s">
        <v>209</v>
      </c>
      <c r="N355" t="s">
        <v>886</v>
      </c>
      <c r="O355" t="s">
        <v>211</v>
      </c>
      <c r="P355" t="s">
        <v>129</v>
      </c>
      <c r="Q355" t="s">
        <v>128</v>
      </c>
      <c r="R355" s="16">
        <v>45900.708333333299</v>
      </c>
      <c r="S355" t="s">
        <v>130</v>
      </c>
      <c r="T355" t="s">
        <v>887</v>
      </c>
      <c r="U355" t="s">
        <v>886</v>
      </c>
      <c r="V355" t="b">
        <f t="shared" si="26"/>
        <v>0</v>
      </c>
      <c r="W355" t="b">
        <f>AND(OR(WEEKDAY(C355,2)=5,WEEKDAY(C355,2)=6),'01_Parameters'!$C$11="Enabled")</f>
        <v>0</v>
      </c>
      <c r="X355" t="b">
        <f t="shared" si="27"/>
        <v>0</v>
      </c>
      <c r="Y355" t="b">
        <f t="shared" si="28"/>
        <v>0</v>
      </c>
      <c r="Z355" t="b">
        <f t="shared" si="29"/>
        <v>0</v>
      </c>
    </row>
    <row r="356" spans="1:26" ht="15" customHeight="1">
      <c r="A356" t="s">
        <v>884</v>
      </c>
      <c r="B356" t="s">
        <v>888</v>
      </c>
      <c r="C356" s="14">
        <v>45900</v>
      </c>
      <c r="D356" s="14">
        <v>45897</v>
      </c>
      <c r="E356">
        <v>2025</v>
      </c>
      <c r="F356">
        <v>8</v>
      </c>
      <c r="G356" t="s">
        <v>132</v>
      </c>
      <c r="H356" t="s">
        <v>133</v>
      </c>
      <c r="I356" t="s">
        <v>134</v>
      </c>
      <c r="J356" s="15">
        <v>0</v>
      </c>
      <c r="K356" s="15">
        <v>74345.429999999993</v>
      </c>
      <c r="L356" s="15">
        <f t="shared" si="25"/>
        <v>-74345.429999999993</v>
      </c>
      <c r="M356" t="s">
        <v>209</v>
      </c>
      <c r="N356" t="s">
        <v>886</v>
      </c>
      <c r="O356" t="s">
        <v>211</v>
      </c>
      <c r="P356" t="s">
        <v>129</v>
      </c>
      <c r="Q356" t="s">
        <v>128</v>
      </c>
      <c r="R356" s="16">
        <v>45900.708333333299</v>
      </c>
      <c r="S356" t="s">
        <v>130</v>
      </c>
      <c r="T356" t="s">
        <v>887</v>
      </c>
      <c r="U356" t="s">
        <v>886</v>
      </c>
      <c r="V356" t="b">
        <f t="shared" si="26"/>
        <v>0</v>
      </c>
      <c r="W356" t="b">
        <f>AND(OR(WEEKDAY(C356,2)=5,WEEKDAY(C356,2)=6),'01_Parameters'!$C$11="Enabled")</f>
        <v>0</v>
      </c>
      <c r="X356" t="b">
        <f t="shared" si="27"/>
        <v>0</v>
      </c>
      <c r="Y356" t="b">
        <f t="shared" si="28"/>
        <v>0</v>
      </c>
      <c r="Z356" t="b">
        <f t="shared" si="29"/>
        <v>0</v>
      </c>
    </row>
    <row r="357" spans="1:26" ht="15" customHeight="1">
      <c r="A357" t="s">
        <v>889</v>
      </c>
      <c r="B357" t="s">
        <v>890</v>
      </c>
      <c r="C357" s="14">
        <v>46016</v>
      </c>
      <c r="D357" s="14">
        <v>46015</v>
      </c>
      <c r="E357">
        <v>2025</v>
      </c>
      <c r="F357">
        <v>12</v>
      </c>
      <c r="G357" t="s">
        <v>199</v>
      </c>
      <c r="H357" t="s">
        <v>200</v>
      </c>
      <c r="I357" t="s">
        <v>146</v>
      </c>
      <c r="J357" s="15">
        <v>64925.64</v>
      </c>
      <c r="K357" s="15">
        <v>0</v>
      </c>
      <c r="L357" s="15">
        <f t="shared" si="25"/>
        <v>64925.64</v>
      </c>
      <c r="M357" t="s">
        <v>209</v>
      </c>
      <c r="N357" t="s">
        <v>891</v>
      </c>
      <c r="O357" t="s">
        <v>211</v>
      </c>
      <c r="P357" t="s">
        <v>128</v>
      </c>
      <c r="Q357" t="s">
        <v>129</v>
      </c>
      <c r="R357" s="16">
        <v>46016.552083333299</v>
      </c>
      <c r="S357" t="s">
        <v>130</v>
      </c>
      <c r="T357" t="s">
        <v>887</v>
      </c>
      <c r="U357" t="s">
        <v>891</v>
      </c>
      <c r="V357" t="b">
        <f t="shared" si="26"/>
        <v>1</v>
      </c>
      <c r="W357" t="b">
        <f>AND(OR(WEEKDAY(C357,2)=5,WEEKDAY(C357,2)=6),'01_Parameters'!$C$11="Enabled")</f>
        <v>0</v>
      </c>
      <c r="X357" t="b">
        <f t="shared" si="27"/>
        <v>0</v>
      </c>
      <c r="Y357" t="b">
        <f t="shared" si="28"/>
        <v>0</v>
      </c>
      <c r="Z357" t="b">
        <f t="shared" si="29"/>
        <v>0</v>
      </c>
    </row>
    <row r="358" spans="1:26" ht="15" customHeight="1">
      <c r="A358" t="s">
        <v>889</v>
      </c>
      <c r="B358" t="s">
        <v>892</v>
      </c>
      <c r="C358" s="14">
        <v>46016</v>
      </c>
      <c r="D358" s="14">
        <v>46015</v>
      </c>
      <c r="E358">
        <v>2025</v>
      </c>
      <c r="F358">
        <v>12</v>
      </c>
      <c r="G358" t="s">
        <v>132</v>
      </c>
      <c r="H358" t="s">
        <v>133</v>
      </c>
      <c r="I358" t="s">
        <v>134</v>
      </c>
      <c r="J358" s="15">
        <v>0</v>
      </c>
      <c r="K358" s="15">
        <v>64925.64</v>
      </c>
      <c r="L358" s="15">
        <f t="shared" si="25"/>
        <v>-64925.64</v>
      </c>
      <c r="M358" t="s">
        <v>209</v>
      </c>
      <c r="N358" t="s">
        <v>891</v>
      </c>
      <c r="O358" t="s">
        <v>211</v>
      </c>
      <c r="P358" t="s">
        <v>128</v>
      </c>
      <c r="Q358" t="s">
        <v>129</v>
      </c>
      <c r="R358" s="16">
        <v>46016.552083333299</v>
      </c>
      <c r="S358" t="s">
        <v>130</v>
      </c>
      <c r="T358" t="s">
        <v>887</v>
      </c>
      <c r="U358" t="s">
        <v>891</v>
      </c>
      <c r="V358" t="b">
        <f t="shared" si="26"/>
        <v>1</v>
      </c>
      <c r="W358" t="b">
        <f>AND(OR(WEEKDAY(C358,2)=5,WEEKDAY(C358,2)=6),'01_Parameters'!$C$11="Enabled")</f>
        <v>0</v>
      </c>
      <c r="X358" t="b">
        <f t="shared" si="27"/>
        <v>0</v>
      </c>
      <c r="Y358" t="b">
        <f t="shared" si="28"/>
        <v>0</v>
      </c>
      <c r="Z358" t="b">
        <f t="shared" si="29"/>
        <v>0</v>
      </c>
    </row>
    <row r="359" spans="1:26" ht="15" customHeight="1">
      <c r="A359" t="s">
        <v>893</v>
      </c>
      <c r="B359" t="s">
        <v>894</v>
      </c>
      <c r="C359" s="14">
        <v>45727</v>
      </c>
      <c r="D359" s="14">
        <v>45726</v>
      </c>
      <c r="E359">
        <v>2025</v>
      </c>
      <c r="F359">
        <v>3</v>
      </c>
      <c r="G359" t="s">
        <v>144</v>
      </c>
      <c r="H359" t="s">
        <v>145</v>
      </c>
      <c r="I359" t="s">
        <v>146</v>
      </c>
      <c r="J359" s="15">
        <v>61280.12</v>
      </c>
      <c r="K359" s="15">
        <v>0</v>
      </c>
      <c r="L359" s="15">
        <f t="shared" si="25"/>
        <v>61280.12</v>
      </c>
      <c r="M359" t="s">
        <v>147</v>
      </c>
      <c r="N359" t="s">
        <v>895</v>
      </c>
      <c r="O359" t="s">
        <v>149</v>
      </c>
      <c r="P359" t="s">
        <v>151</v>
      </c>
      <c r="Q359" t="s">
        <v>129</v>
      </c>
      <c r="R359" s="16">
        <v>45727.739583333299</v>
      </c>
      <c r="S359" t="s">
        <v>130</v>
      </c>
      <c r="V359" t="b">
        <f t="shared" si="26"/>
        <v>0</v>
      </c>
      <c r="W359" t="b">
        <f>AND(OR(WEEKDAY(C359,2)=5,WEEKDAY(C359,2)=6),'01_Parameters'!$C$11="Enabled")</f>
        <v>0</v>
      </c>
      <c r="X359" t="b">
        <f t="shared" si="27"/>
        <v>0</v>
      </c>
      <c r="Y359" t="b">
        <f t="shared" si="28"/>
        <v>0</v>
      </c>
      <c r="Z359" t="b">
        <f t="shared" si="29"/>
        <v>0</v>
      </c>
    </row>
    <row r="360" spans="1:26" ht="15" customHeight="1">
      <c r="A360" t="s">
        <v>893</v>
      </c>
      <c r="B360" t="s">
        <v>896</v>
      </c>
      <c r="C360" s="14">
        <v>45727</v>
      </c>
      <c r="D360" s="14">
        <v>45726</v>
      </c>
      <c r="E360">
        <v>2025</v>
      </c>
      <c r="F360">
        <v>3</v>
      </c>
      <c r="G360" t="s">
        <v>153</v>
      </c>
      <c r="H360" t="s">
        <v>154</v>
      </c>
      <c r="I360" t="s">
        <v>155</v>
      </c>
      <c r="J360" s="15">
        <v>0</v>
      </c>
      <c r="K360" s="15">
        <v>61280.12</v>
      </c>
      <c r="L360" s="15">
        <f t="shared" si="25"/>
        <v>-61280.12</v>
      </c>
      <c r="M360" t="s">
        <v>147</v>
      </c>
      <c r="N360" t="s">
        <v>895</v>
      </c>
      <c r="O360" t="s">
        <v>149</v>
      </c>
      <c r="P360" t="s">
        <v>151</v>
      </c>
      <c r="Q360" t="s">
        <v>129</v>
      </c>
      <c r="R360" s="16">
        <v>45727.739583333299</v>
      </c>
      <c r="S360" t="s">
        <v>130</v>
      </c>
      <c r="V360" t="b">
        <f t="shared" si="26"/>
        <v>0</v>
      </c>
      <c r="W360" t="b">
        <f>AND(OR(WEEKDAY(C360,2)=5,WEEKDAY(C360,2)=6),'01_Parameters'!$C$11="Enabled")</f>
        <v>0</v>
      </c>
      <c r="X360" t="b">
        <f t="shared" si="27"/>
        <v>0</v>
      </c>
      <c r="Y360" t="b">
        <f t="shared" si="28"/>
        <v>0</v>
      </c>
      <c r="Z360" t="b">
        <f t="shared" si="29"/>
        <v>0</v>
      </c>
    </row>
    <row r="361" spans="1:26" ht="15" customHeight="1">
      <c r="A361" t="s">
        <v>897</v>
      </c>
      <c r="B361" t="s">
        <v>898</v>
      </c>
      <c r="C361" s="14">
        <v>45748</v>
      </c>
      <c r="D361" s="14">
        <v>45747</v>
      </c>
      <c r="E361">
        <v>2025</v>
      </c>
      <c r="F361">
        <v>4</v>
      </c>
      <c r="G361" t="s">
        <v>172</v>
      </c>
      <c r="H361" t="s">
        <v>173</v>
      </c>
      <c r="I361" t="s">
        <v>124</v>
      </c>
      <c r="J361" s="15">
        <v>5968.28</v>
      </c>
      <c r="K361" s="15">
        <v>0</v>
      </c>
      <c r="L361" s="15">
        <f t="shared" si="25"/>
        <v>5968.28</v>
      </c>
      <c r="M361" t="s">
        <v>209</v>
      </c>
      <c r="N361" t="s">
        <v>899</v>
      </c>
      <c r="O361" t="s">
        <v>211</v>
      </c>
      <c r="P361" t="s">
        <v>129</v>
      </c>
      <c r="Q361" t="s">
        <v>150</v>
      </c>
      <c r="R361" s="16">
        <v>45748.666666666701</v>
      </c>
      <c r="S361" t="s">
        <v>130</v>
      </c>
      <c r="T361" t="s">
        <v>212</v>
      </c>
      <c r="U361" t="s">
        <v>899</v>
      </c>
      <c r="V361" t="b">
        <f t="shared" si="26"/>
        <v>0</v>
      </c>
      <c r="W361" t="b">
        <f>AND(OR(WEEKDAY(C361,2)=5,WEEKDAY(C361,2)=6),'01_Parameters'!$C$11="Enabled")</f>
        <v>0</v>
      </c>
      <c r="X361" t="b">
        <f t="shared" si="27"/>
        <v>0</v>
      </c>
      <c r="Y361" t="b">
        <f t="shared" si="28"/>
        <v>0</v>
      </c>
      <c r="Z361" t="b">
        <f t="shared" si="29"/>
        <v>0</v>
      </c>
    </row>
    <row r="362" spans="1:26" ht="15" customHeight="1">
      <c r="A362" t="s">
        <v>897</v>
      </c>
      <c r="B362" t="s">
        <v>900</v>
      </c>
      <c r="C362" s="14">
        <v>45748</v>
      </c>
      <c r="D362" s="14">
        <v>45747</v>
      </c>
      <c r="E362">
        <v>2025</v>
      </c>
      <c r="F362">
        <v>4</v>
      </c>
      <c r="G362" t="s">
        <v>132</v>
      </c>
      <c r="H362" t="s">
        <v>133</v>
      </c>
      <c r="I362" t="s">
        <v>134</v>
      </c>
      <c r="J362" s="15">
        <v>0</v>
      </c>
      <c r="K362" s="15">
        <v>5968.28</v>
      </c>
      <c r="L362" s="15">
        <f t="shared" si="25"/>
        <v>-5968.28</v>
      </c>
      <c r="M362" t="s">
        <v>209</v>
      </c>
      <c r="N362" t="s">
        <v>899</v>
      </c>
      <c r="O362" t="s">
        <v>211</v>
      </c>
      <c r="P362" t="s">
        <v>129</v>
      </c>
      <c r="Q362" t="s">
        <v>150</v>
      </c>
      <c r="R362" s="16">
        <v>45748.666666666701</v>
      </c>
      <c r="S362" t="s">
        <v>130</v>
      </c>
      <c r="T362" t="s">
        <v>212</v>
      </c>
      <c r="U362" t="s">
        <v>899</v>
      </c>
      <c r="V362" t="b">
        <f t="shared" si="26"/>
        <v>0</v>
      </c>
      <c r="W362" t="b">
        <f>AND(OR(WEEKDAY(C362,2)=5,WEEKDAY(C362,2)=6),'01_Parameters'!$C$11="Enabled")</f>
        <v>0</v>
      </c>
      <c r="X362" t="b">
        <f t="shared" si="27"/>
        <v>0</v>
      </c>
      <c r="Y362" t="b">
        <f t="shared" si="28"/>
        <v>0</v>
      </c>
      <c r="Z362" t="b">
        <f t="shared" si="29"/>
        <v>0</v>
      </c>
    </row>
    <row r="363" spans="1:26" ht="15" customHeight="1">
      <c r="A363" t="s">
        <v>901</v>
      </c>
      <c r="B363" t="s">
        <v>902</v>
      </c>
      <c r="C363" s="14">
        <v>45759</v>
      </c>
      <c r="D363" s="14">
        <v>45756</v>
      </c>
      <c r="E363">
        <v>2025</v>
      </c>
      <c r="F363">
        <v>4</v>
      </c>
      <c r="G363" t="s">
        <v>193</v>
      </c>
      <c r="H363" t="s">
        <v>194</v>
      </c>
      <c r="I363" t="s">
        <v>124</v>
      </c>
      <c r="J363" s="15">
        <v>74468.05</v>
      </c>
      <c r="K363" s="15">
        <v>0</v>
      </c>
      <c r="L363" s="15">
        <f t="shared" si="25"/>
        <v>74468.05</v>
      </c>
      <c r="M363" t="s">
        <v>195</v>
      </c>
      <c r="N363" t="s">
        <v>903</v>
      </c>
      <c r="O363" t="s">
        <v>197</v>
      </c>
      <c r="P363" t="s">
        <v>129</v>
      </c>
      <c r="Q363" t="s">
        <v>140</v>
      </c>
      <c r="R363" s="16">
        <v>45759.75</v>
      </c>
      <c r="S363" t="s">
        <v>130</v>
      </c>
      <c r="V363" t="b">
        <f t="shared" si="26"/>
        <v>0</v>
      </c>
      <c r="W363" t="b">
        <f>AND(OR(WEEKDAY(C363,2)=5,WEEKDAY(C363,2)=6),'01_Parameters'!$C$11="Enabled")</f>
        <v>1</v>
      </c>
      <c r="X363" t="b">
        <f t="shared" si="27"/>
        <v>1</v>
      </c>
      <c r="Y363" t="b">
        <f t="shared" si="28"/>
        <v>0</v>
      </c>
      <c r="Z363" t="b">
        <f t="shared" si="29"/>
        <v>0</v>
      </c>
    </row>
    <row r="364" spans="1:26" ht="15" customHeight="1">
      <c r="A364" t="s">
        <v>901</v>
      </c>
      <c r="B364" t="s">
        <v>904</v>
      </c>
      <c r="C364" s="14">
        <v>45759</v>
      </c>
      <c r="D364" s="14">
        <v>45756</v>
      </c>
      <c r="E364">
        <v>2025</v>
      </c>
      <c r="F364">
        <v>4</v>
      </c>
      <c r="G364" t="s">
        <v>199</v>
      </c>
      <c r="H364" t="s">
        <v>200</v>
      </c>
      <c r="I364" t="s">
        <v>146</v>
      </c>
      <c r="J364" s="15">
        <v>0</v>
      </c>
      <c r="K364" s="15">
        <v>74468.05</v>
      </c>
      <c r="L364" s="15">
        <f t="shared" si="25"/>
        <v>-74468.05</v>
      </c>
      <c r="M364" t="s">
        <v>195</v>
      </c>
      <c r="N364" t="s">
        <v>903</v>
      </c>
      <c r="O364" t="s">
        <v>197</v>
      </c>
      <c r="P364" t="s">
        <v>129</v>
      </c>
      <c r="Q364" t="s">
        <v>140</v>
      </c>
      <c r="R364" s="16">
        <v>45759.75</v>
      </c>
      <c r="S364" t="s">
        <v>130</v>
      </c>
      <c r="V364" t="b">
        <f t="shared" si="26"/>
        <v>0</v>
      </c>
      <c r="W364" t="b">
        <f>AND(OR(WEEKDAY(C364,2)=5,WEEKDAY(C364,2)=6),'01_Parameters'!$C$11="Enabled")</f>
        <v>1</v>
      </c>
      <c r="X364" t="b">
        <f t="shared" si="27"/>
        <v>1</v>
      </c>
      <c r="Y364" t="b">
        <f t="shared" si="28"/>
        <v>0</v>
      </c>
      <c r="Z364" t="b">
        <f t="shared" si="29"/>
        <v>0</v>
      </c>
    </row>
    <row r="365" spans="1:26" ht="15" customHeight="1">
      <c r="A365" t="s">
        <v>905</v>
      </c>
      <c r="B365" t="s">
        <v>906</v>
      </c>
      <c r="C365" s="14">
        <v>45701</v>
      </c>
      <c r="D365" s="14">
        <v>45698</v>
      </c>
      <c r="E365">
        <v>2025</v>
      </c>
      <c r="F365">
        <v>2</v>
      </c>
      <c r="G365" t="s">
        <v>172</v>
      </c>
      <c r="H365" t="s">
        <v>173</v>
      </c>
      <c r="I365" t="s">
        <v>124</v>
      </c>
      <c r="J365" s="15">
        <v>79489.42</v>
      </c>
      <c r="K365" s="15">
        <v>0</v>
      </c>
      <c r="L365" s="15">
        <f t="shared" si="25"/>
        <v>79489.42</v>
      </c>
      <c r="M365" t="s">
        <v>209</v>
      </c>
      <c r="N365" t="s">
        <v>907</v>
      </c>
      <c r="O365" t="s">
        <v>211</v>
      </c>
      <c r="P365" t="s">
        <v>128</v>
      </c>
      <c r="Q365" t="s">
        <v>150</v>
      </c>
      <c r="R365" s="16">
        <v>45701.604166666701</v>
      </c>
      <c r="S365" t="s">
        <v>130</v>
      </c>
      <c r="T365" t="s">
        <v>251</v>
      </c>
      <c r="U365" t="s">
        <v>907</v>
      </c>
      <c r="V365" t="b">
        <f t="shared" si="26"/>
        <v>0</v>
      </c>
      <c r="W365" t="b">
        <f>AND(OR(WEEKDAY(C365,2)=5,WEEKDAY(C365,2)=6),'01_Parameters'!$C$11="Enabled")</f>
        <v>0</v>
      </c>
      <c r="X365" t="b">
        <f t="shared" si="27"/>
        <v>0</v>
      </c>
      <c r="Y365" t="b">
        <f t="shared" si="28"/>
        <v>0</v>
      </c>
      <c r="Z365" t="b">
        <f t="shared" si="29"/>
        <v>0</v>
      </c>
    </row>
    <row r="366" spans="1:26" ht="15" customHeight="1">
      <c r="A366" t="s">
        <v>905</v>
      </c>
      <c r="B366" t="s">
        <v>908</v>
      </c>
      <c r="C366" s="14">
        <v>45701</v>
      </c>
      <c r="D366" s="14">
        <v>45698</v>
      </c>
      <c r="E366">
        <v>2025</v>
      </c>
      <c r="F366">
        <v>2</v>
      </c>
      <c r="G366" t="s">
        <v>132</v>
      </c>
      <c r="H366" t="s">
        <v>133</v>
      </c>
      <c r="I366" t="s">
        <v>134</v>
      </c>
      <c r="J366" s="15">
        <v>0</v>
      </c>
      <c r="K366" s="15">
        <v>79489.42</v>
      </c>
      <c r="L366" s="15">
        <f t="shared" si="25"/>
        <v>-79489.42</v>
      </c>
      <c r="M366" t="s">
        <v>209</v>
      </c>
      <c r="N366" t="s">
        <v>907</v>
      </c>
      <c r="O366" t="s">
        <v>211</v>
      </c>
      <c r="P366" t="s">
        <v>128</v>
      </c>
      <c r="Q366" t="s">
        <v>150</v>
      </c>
      <c r="R366" s="16">
        <v>45701.604166666701</v>
      </c>
      <c r="S366" t="s">
        <v>130</v>
      </c>
      <c r="T366" t="s">
        <v>251</v>
      </c>
      <c r="U366" t="s">
        <v>907</v>
      </c>
      <c r="V366" t="b">
        <f t="shared" si="26"/>
        <v>0</v>
      </c>
      <c r="W366" t="b">
        <f>AND(OR(WEEKDAY(C366,2)=5,WEEKDAY(C366,2)=6),'01_Parameters'!$C$11="Enabled")</f>
        <v>0</v>
      </c>
      <c r="X366" t="b">
        <f t="shared" si="27"/>
        <v>0</v>
      </c>
      <c r="Y366" t="b">
        <f t="shared" si="28"/>
        <v>0</v>
      </c>
      <c r="Z366" t="b">
        <f t="shared" si="29"/>
        <v>0</v>
      </c>
    </row>
    <row r="367" spans="1:26" ht="15" customHeight="1">
      <c r="A367" t="s">
        <v>909</v>
      </c>
      <c r="B367" t="s">
        <v>910</v>
      </c>
      <c r="C367" s="14">
        <v>45736</v>
      </c>
      <c r="D367" s="14">
        <v>45734</v>
      </c>
      <c r="E367">
        <v>2025</v>
      </c>
      <c r="F367">
        <v>3</v>
      </c>
      <c r="G367" t="s">
        <v>179</v>
      </c>
      <c r="H367" t="s">
        <v>180</v>
      </c>
      <c r="I367" t="s">
        <v>124</v>
      </c>
      <c r="J367" s="15">
        <v>3401.24</v>
      </c>
      <c r="K367" s="15">
        <v>0</v>
      </c>
      <c r="L367" s="15">
        <f t="shared" si="25"/>
        <v>3401.24</v>
      </c>
      <c r="M367" t="s">
        <v>181</v>
      </c>
      <c r="N367" t="s">
        <v>911</v>
      </c>
      <c r="O367" t="s">
        <v>183</v>
      </c>
      <c r="P367" t="s">
        <v>129</v>
      </c>
      <c r="Q367" t="s">
        <v>150</v>
      </c>
      <c r="R367" s="16">
        <v>45736.854166666701</v>
      </c>
      <c r="S367" t="s">
        <v>130</v>
      </c>
      <c r="V367" t="b">
        <f t="shared" si="26"/>
        <v>0</v>
      </c>
      <c r="W367" t="b">
        <f>AND(OR(WEEKDAY(C367,2)=5,WEEKDAY(C367,2)=6),'01_Parameters'!$C$11="Enabled")</f>
        <v>0</v>
      </c>
      <c r="X367" t="b">
        <f t="shared" si="27"/>
        <v>1</v>
      </c>
      <c r="Y367" t="b">
        <f t="shared" si="28"/>
        <v>0</v>
      </c>
      <c r="Z367" t="b">
        <f t="shared" si="29"/>
        <v>0</v>
      </c>
    </row>
    <row r="368" spans="1:26" ht="15" customHeight="1">
      <c r="A368" t="s">
        <v>909</v>
      </c>
      <c r="B368" t="s">
        <v>912</v>
      </c>
      <c r="C368" s="14">
        <v>45736</v>
      </c>
      <c r="D368" s="14">
        <v>45734</v>
      </c>
      <c r="E368">
        <v>2025</v>
      </c>
      <c r="F368">
        <v>3</v>
      </c>
      <c r="G368" t="s">
        <v>185</v>
      </c>
      <c r="H368" t="s">
        <v>186</v>
      </c>
      <c r="I368" t="s">
        <v>134</v>
      </c>
      <c r="J368" s="15">
        <v>0</v>
      </c>
      <c r="K368" s="15">
        <v>3401.24</v>
      </c>
      <c r="L368" s="15">
        <f t="shared" si="25"/>
        <v>-3401.24</v>
      </c>
      <c r="M368" t="s">
        <v>181</v>
      </c>
      <c r="N368" t="s">
        <v>911</v>
      </c>
      <c r="O368" t="s">
        <v>183</v>
      </c>
      <c r="P368" t="s">
        <v>129</v>
      </c>
      <c r="Q368" t="s">
        <v>150</v>
      </c>
      <c r="R368" s="16">
        <v>45736.854166666701</v>
      </c>
      <c r="S368" t="s">
        <v>130</v>
      </c>
      <c r="V368" t="b">
        <f t="shared" si="26"/>
        <v>0</v>
      </c>
      <c r="W368" t="b">
        <f>AND(OR(WEEKDAY(C368,2)=5,WEEKDAY(C368,2)=6),'01_Parameters'!$C$11="Enabled")</f>
        <v>0</v>
      </c>
      <c r="X368" t="b">
        <f t="shared" si="27"/>
        <v>1</v>
      </c>
      <c r="Y368" t="b">
        <f t="shared" si="28"/>
        <v>0</v>
      </c>
      <c r="Z368" t="b">
        <f t="shared" si="29"/>
        <v>0</v>
      </c>
    </row>
    <row r="369" spans="1:26" ht="15" customHeight="1">
      <c r="A369" t="s">
        <v>913</v>
      </c>
      <c r="B369" t="s">
        <v>914</v>
      </c>
      <c r="C369" s="14">
        <v>45977</v>
      </c>
      <c r="D369" s="14">
        <v>45977</v>
      </c>
      <c r="E369">
        <v>2025</v>
      </c>
      <c r="F369">
        <v>11</v>
      </c>
      <c r="G369" t="s">
        <v>158</v>
      </c>
      <c r="H369" t="s">
        <v>159</v>
      </c>
      <c r="I369" t="s">
        <v>124</v>
      </c>
      <c r="J369" s="15">
        <v>13489.83</v>
      </c>
      <c r="K369" s="15">
        <v>0</v>
      </c>
      <c r="L369" s="15">
        <f t="shared" si="25"/>
        <v>13489.83</v>
      </c>
      <c r="M369" t="s">
        <v>160</v>
      </c>
      <c r="N369" t="s">
        <v>915</v>
      </c>
      <c r="O369" t="s">
        <v>162</v>
      </c>
      <c r="P369" t="s">
        <v>175</v>
      </c>
      <c r="Q369" t="s">
        <v>128</v>
      </c>
      <c r="R369" s="16">
        <v>45977.489583333299</v>
      </c>
      <c r="S369" t="s">
        <v>130</v>
      </c>
      <c r="V369" t="b">
        <f t="shared" si="26"/>
        <v>0</v>
      </c>
      <c r="W369" t="b">
        <f>AND(OR(WEEKDAY(C369,2)=5,WEEKDAY(C369,2)=6),'01_Parameters'!$C$11="Enabled")</f>
        <v>0</v>
      </c>
      <c r="X369" t="b">
        <f t="shared" si="27"/>
        <v>0</v>
      </c>
      <c r="Y369" t="b">
        <f t="shared" si="28"/>
        <v>0</v>
      </c>
      <c r="Z369" t="b">
        <f t="shared" si="29"/>
        <v>0</v>
      </c>
    </row>
    <row r="370" spans="1:26" ht="15" customHeight="1">
      <c r="A370" t="s">
        <v>913</v>
      </c>
      <c r="B370" t="s">
        <v>916</v>
      </c>
      <c r="C370" s="14">
        <v>45977</v>
      </c>
      <c r="D370" s="14">
        <v>45977</v>
      </c>
      <c r="E370">
        <v>2025</v>
      </c>
      <c r="F370">
        <v>11</v>
      </c>
      <c r="G370" t="s">
        <v>164</v>
      </c>
      <c r="H370" t="s">
        <v>165</v>
      </c>
      <c r="I370" t="s">
        <v>146</v>
      </c>
      <c r="J370" s="15">
        <v>0</v>
      </c>
      <c r="K370" s="15">
        <v>13489.83</v>
      </c>
      <c r="L370" s="15">
        <f t="shared" si="25"/>
        <v>-13489.83</v>
      </c>
      <c r="M370" t="s">
        <v>160</v>
      </c>
      <c r="N370" t="s">
        <v>915</v>
      </c>
      <c r="O370" t="s">
        <v>162</v>
      </c>
      <c r="P370" t="s">
        <v>175</v>
      </c>
      <c r="Q370" t="s">
        <v>128</v>
      </c>
      <c r="R370" s="16">
        <v>45977.489583333299</v>
      </c>
      <c r="S370" t="s">
        <v>130</v>
      </c>
      <c r="V370" t="b">
        <f t="shared" si="26"/>
        <v>0</v>
      </c>
      <c r="W370" t="b">
        <f>AND(OR(WEEKDAY(C370,2)=5,WEEKDAY(C370,2)=6),'01_Parameters'!$C$11="Enabled")</f>
        <v>0</v>
      </c>
      <c r="X370" t="b">
        <f t="shared" si="27"/>
        <v>0</v>
      </c>
      <c r="Y370" t="b">
        <f t="shared" si="28"/>
        <v>0</v>
      </c>
      <c r="Z370" t="b">
        <f t="shared" si="29"/>
        <v>0</v>
      </c>
    </row>
    <row r="371" spans="1:26" ht="15" customHeight="1">
      <c r="A371" t="s">
        <v>917</v>
      </c>
      <c r="B371" t="s">
        <v>918</v>
      </c>
      <c r="C371" s="14">
        <v>45761</v>
      </c>
      <c r="D371" s="14">
        <v>45758</v>
      </c>
      <c r="E371">
        <v>2025</v>
      </c>
      <c r="F371">
        <v>4</v>
      </c>
      <c r="G371" t="s">
        <v>158</v>
      </c>
      <c r="H371" t="s">
        <v>159</v>
      </c>
      <c r="I371" t="s">
        <v>124</v>
      </c>
      <c r="J371" s="15">
        <v>56655.19</v>
      </c>
      <c r="K371" s="15">
        <v>0</v>
      </c>
      <c r="L371" s="15">
        <f t="shared" si="25"/>
        <v>56655.19</v>
      </c>
      <c r="M371" t="s">
        <v>160</v>
      </c>
      <c r="N371" t="s">
        <v>919</v>
      </c>
      <c r="O371" t="s">
        <v>162</v>
      </c>
      <c r="P371" t="s">
        <v>128</v>
      </c>
      <c r="Q371" t="s">
        <v>129</v>
      </c>
      <c r="R371" s="16">
        <v>45761.78125</v>
      </c>
      <c r="S371" t="s">
        <v>130</v>
      </c>
      <c r="V371" t="b">
        <f t="shared" si="26"/>
        <v>0</v>
      </c>
      <c r="W371" t="b">
        <f>AND(OR(WEEKDAY(C371,2)=5,WEEKDAY(C371,2)=6),'01_Parameters'!$C$11="Enabled")</f>
        <v>0</v>
      </c>
      <c r="X371" t="b">
        <f t="shared" si="27"/>
        <v>1</v>
      </c>
      <c r="Y371" t="b">
        <f t="shared" si="28"/>
        <v>0</v>
      </c>
      <c r="Z371" t="b">
        <f t="shared" si="29"/>
        <v>0</v>
      </c>
    </row>
    <row r="372" spans="1:26" ht="15" customHeight="1">
      <c r="A372" t="s">
        <v>917</v>
      </c>
      <c r="B372" t="s">
        <v>920</v>
      </c>
      <c r="C372" s="14">
        <v>45761</v>
      </c>
      <c r="D372" s="14">
        <v>45758</v>
      </c>
      <c r="E372">
        <v>2025</v>
      </c>
      <c r="F372">
        <v>4</v>
      </c>
      <c r="G372" t="s">
        <v>164</v>
      </c>
      <c r="H372" t="s">
        <v>165</v>
      </c>
      <c r="I372" t="s">
        <v>146</v>
      </c>
      <c r="J372" s="15">
        <v>0</v>
      </c>
      <c r="K372" s="15">
        <v>56655.19</v>
      </c>
      <c r="L372" s="15">
        <f t="shared" si="25"/>
        <v>-56655.19</v>
      </c>
      <c r="M372" t="s">
        <v>160</v>
      </c>
      <c r="N372" t="s">
        <v>919</v>
      </c>
      <c r="O372" t="s">
        <v>162</v>
      </c>
      <c r="P372" t="s">
        <v>128</v>
      </c>
      <c r="Q372" t="s">
        <v>129</v>
      </c>
      <c r="R372" s="16">
        <v>45761.78125</v>
      </c>
      <c r="S372" t="s">
        <v>130</v>
      </c>
      <c r="V372" t="b">
        <f t="shared" si="26"/>
        <v>0</v>
      </c>
      <c r="W372" t="b">
        <f>AND(OR(WEEKDAY(C372,2)=5,WEEKDAY(C372,2)=6),'01_Parameters'!$C$11="Enabled")</f>
        <v>0</v>
      </c>
      <c r="X372" t="b">
        <f t="shared" si="27"/>
        <v>1</v>
      </c>
      <c r="Y372" t="b">
        <f t="shared" si="28"/>
        <v>0</v>
      </c>
      <c r="Z372" t="b">
        <f t="shared" si="29"/>
        <v>0</v>
      </c>
    </row>
    <row r="373" spans="1:26" ht="15" customHeight="1">
      <c r="A373" t="s">
        <v>921</v>
      </c>
      <c r="B373" t="s">
        <v>922</v>
      </c>
      <c r="C373" s="14">
        <v>45668</v>
      </c>
      <c r="D373" s="14">
        <v>45664</v>
      </c>
      <c r="E373">
        <v>2025</v>
      </c>
      <c r="F373">
        <v>1</v>
      </c>
      <c r="G373" t="s">
        <v>158</v>
      </c>
      <c r="H373" t="s">
        <v>159</v>
      </c>
      <c r="I373" t="s">
        <v>124</v>
      </c>
      <c r="J373" s="15">
        <v>9994.89</v>
      </c>
      <c r="K373" s="15">
        <v>0</v>
      </c>
      <c r="L373" s="15">
        <f t="shared" si="25"/>
        <v>9994.89</v>
      </c>
      <c r="M373" t="s">
        <v>160</v>
      </c>
      <c r="N373" t="s">
        <v>923</v>
      </c>
      <c r="O373" t="s">
        <v>162</v>
      </c>
      <c r="P373" t="s">
        <v>128</v>
      </c>
      <c r="Q373" t="s">
        <v>140</v>
      </c>
      <c r="R373" s="16">
        <v>45668.427083333299</v>
      </c>
      <c r="S373" t="s">
        <v>130</v>
      </c>
      <c r="V373" t="b">
        <f t="shared" si="26"/>
        <v>0</v>
      </c>
      <c r="W373" t="b">
        <f>AND(OR(WEEKDAY(C373,2)=5,WEEKDAY(C373,2)=6),'01_Parameters'!$C$11="Enabled")</f>
        <v>1</v>
      </c>
      <c r="X373" t="b">
        <f t="shared" si="27"/>
        <v>0</v>
      </c>
      <c r="Y373" t="b">
        <f t="shared" si="28"/>
        <v>0</v>
      </c>
      <c r="Z373" t="b">
        <f t="shared" si="29"/>
        <v>0</v>
      </c>
    </row>
    <row r="374" spans="1:26" ht="15" customHeight="1">
      <c r="A374" t="s">
        <v>921</v>
      </c>
      <c r="B374" t="s">
        <v>924</v>
      </c>
      <c r="C374" s="14">
        <v>45668</v>
      </c>
      <c r="D374" s="14">
        <v>45664</v>
      </c>
      <c r="E374">
        <v>2025</v>
      </c>
      <c r="F374">
        <v>1</v>
      </c>
      <c r="G374" t="s">
        <v>164</v>
      </c>
      <c r="H374" t="s">
        <v>165</v>
      </c>
      <c r="I374" t="s">
        <v>146</v>
      </c>
      <c r="J374" s="15">
        <v>0</v>
      </c>
      <c r="K374" s="15">
        <v>9994.89</v>
      </c>
      <c r="L374" s="15">
        <f t="shared" si="25"/>
        <v>-9994.89</v>
      </c>
      <c r="M374" t="s">
        <v>160</v>
      </c>
      <c r="N374" t="s">
        <v>923</v>
      </c>
      <c r="O374" t="s">
        <v>162</v>
      </c>
      <c r="P374" t="s">
        <v>128</v>
      </c>
      <c r="Q374" t="s">
        <v>140</v>
      </c>
      <c r="R374" s="16">
        <v>45668.427083333299</v>
      </c>
      <c r="S374" t="s">
        <v>130</v>
      </c>
      <c r="V374" t="b">
        <f t="shared" si="26"/>
        <v>0</v>
      </c>
      <c r="W374" t="b">
        <f>AND(OR(WEEKDAY(C374,2)=5,WEEKDAY(C374,2)=6),'01_Parameters'!$C$11="Enabled")</f>
        <v>1</v>
      </c>
      <c r="X374" t="b">
        <f t="shared" si="27"/>
        <v>0</v>
      </c>
      <c r="Y374" t="b">
        <f t="shared" si="28"/>
        <v>0</v>
      </c>
      <c r="Z374" t="b">
        <f t="shared" si="29"/>
        <v>0</v>
      </c>
    </row>
    <row r="375" spans="1:26" ht="15" customHeight="1">
      <c r="A375" t="s">
        <v>925</v>
      </c>
      <c r="B375" t="s">
        <v>926</v>
      </c>
      <c r="C375" s="14">
        <v>45902</v>
      </c>
      <c r="D375" s="14">
        <v>45897</v>
      </c>
      <c r="E375">
        <v>2025</v>
      </c>
      <c r="F375">
        <v>9</v>
      </c>
      <c r="G375" t="s">
        <v>158</v>
      </c>
      <c r="H375" t="s">
        <v>159</v>
      </c>
      <c r="I375" t="s">
        <v>124</v>
      </c>
      <c r="J375" s="15">
        <v>82673.72</v>
      </c>
      <c r="K375" s="15">
        <v>0</v>
      </c>
      <c r="L375" s="15">
        <f t="shared" si="25"/>
        <v>82673.72</v>
      </c>
      <c r="M375" t="s">
        <v>160</v>
      </c>
      <c r="N375" t="s">
        <v>927</v>
      </c>
      <c r="O375" t="s">
        <v>162</v>
      </c>
      <c r="P375" t="s">
        <v>175</v>
      </c>
      <c r="Q375" t="s">
        <v>151</v>
      </c>
      <c r="R375" s="16">
        <v>45902.25</v>
      </c>
      <c r="S375" t="s">
        <v>130</v>
      </c>
      <c r="V375" t="b">
        <f t="shared" si="26"/>
        <v>0</v>
      </c>
      <c r="W375" t="b">
        <f>AND(OR(WEEKDAY(C375,2)=5,WEEKDAY(C375,2)=6),'01_Parameters'!$C$11="Enabled")</f>
        <v>0</v>
      </c>
      <c r="X375" t="b">
        <f t="shared" si="27"/>
        <v>1</v>
      </c>
      <c r="Y375" t="b">
        <f t="shared" si="28"/>
        <v>0</v>
      </c>
      <c r="Z375" t="b">
        <f t="shared" si="29"/>
        <v>0</v>
      </c>
    </row>
    <row r="376" spans="1:26" ht="15" customHeight="1">
      <c r="A376" t="s">
        <v>925</v>
      </c>
      <c r="B376" t="s">
        <v>928</v>
      </c>
      <c r="C376" s="14">
        <v>45902</v>
      </c>
      <c r="D376" s="14">
        <v>45897</v>
      </c>
      <c r="E376">
        <v>2025</v>
      </c>
      <c r="F376">
        <v>9</v>
      </c>
      <c r="G376" t="s">
        <v>164</v>
      </c>
      <c r="H376" t="s">
        <v>165</v>
      </c>
      <c r="I376" t="s">
        <v>146</v>
      </c>
      <c r="J376" s="15">
        <v>0</v>
      </c>
      <c r="K376" s="15">
        <v>82673.72</v>
      </c>
      <c r="L376" s="15">
        <f t="shared" si="25"/>
        <v>-82673.72</v>
      </c>
      <c r="M376" t="s">
        <v>160</v>
      </c>
      <c r="N376" t="s">
        <v>927</v>
      </c>
      <c r="O376" t="s">
        <v>162</v>
      </c>
      <c r="P376" t="s">
        <v>175</v>
      </c>
      <c r="Q376" t="s">
        <v>151</v>
      </c>
      <c r="R376" s="16">
        <v>45902.25</v>
      </c>
      <c r="S376" t="s">
        <v>130</v>
      </c>
      <c r="V376" t="b">
        <f t="shared" si="26"/>
        <v>0</v>
      </c>
      <c r="W376" t="b">
        <f>AND(OR(WEEKDAY(C376,2)=5,WEEKDAY(C376,2)=6),'01_Parameters'!$C$11="Enabled")</f>
        <v>0</v>
      </c>
      <c r="X376" t="b">
        <f t="shared" si="27"/>
        <v>1</v>
      </c>
      <c r="Y376" t="b">
        <f t="shared" si="28"/>
        <v>0</v>
      </c>
      <c r="Z376" t="b">
        <f t="shared" si="29"/>
        <v>0</v>
      </c>
    </row>
    <row r="377" spans="1:26" ht="15" customHeight="1">
      <c r="A377" t="s">
        <v>929</v>
      </c>
      <c r="B377" t="s">
        <v>930</v>
      </c>
      <c r="C377" s="14">
        <v>46003</v>
      </c>
      <c r="D377" s="14">
        <v>46000</v>
      </c>
      <c r="E377">
        <v>2025</v>
      </c>
      <c r="F377">
        <v>12</v>
      </c>
      <c r="G377" t="s">
        <v>122</v>
      </c>
      <c r="H377" t="s">
        <v>123</v>
      </c>
      <c r="I377" t="s">
        <v>124</v>
      </c>
      <c r="J377" s="15">
        <v>120210.98</v>
      </c>
      <c r="K377" s="15">
        <v>0</v>
      </c>
      <c r="L377" s="15">
        <f t="shared" si="25"/>
        <v>120210.98</v>
      </c>
      <c r="M377" t="s">
        <v>125</v>
      </c>
      <c r="N377" t="s">
        <v>931</v>
      </c>
      <c r="O377" t="s">
        <v>127</v>
      </c>
      <c r="P377" t="s">
        <v>151</v>
      </c>
      <c r="Q377" t="s">
        <v>150</v>
      </c>
      <c r="R377" s="16">
        <v>46003.729166666701</v>
      </c>
      <c r="S377" t="s">
        <v>130</v>
      </c>
      <c r="V377" t="b">
        <f t="shared" si="26"/>
        <v>0</v>
      </c>
      <c r="W377" t="b">
        <f>AND(OR(WEEKDAY(C377,2)=5,WEEKDAY(C377,2)=6),'01_Parameters'!$C$11="Enabled")</f>
        <v>1</v>
      </c>
      <c r="X377" t="b">
        <f t="shared" si="27"/>
        <v>0</v>
      </c>
      <c r="Y377" t="b">
        <f t="shared" si="28"/>
        <v>1</v>
      </c>
      <c r="Z377" t="b">
        <f t="shared" si="29"/>
        <v>0</v>
      </c>
    </row>
    <row r="378" spans="1:26" ht="15" customHeight="1">
      <c r="A378" t="s">
        <v>929</v>
      </c>
      <c r="B378" t="s">
        <v>932</v>
      </c>
      <c r="C378" s="14">
        <v>46003</v>
      </c>
      <c r="D378" s="14">
        <v>46000</v>
      </c>
      <c r="E378">
        <v>2025</v>
      </c>
      <c r="F378">
        <v>12</v>
      </c>
      <c r="G378" t="s">
        <v>132</v>
      </c>
      <c r="H378" t="s">
        <v>133</v>
      </c>
      <c r="I378" t="s">
        <v>134</v>
      </c>
      <c r="J378" s="15">
        <v>0</v>
      </c>
      <c r="K378" s="15">
        <v>120210.98</v>
      </c>
      <c r="L378" s="15">
        <f t="shared" si="25"/>
        <v>-120210.98</v>
      </c>
      <c r="M378" t="s">
        <v>125</v>
      </c>
      <c r="N378" t="s">
        <v>931</v>
      </c>
      <c r="O378" t="s">
        <v>127</v>
      </c>
      <c r="P378" t="s">
        <v>151</v>
      </c>
      <c r="Q378" t="s">
        <v>150</v>
      </c>
      <c r="R378" s="16">
        <v>46003.729166666701</v>
      </c>
      <c r="S378" t="s">
        <v>130</v>
      </c>
      <c r="V378" t="b">
        <f t="shared" si="26"/>
        <v>0</v>
      </c>
      <c r="W378" t="b">
        <f>AND(OR(WEEKDAY(C378,2)=5,WEEKDAY(C378,2)=6),'01_Parameters'!$C$11="Enabled")</f>
        <v>1</v>
      </c>
      <c r="X378" t="b">
        <f t="shared" si="27"/>
        <v>0</v>
      </c>
      <c r="Y378" t="b">
        <f t="shared" si="28"/>
        <v>1</v>
      </c>
      <c r="Z378" t="b">
        <f t="shared" si="29"/>
        <v>0</v>
      </c>
    </row>
    <row r="379" spans="1:26" ht="15" customHeight="1">
      <c r="A379" t="s">
        <v>933</v>
      </c>
      <c r="B379" t="s">
        <v>934</v>
      </c>
      <c r="C379" s="14">
        <v>45774</v>
      </c>
      <c r="D379" s="14">
        <v>45773</v>
      </c>
      <c r="E379">
        <v>2025</v>
      </c>
      <c r="F379">
        <v>4</v>
      </c>
      <c r="G379" t="s">
        <v>179</v>
      </c>
      <c r="H379" t="s">
        <v>180</v>
      </c>
      <c r="I379" t="s">
        <v>124</v>
      </c>
      <c r="J379" s="15">
        <v>25671.34</v>
      </c>
      <c r="K379" s="15">
        <v>0</v>
      </c>
      <c r="L379" s="15">
        <f t="shared" si="25"/>
        <v>25671.34</v>
      </c>
      <c r="M379" t="s">
        <v>181</v>
      </c>
      <c r="N379" t="s">
        <v>935</v>
      </c>
      <c r="O379" t="s">
        <v>183</v>
      </c>
      <c r="P379" t="s">
        <v>129</v>
      </c>
      <c r="Q379" t="s">
        <v>128</v>
      </c>
      <c r="R379" s="16">
        <v>45774.84375</v>
      </c>
      <c r="S379" t="s">
        <v>130</v>
      </c>
      <c r="V379" t="b">
        <f t="shared" si="26"/>
        <v>0</v>
      </c>
      <c r="W379" t="b">
        <f>AND(OR(WEEKDAY(C379,2)=5,WEEKDAY(C379,2)=6),'01_Parameters'!$C$11="Enabled")</f>
        <v>0</v>
      </c>
      <c r="X379" t="b">
        <f t="shared" si="27"/>
        <v>1</v>
      </c>
      <c r="Y379" t="b">
        <f t="shared" si="28"/>
        <v>0</v>
      </c>
      <c r="Z379" t="b">
        <f t="shared" si="29"/>
        <v>0</v>
      </c>
    </row>
    <row r="380" spans="1:26" ht="15" customHeight="1">
      <c r="A380" t="s">
        <v>933</v>
      </c>
      <c r="B380" t="s">
        <v>936</v>
      </c>
      <c r="C380" s="14">
        <v>45774</v>
      </c>
      <c r="D380" s="14">
        <v>45773</v>
      </c>
      <c r="E380">
        <v>2025</v>
      </c>
      <c r="F380">
        <v>4</v>
      </c>
      <c r="G380" t="s">
        <v>185</v>
      </c>
      <c r="H380" t="s">
        <v>186</v>
      </c>
      <c r="I380" t="s">
        <v>134</v>
      </c>
      <c r="J380" s="15">
        <v>0</v>
      </c>
      <c r="K380" s="15">
        <v>25671.34</v>
      </c>
      <c r="L380" s="15">
        <f t="shared" si="25"/>
        <v>-25671.34</v>
      </c>
      <c r="M380" t="s">
        <v>181</v>
      </c>
      <c r="N380" t="s">
        <v>935</v>
      </c>
      <c r="O380" t="s">
        <v>183</v>
      </c>
      <c r="P380" t="s">
        <v>129</v>
      </c>
      <c r="Q380" t="s">
        <v>128</v>
      </c>
      <c r="R380" s="16">
        <v>45774.84375</v>
      </c>
      <c r="S380" t="s">
        <v>130</v>
      </c>
      <c r="V380" t="b">
        <f t="shared" si="26"/>
        <v>0</v>
      </c>
      <c r="W380" t="b">
        <f>AND(OR(WEEKDAY(C380,2)=5,WEEKDAY(C380,2)=6),'01_Parameters'!$C$11="Enabled")</f>
        <v>0</v>
      </c>
      <c r="X380" t="b">
        <f t="shared" si="27"/>
        <v>1</v>
      </c>
      <c r="Y380" t="b">
        <f t="shared" si="28"/>
        <v>0</v>
      </c>
      <c r="Z380" t="b">
        <f t="shared" si="29"/>
        <v>0</v>
      </c>
    </row>
    <row r="381" spans="1:26" ht="15" customHeight="1">
      <c r="A381" t="s">
        <v>937</v>
      </c>
      <c r="B381" t="s">
        <v>938</v>
      </c>
      <c r="C381" s="14">
        <v>45962</v>
      </c>
      <c r="D381" s="14">
        <v>45957</v>
      </c>
      <c r="E381">
        <v>2025</v>
      </c>
      <c r="F381">
        <v>11</v>
      </c>
      <c r="G381" t="s">
        <v>193</v>
      </c>
      <c r="H381" t="s">
        <v>194</v>
      </c>
      <c r="I381" t="s">
        <v>124</v>
      </c>
      <c r="J381" s="15">
        <v>38209.339999999997</v>
      </c>
      <c r="K381" s="15">
        <v>0</v>
      </c>
      <c r="L381" s="15">
        <f t="shared" si="25"/>
        <v>38209.339999999997</v>
      </c>
      <c r="M381" t="s">
        <v>195</v>
      </c>
      <c r="N381" t="s">
        <v>939</v>
      </c>
      <c r="O381" t="s">
        <v>197</v>
      </c>
      <c r="P381" t="s">
        <v>150</v>
      </c>
      <c r="Q381" t="s">
        <v>140</v>
      </c>
      <c r="R381" s="16">
        <v>45962.333333333299</v>
      </c>
      <c r="S381" t="s">
        <v>130</v>
      </c>
      <c r="V381" t="b">
        <f t="shared" si="26"/>
        <v>0</v>
      </c>
      <c r="W381" t="b">
        <f>AND(OR(WEEKDAY(C381,2)=5,WEEKDAY(C381,2)=6),'01_Parameters'!$C$11="Enabled")</f>
        <v>1</v>
      </c>
      <c r="X381" t="b">
        <f t="shared" si="27"/>
        <v>0</v>
      </c>
      <c r="Y381" t="b">
        <f t="shared" si="28"/>
        <v>0</v>
      </c>
      <c r="Z381" t="b">
        <f t="shared" si="29"/>
        <v>0</v>
      </c>
    </row>
    <row r="382" spans="1:26" ht="15" customHeight="1">
      <c r="A382" t="s">
        <v>937</v>
      </c>
      <c r="B382" t="s">
        <v>940</v>
      </c>
      <c r="C382" s="14">
        <v>45962</v>
      </c>
      <c r="D382" s="14">
        <v>45957</v>
      </c>
      <c r="E382">
        <v>2025</v>
      </c>
      <c r="F382">
        <v>11</v>
      </c>
      <c r="G382" t="s">
        <v>199</v>
      </c>
      <c r="H382" t="s">
        <v>200</v>
      </c>
      <c r="I382" t="s">
        <v>146</v>
      </c>
      <c r="J382" s="15">
        <v>0</v>
      </c>
      <c r="K382" s="15">
        <v>38209.339999999997</v>
      </c>
      <c r="L382" s="15">
        <f t="shared" si="25"/>
        <v>-38209.339999999997</v>
      </c>
      <c r="M382" t="s">
        <v>195</v>
      </c>
      <c r="N382" t="s">
        <v>939</v>
      </c>
      <c r="O382" t="s">
        <v>197</v>
      </c>
      <c r="P382" t="s">
        <v>150</v>
      </c>
      <c r="Q382" t="s">
        <v>140</v>
      </c>
      <c r="R382" s="16">
        <v>45962.333333333299</v>
      </c>
      <c r="S382" t="s">
        <v>130</v>
      </c>
      <c r="V382" t="b">
        <f t="shared" si="26"/>
        <v>0</v>
      </c>
      <c r="W382" t="b">
        <f>AND(OR(WEEKDAY(C382,2)=5,WEEKDAY(C382,2)=6),'01_Parameters'!$C$11="Enabled")</f>
        <v>1</v>
      </c>
      <c r="X382" t="b">
        <f t="shared" si="27"/>
        <v>0</v>
      </c>
      <c r="Y382" t="b">
        <f t="shared" si="28"/>
        <v>0</v>
      </c>
      <c r="Z382" t="b">
        <f t="shared" si="29"/>
        <v>0</v>
      </c>
    </row>
    <row r="383" spans="1:26" ht="15" customHeight="1">
      <c r="A383" t="s">
        <v>941</v>
      </c>
      <c r="B383" t="s">
        <v>942</v>
      </c>
      <c r="C383" s="14">
        <v>45991</v>
      </c>
      <c r="D383" s="14">
        <v>45989</v>
      </c>
      <c r="E383">
        <v>2025</v>
      </c>
      <c r="F383">
        <v>11</v>
      </c>
      <c r="G383" t="s">
        <v>179</v>
      </c>
      <c r="H383" t="s">
        <v>180</v>
      </c>
      <c r="I383" t="s">
        <v>124</v>
      </c>
      <c r="J383" s="15">
        <v>43496.78</v>
      </c>
      <c r="K383" s="15">
        <v>0</v>
      </c>
      <c r="L383" s="15">
        <f t="shared" si="25"/>
        <v>43496.78</v>
      </c>
      <c r="M383" t="s">
        <v>181</v>
      </c>
      <c r="N383" t="s">
        <v>943</v>
      </c>
      <c r="O383" t="s">
        <v>183</v>
      </c>
      <c r="P383" t="s">
        <v>150</v>
      </c>
      <c r="Q383" t="s">
        <v>129</v>
      </c>
      <c r="R383" s="16">
        <v>45991.791666666701</v>
      </c>
      <c r="S383" t="s">
        <v>130</v>
      </c>
      <c r="V383" t="b">
        <f t="shared" si="26"/>
        <v>0</v>
      </c>
      <c r="W383" t="b">
        <f>AND(OR(WEEKDAY(C383,2)=5,WEEKDAY(C383,2)=6),'01_Parameters'!$C$11="Enabled")</f>
        <v>0</v>
      </c>
      <c r="X383" t="b">
        <f t="shared" si="27"/>
        <v>1</v>
      </c>
      <c r="Y383" t="b">
        <f t="shared" si="28"/>
        <v>0</v>
      </c>
      <c r="Z383" t="b">
        <f t="shared" si="29"/>
        <v>0</v>
      </c>
    </row>
    <row r="384" spans="1:26" ht="15" customHeight="1">
      <c r="A384" t="s">
        <v>941</v>
      </c>
      <c r="B384" t="s">
        <v>944</v>
      </c>
      <c r="C384" s="14">
        <v>45991</v>
      </c>
      <c r="D384" s="14">
        <v>45989</v>
      </c>
      <c r="E384">
        <v>2025</v>
      </c>
      <c r="F384">
        <v>11</v>
      </c>
      <c r="G384" t="s">
        <v>185</v>
      </c>
      <c r="H384" t="s">
        <v>186</v>
      </c>
      <c r="I384" t="s">
        <v>134</v>
      </c>
      <c r="J384" s="15">
        <v>0</v>
      </c>
      <c r="K384" s="15">
        <v>43496.78</v>
      </c>
      <c r="L384" s="15">
        <f t="shared" si="25"/>
        <v>-43496.78</v>
      </c>
      <c r="M384" t="s">
        <v>181</v>
      </c>
      <c r="N384" t="s">
        <v>943</v>
      </c>
      <c r="O384" t="s">
        <v>183</v>
      </c>
      <c r="P384" t="s">
        <v>150</v>
      </c>
      <c r="Q384" t="s">
        <v>129</v>
      </c>
      <c r="R384" s="16">
        <v>45991.791666666701</v>
      </c>
      <c r="S384" t="s">
        <v>130</v>
      </c>
      <c r="V384" t="b">
        <f t="shared" si="26"/>
        <v>0</v>
      </c>
      <c r="W384" t="b">
        <f>AND(OR(WEEKDAY(C384,2)=5,WEEKDAY(C384,2)=6),'01_Parameters'!$C$11="Enabled")</f>
        <v>0</v>
      </c>
      <c r="X384" t="b">
        <f t="shared" si="27"/>
        <v>1</v>
      </c>
      <c r="Y384" t="b">
        <f t="shared" si="28"/>
        <v>0</v>
      </c>
      <c r="Z384" t="b">
        <f t="shared" si="29"/>
        <v>0</v>
      </c>
    </row>
    <row r="385" spans="1:26" ht="15" customHeight="1">
      <c r="A385" t="s">
        <v>945</v>
      </c>
      <c r="B385" t="s">
        <v>946</v>
      </c>
      <c r="C385" s="14">
        <v>45909</v>
      </c>
      <c r="D385" s="14">
        <v>45905</v>
      </c>
      <c r="E385">
        <v>2025</v>
      </c>
      <c r="F385">
        <v>9</v>
      </c>
      <c r="G385" t="s">
        <v>179</v>
      </c>
      <c r="H385" t="s">
        <v>180</v>
      </c>
      <c r="I385" t="s">
        <v>124</v>
      </c>
      <c r="J385" s="15">
        <v>80761.61</v>
      </c>
      <c r="K385" s="15">
        <v>0</v>
      </c>
      <c r="L385" s="15">
        <f t="shared" si="25"/>
        <v>80761.61</v>
      </c>
      <c r="M385" t="s">
        <v>181</v>
      </c>
      <c r="N385" t="s">
        <v>947</v>
      </c>
      <c r="O385" t="s">
        <v>183</v>
      </c>
      <c r="P385" t="s">
        <v>129</v>
      </c>
      <c r="Q385" t="s">
        <v>175</v>
      </c>
      <c r="R385" s="16">
        <v>45909.875</v>
      </c>
      <c r="S385" t="s">
        <v>130</v>
      </c>
      <c r="V385" t="b">
        <f t="shared" si="26"/>
        <v>0</v>
      </c>
      <c r="W385" t="b">
        <f>AND(OR(WEEKDAY(C385,2)=5,WEEKDAY(C385,2)=6),'01_Parameters'!$C$11="Enabled")</f>
        <v>0</v>
      </c>
      <c r="X385" t="b">
        <f t="shared" si="27"/>
        <v>1</v>
      </c>
      <c r="Y385" t="b">
        <f t="shared" si="28"/>
        <v>0</v>
      </c>
      <c r="Z385" t="b">
        <f t="shared" si="29"/>
        <v>0</v>
      </c>
    </row>
    <row r="386" spans="1:26" ht="15" customHeight="1">
      <c r="A386" t="s">
        <v>945</v>
      </c>
      <c r="B386" t="s">
        <v>948</v>
      </c>
      <c r="C386" s="14">
        <v>45909</v>
      </c>
      <c r="D386" s="14">
        <v>45905</v>
      </c>
      <c r="E386">
        <v>2025</v>
      </c>
      <c r="F386">
        <v>9</v>
      </c>
      <c r="G386" t="s">
        <v>185</v>
      </c>
      <c r="H386" t="s">
        <v>186</v>
      </c>
      <c r="I386" t="s">
        <v>134</v>
      </c>
      <c r="J386" s="15">
        <v>0</v>
      </c>
      <c r="K386" s="15">
        <v>80761.61</v>
      </c>
      <c r="L386" s="15">
        <f t="shared" si="25"/>
        <v>-80761.61</v>
      </c>
      <c r="M386" t="s">
        <v>181</v>
      </c>
      <c r="N386" t="s">
        <v>947</v>
      </c>
      <c r="O386" t="s">
        <v>183</v>
      </c>
      <c r="P386" t="s">
        <v>129</v>
      </c>
      <c r="Q386" t="s">
        <v>175</v>
      </c>
      <c r="R386" s="16">
        <v>45909.875</v>
      </c>
      <c r="S386" t="s">
        <v>130</v>
      </c>
      <c r="V386" t="b">
        <f t="shared" si="26"/>
        <v>0</v>
      </c>
      <c r="W386" t="b">
        <f>AND(OR(WEEKDAY(C386,2)=5,WEEKDAY(C386,2)=6),'01_Parameters'!$C$11="Enabled")</f>
        <v>0</v>
      </c>
      <c r="X386" t="b">
        <f t="shared" si="27"/>
        <v>1</v>
      </c>
      <c r="Y386" t="b">
        <f t="shared" si="28"/>
        <v>0</v>
      </c>
      <c r="Z386" t="b">
        <f t="shared" si="29"/>
        <v>0</v>
      </c>
    </row>
    <row r="387" spans="1:26" ht="15" customHeight="1">
      <c r="A387" t="s">
        <v>949</v>
      </c>
      <c r="B387" t="s">
        <v>950</v>
      </c>
      <c r="C387" s="14">
        <v>45739</v>
      </c>
      <c r="D387" s="14">
        <v>45735</v>
      </c>
      <c r="E387">
        <v>2025</v>
      </c>
      <c r="F387">
        <v>3</v>
      </c>
      <c r="G387" t="s">
        <v>179</v>
      </c>
      <c r="H387" t="s">
        <v>180</v>
      </c>
      <c r="I387" t="s">
        <v>124</v>
      </c>
      <c r="J387" s="15">
        <v>54071.43</v>
      </c>
      <c r="K387" s="15">
        <v>0</v>
      </c>
      <c r="L387" s="15">
        <f t="shared" si="25"/>
        <v>54071.43</v>
      </c>
      <c r="M387" t="s">
        <v>181</v>
      </c>
      <c r="N387" t="s">
        <v>951</v>
      </c>
      <c r="O387" t="s">
        <v>183</v>
      </c>
      <c r="P387" t="s">
        <v>151</v>
      </c>
      <c r="Q387" t="s">
        <v>140</v>
      </c>
      <c r="R387" s="16">
        <v>45739.802083333299</v>
      </c>
      <c r="S387" t="s">
        <v>130</v>
      </c>
      <c r="V387" t="b">
        <f t="shared" si="26"/>
        <v>0</v>
      </c>
      <c r="W387" t="b">
        <f>AND(OR(WEEKDAY(C387,2)=5,WEEKDAY(C387,2)=6),'01_Parameters'!$C$11="Enabled")</f>
        <v>0</v>
      </c>
      <c r="X387" t="b">
        <f t="shared" si="27"/>
        <v>1</v>
      </c>
      <c r="Y387" t="b">
        <f t="shared" si="28"/>
        <v>0</v>
      </c>
      <c r="Z387" t="b">
        <f t="shared" si="29"/>
        <v>0</v>
      </c>
    </row>
    <row r="388" spans="1:26" ht="15" customHeight="1">
      <c r="A388" t="s">
        <v>949</v>
      </c>
      <c r="B388" t="s">
        <v>952</v>
      </c>
      <c r="C388" s="14">
        <v>45739</v>
      </c>
      <c r="D388" s="14">
        <v>45735</v>
      </c>
      <c r="E388">
        <v>2025</v>
      </c>
      <c r="F388">
        <v>3</v>
      </c>
      <c r="G388" t="s">
        <v>185</v>
      </c>
      <c r="H388" t="s">
        <v>186</v>
      </c>
      <c r="I388" t="s">
        <v>134</v>
      </c>
      <c r="J388" s="15">
        <v>0</v>
      </c>
      <c r="K388" s="15">
        <v>54071.43</v>
      </c>
      <c r="L388" s="15">
        <f t="shared" si="25"/>
        <v>-54071.43</v>
      </c>
      <c r="M388" t="s">
        <v>181</v>
      </c>
      <c r="N388" t="s">
        <v>951</v>
      </c>
      <c r="O388" t="s">
        <v>183</v>
      </c>
      <c r="P388" t="s">
        <v>151</v>
      </c>
      <c r="Q388" t="s">
        <v>140</v>
      </c>
      <c r="R388" s="16">
        <v>45739.802083333299</v>
      </c>
      <c r="S388" t="s">
        <v>130</v>
      </c>
      <c r="V388" t="b">
        <f t="shared" si="26"/>
        <v>0</v>
      </c>
      <c r="W388" t="b">
        <f>AND(OR(WEEKDAY(C388,2)=5,WEEKDAY(C388,2)=6),'01_Parameters'!$C$11="Enabled")</f>
        <v>0</v>
      </c>
      <c r="X388" t="b">
        <f t="shared" si="27"/>
        <v>1</v>
      </c>
      <c r="Y388" t="b">
        <f t="shared" si="28"/>
        <v>0</v>
      </c>
      <c r="Z388" t="b">
        <f t="shared" si="29"/>
        <v>0</v>
      </c>
    </row>
    <row r="389" spans="1:26" ht="15" customHeight="1">
      <c r="A389" t="s">
        <v>953</v>
      </c>
      <c r="B389" t="s">
        <v>954</v>
      </c>
      <c r="C389" s="14">
        <v>45950</v>
      </c>
      <c r="D389" s="14">
        <v>45946</v>
      </c>
      <c r="E389">
        <v>2025</v>
      </c>
      <c r="F389">
        <v>10</v>
      </c>
      <c r="G389" t="s">
        <v>144</v>
      </c>
      <c r="H389" t="s">
        <v>145</v>
      </c>
      <c r="I389" t="s">
        <v>146</v>
      </c>
      <c r="J389" s="15">
        <v>33549.120000000003</v>
      </c>
      <c r="K389" s="15">
        <v>0</v>
      </c>
      <c r="L389" s="15">
        <f t="shared" ref="L389:L452" si="30">J389-K389</f>
        <v>33549.120000000003</v>
      </c>
      <c r="M389" t="s">
        <v>147</v>
      </c>
      <c r="N389" t="s">
        <v>955</v>
      </c>
      <c r="O389" t="s">
        <v>149</v>
      </c>
      <c r="P389" t="s">
        <v>129</v>
      </c>
      <c r="Q389" t="s">
        <v>128</v>
      </c>
      <c r="R389" s="16">
        <v>45950.572916666701</v>
      </c>
      <c r="S389" t="s">
        <v>130</v>
      </c>
      <c r="V389" t="b">
        <f t="shared" ref="V389:V452" si="31">AND(C389&gt;=Year_End_Window_Start,C389&lt;=Year_End_Window_End)</f>
        <v>0</v>
      </c>
      <c r="W389" t="b">
        <f>AND(OR(WEEKDAY(C389,2)=5,WEEKDAY(C389,2)=6),'01_Parameters'!$C$11="Enabled")</f>
        <v>0</v>
      </c>
      <c r="X389" t="b">
        <f t="shared" ref="X389:X452" si="32">AND(HOUR(R389)&lt;Business_Day_Start,HOUR(R389)&gt;=0)+AND(HOUR(R389)&gt;=Business_Day_End,HOUR(R389)&lt;=23)&gt;0</f>
        <v>0</v>
      </c>
      <c r="Y389" t="b">
        <f t="shared" ref="Y389:Y452" si="33">ABS(L389)&gt;High_Value_GL_Threshold</f>
        <v>0</v>
      </c>
      <c r="Z389" t="b">
        <f t="shared" ref="Z389:Z452" si="34">AND(ABS(L389)&gt;=Round_Number_Threshold,MOD(ABS(L389),Round_Number_Threshold)=0)</f>
        <v>0</v>
      </c>
    </row>
    <row r="390" spans="1:26" ht="15" customHeight="1">
      <c r="A390" t="s">
        <v>953</v>
      </c>
      <c r="B390" t="s">
        <v>956</v>
      </c>
      <c r="C390" s="14">
        <v>45950</v>
      </c>
      <c r="D390" s="14">
        <v>45946</v>
      </c>
      <c r="E390">
        <v>2025</v>
      </c>
      <c r="F390">
        <v>10</v>
      </c>
      <c r="G390" t="s">
        <v>153</v>
      </c>
      <c r="H390" t="s">
        <v>154</v>
      </c>
      <c r="I390" t="s">
        <v>155</v>
      </c>
      <c r="J390" s="15">
        <v>0</v>
      </c>
      <c r="K390" s="15">
        <v>33549.120000000003</v>
      </c>
      <c r="L390" s="15">
        <f t="shared" si="30"/>
        <v>-33549.120000000003</v>
      </c>
      <c r="M390" t="s">
        <v>147</v>
      </c>
      <c r="N390" t="s">
        <v>955</v>
      </c>
      <c r="O390" t="s">
        <v>149</v>
      </c>
      <c r="P390" t="s">
        <v>129</v>
      </c>
      <c r="Q390" t="s">
        <v>128</v>
      </c>
      <c r="R390" s="16">
        <v>45950.572916666701</v>
      </c>
      <c r="S390" t="s">
        <v>130</v>
      </c>
      <c r="V390" t="b">
        <f t="shared" si="31"/>
        <v>0</v>
      </c>
      <c r="W390" t="b">
        <f>AND(OR(WEEKDAY(C390,2)=5,WEEKDAY(C390,2)=6),'01_Parameters'!$C$11="Enabled")</f>
        <v>0</v>
      </c>
      <c r="X390" t="b">
        <f t="shared" si="32"/>
        <v>0</v>
      </c>
      <c r="Y390" t="b">
        <f t="shared" si="33"/>
        <v>0</v>
      </c>
      <c r="Z390" t="b">
        <f t="shared" si="34"/>
        <v>0</v>
      </c>
    </row>
    <row r="391" spans="1:26" ht="15" customHeight="1">
      <c r="A391" t="s">
        <v>957</v>
      </c>
      <c r="B391" t="s">
        <v>958</v>
      </c>
      <c r="C391" s="14">
        <v>45720</v>
      </c>
      <c r="D391" s="14">
        <v>45716</v>
      </c>
      <c r="E391">
        <v>2025</v>
      </c>
      <c r="F391">
        <v>3</v>
      </c>
      <c r="G391" t="s">
        <v>199</v>
      </c>
      <c r="H391" t="s">
        <v>200</v>
      </c>
      <c r="I391" t="s">
        <v>146</v>
      </c>
      <c r="J391" s="15">
        <v>84493.119999999995</v>
      </c>
      <c r="K391" s="15">
        <v>0</v>
      </c>
      <c r="L391" s="15">
        <f t="shared" si="30"/>
        <v>84493.119999999995</v>
      </c>
      <c r="M391" t="s">
        <v>209</v>
      </c>
      <c r="N391" t="s">
        <v>959</v>
      </c>
      <c r="O391" t="s">
        <v>211</v>
      </c>
      <c r="P391" t="s">
        <v>151</v>
      </c>
      <c r="Q391" t="s">
        <v>129</v>
      </c>
      <c r="R391" s="16">
        <v>45720.90625</v>
      </c>
      <c r="S391" t="s">
        <v>130</v>
      </c>
      <c r="T391" t="s">
        <v>349</v>
      </c>
      <c r="U391" t="s">
        <v>959</v>
      </c>
      <c r="V391" t="b">
        <f t="shared" si="31"/>
        <v>0</v>
      </c>
      <c r="W391" t="b">
        <f>AND(OR(WEEKDAY(C391,2)=5,WEEKDAY(C391,2)=6),'01_Parameters'!$C$11="Enabled")</f>
        <v>0</v>
      </c>
      <c r="X391" t="b">
        <f t="shared" si="32"/>
        <v>1</v>
      </c>
      <c r="Y391" t="b">
        <f t="shared" si="33"/>
        <v>0</v>
      </c>
      <c r="Z391" t="b">
        <f t="shared" si="34"/>
        <v>0</v>
      </c>
    </row>
    <row r="392" spans="1:26" ht="15" customHeight="1">
      <c r="A392" t="s">
        <v>957</v>
      </c>
      <c r="B392" t="s">
        <v>960</v>
      </c>
      <c r="C392" s="14">
        <v>45720</v>
      </c>
      <c r="D392" s="14">
        <v>45716</v>
      </c>
      <c r="E392">
        <v>2025</v>
      </c>
      <c r="F392">
        <v>3</v>
      </c>
      <c r="G392" t="s">
        <v>132</v>
      </c>
      <c r="H392" t="s">
        <v>133</v>
      </c>
      <c r="I392" t="s">
        <v>134</v>
      </c>
      <c r="J392" s="15">
        <v>0</v>
      </c>
      <c r="K392" s="15">
        <v>84493.119999999995</v>
      </c>
      <c r="L392" s="15">
        <f t="shared" si="30"/>
        <v>-84493.119999999995</v>
      </c>
      <c r="M392" t="s">
        <v>209</v>
      </c>
      <c r="N392" t="s">
        <v>959</v>
      </c>
      <c r="O392" t="s">
        <v>211</v>
      </c>
      <c r="P392" t="s">
        <v>151</v>
      </c>
      <c r="Q392" t="s">
        <v>129</v>
      </c>
      <c r="R392" s="16">
        <v>45720.90625</v>
      </c>
      <c r="S392" t="s">
        <v>130</v>
      </c>
      <c r="T392" t="s">
        <v>349</v>
      </c>
      <c r="U392" t="s">
        <v>959</v>
      </c>
      <c r="V392" t="b">
        <f t="shared" si="31"/>
        <v>0</v>
      </c>
      <c r="W392" t="b">
        <f>AND(OR(WEEKDAY(C392,2)=5,WEEKDAY(C392,2)=6),'01_Parameters'!$C$11="Enabled")</f>
        <v>0</v>
      </c>
      <c r="X392" t="b">
        <f t="shared" si="32"/>
        <v>1</v>
      </c>
      <c r="Y392" t="b">
        <f t="shared" si="33"/>
        <v>0</v>
      </c>
      <c r="Z392" t="b">
        <f t="shared" si="34"/>
        <v>0</v>
      </c>
    </row>
    <row r="393" spans="1:26" ht="15" customHeight="1">
      <c r="A393" t="s">
        <v>961</v>
      </c>
      <c r="B393" t="s">
        <v>962</v>
      </c>
      <c r="C393" s="14">
        <v>45935</v>
      </c>
      <c r="D393" s="14">
        <v>45932</v>
      </c>
      <c r="E393">
        <v>2025</v>
      </c>
      <c r="F393">
        <v>10</v>
      </c>
      <c r="G393" t="s">
        <v>207</v>
      </c>
      <c r="H393" t="s">
        <v>208</v>
      </c>
      <c r="I393" t="s">
        <v>124</v>
      </c>
      <c r="J393" s="15">
        <v>61798.85</v>
      </c>
      <c r="K393" s="15">
        <v>0</v>
      </c>
      <c r="L393" s="15">
        <f t="shared" si="30"/>
        <v>61798.85</v>
      </c>
      <c r="M393" t="s">
        <v>209</v>
      </c>
      <c r="N393" t="s">
        <v>963</v>
      </c>
      <c r="O393" t="s">
        <v>211</v>
      </c>
      <c r="P393" t="s">
        <v>151</v>
      </c>
      <c r="Q393" t="s">
        <v>140</v>
      </c>
      <c r="R393" s="16">
        <v>45935.635416666701</v>
      </c>
      <c r="S393" t="s">
        <v>130</v>
      </c>
      <c r="T393" t="s">
        <v>229</v>
      </c>
      <c r="U393" t="s">
        <v>963</v>
      </c>
      <c r="V393" t="b">
        <f t="shared" si="31"/>
        <v>0</v>
      </c>
      <c r="W393" t="b">
        <f>AND(OR(WEEKDAY(C393,2)=5,WEEKDAY(C393,2)=6),'01_Parameters'!$C$11="Enabled")</f>
        <v>0</v>
      </c>
      <c r="X393" t="b">
        <f t="shared" si="32"/>
        <v>0</v>
      </c>
      <c r="Y393" t="b">
        <f t="shared" si="33"/>
        <v>0</v>
      </c>
      <c r="Z393" t="b">
        <f t="shared" si="34"/>
        <v>0</v>
      </c>
    </row>
    <row r="394" spans="1:26" ht="15" customHeight="1">
      <c r="A394" t="s">
        <v>961</v>
      </c>
      <c r="B394" t="s">
        <v>964</v>
      </c>
      <c r="C394" s="14">
        <v>45935</v>
      </c>
      <c r="D394" s="14">
        <v>45932</v>
      </c>
      <c r="E394">
        <v>2025</v>
      </c>
      <c r="F394">
        <v>10</v>
      </c>
      <c r="G394" t="s">
        <v>132</v>
      </c>
      <c r="H394" t="s">
        <v>133</v>
      </c>
      <c r="I394" t="s">
        <v>134</v>
      </c>
      <c r="J394" s="15">
        <v>0</v>
      </c>
      <c r="K394" s="15">
        <v>61798.85</v>
      </c>
      <c r="L394" s="15">
        <f t="shared" si="30"/>
        <v>-61798.85</v>
      </c>
      <c r="M394" t="s">
        <v>209</v>
      </c>
      <c r="N394" t="s">
        <v>963</v>
      </c>
      <c r="O394" t="s">
        <v>211</v>
      </c>
      <c r="P394" t="s">
        <v>151</v>
      </c>
      <c r="Q394" t="s">
        <v>140</v>
      </c>
      <c r="R394" s="16">
        <v>45935.635416666701</v>
      </c>
      <c r="S394" t="s">
        <v>130</v>
      </c>
      <c r="T394" t="s">
        <v>229</v>
      </c>
      <c r="U394" t="s">
        <v>963</v>
      </c>
      <c r="V394" t="b">
        <f t="shared" si="31"/>
        <v>0</v>
      </c>
      <c r="W394" t="b">
        <f>AND(OR(WEEKDAY(C394,2)=5,WEEKDAY(C394,2)=6),'01_Parameters'!$C$11="Enabled")</f>
        <v>0</v>
      </c>
      <c r="X394" t="b">
        <f t="shared" si="32"/>
        <v>0</v>
      </c>
      <c r="Y394" t="b">
        <f t="shared" si="33"/>
        <v>0</v>
      </c>
      <c r="Z394" t="b">
        <f t="shared" si="34"/>
        <v>0</v>
      </c>
    </row>
    <row r="395" spans="1:26" ht="15" customHeight="1">
      <c r="A395" t="s">
        <v>965</v>
      </c>
      <c r="B395" t="s">
        <v>966</v>
      </c>
      <c r="C395" s="14">
        <v>45917</v>
      </c>
      <c r="D395" s="14">
        <v>45917</v>
      </c>
      <c r="E395">
        <v>2025</v>
      </c>
      <c r="F395">
        <v>9</v>
      </c>
      <c r="G395" t="s">
        <v>334</v>
      </c>
      <c r="H395" t="s">
        <v>335</v>
      </c>
      <c r="I395" t="s">
        <v>124</v>
      </c>
      <c r="J395" s="15">
        <v>91969.31</v>
      </c>
      <c r="K395" s="15">
        <v>0</v>
      </c>
      <c r="L395" s="15">
        <f t="shared" si="30"/>
        <v>91969.31</v>
      </c>
      <c r="M395" t="s">
        <v>125</v>
      </c>
      <c r="N395" t="s">
        <v>967</v>
      </c>
      <c r="O395" t="s">
        <v>127</v>
      </c>
      <c r="P395" t="s">
        <v>150</v>
      </c>
      <c r="Q395" t="s">
        <v>128</v>
      </c>
      <c r="R395" s="16">
        <v>45917.875</v>
      </c>
      <c r="S395" t="s">
        <v>130</v>
      </c>
      <c r="V395" t="b">
        <f t="shared" si="31"/>
        <v>0</v>
      </c>
      <c r="W395" t="b">
        <f>AND(OR(WEEKDAY(C395,2)=5,WEEKDAY(C395,2)=6),'01_Parameters'!$C$11="Enabled")</f>
        <v>0</v>
      </c>
      <c r="X395" t="b">
        <f t="shared" si="32"/>
        <v>1</v>
      </c>
      <c r="Y395" t="b">
        <f t="shared" si="33"/>
        <v>0</v>
      </c>
      <c r="Z395" t="b">
        <f t="shared" si="34"/>
        <v>0</v>
      </c>
    </row>
    <row r="396" spans="1:26" ht="15" customHeight="1">
      <c r="A396" t="s">
        <v>965</v>
      </c>
      <c r="B396" t="s">
        <v>968</v>
      </c>
      <c r="C396" s="14">
        <v>45917</v>
      </c>
      <c r="D396" s="14">
        <v>45917</v>
      </c>
      <c r="E396">
        <v>2025</v>
      </c>
      <c r="F396">
        <v>9</v>
      </c>
      <c r="G396" t="s">
        <v>132</v>
      </c>
      <c r="H396" t="s">
        <v>133</v>
      </c>
      <c r="I396" t="s">
        <v>134</v>
      </c>
      <c r="J396" s="15">
        <v>0</v>
      </c>
      <c r="K396" s="15">
        <v>91969.31</v>
      </c>
      <c r="L396" s="15">
        <f t="shared" si="30"/>
        <v>-91969.31</v>
      </c>
      <c r="M396" t="s">
        <v>125</v>
      </c>
      <c r="N396" t="s">
        <v>967</v>
      </c>
      <c r="O396" t="s">
        <v>127</v>
      </c>
      <c r="P396" t="s">
        <v>150</v>
      </c>
      <c r="Q396" t="s">
        <v>128</v>
      </c>
      <c r="R396" s="16">
        <v>45917.875</v>
      </c>
      <c r="S396" t="s">
        <v>130</v>
      </c>
      <c r="V396" t="b">
        <f t="shared" si="31"/>
        <v>0</v>
      </c>
      <c r="W396" t="b">
        <f>AND(OR(WEEKDAY(C396,2)=5,WEEKDAY(C396,2)=6),'01_Parameters'!$C$11="Enabled")</f>
        <v>0</v>
      </c>
      <c r="X396" t="b">
        <f t="shared" si="32"/>
        <v>1</v>
      </c>
      <c r="Y396" t="b">
        <f t="shared" si="33"/>
        <v>0</v>
      </c>
      <c r="Z396" t="b">
        <f t="shared" si="34"/>
        <v>0</v>
      </c>
    </row>
    <row r="397" spans="1:26" ht="15" customHeight="1">
      <c r="A397" t="s">
        <v>969</v>
      </c>
      <c r="B397" t="s">
        <v>970</v>
      </c>
      <c r="C397" s="14">
        <v>45946</v>
      </c>
      <c r="D397" s="14">
        <v>45945</v>
      </c>
      <c r="E397">
        <v>2025</v>
      </c>
      <c r="F397">
        <v>10</v>
      </c>
      <c r="G397" t="s">
        <v>144</v>
      </c>
      <c r="H397" t="s">
        <v>145</v>
      </c>
      <c r="I397" t="s">
        <v>146</v>
      </c>
      <c r="J397" s="15">
        <v>50834.27</v>
      </c>
      <c r="K397" s="15">
        <v>0</v>
      </c>
      <c r="L397" s="15">
        <f t="shared" si="30"/>
        <v>50834.27</v>
      </c>
      <c r="M397" t="s">
        <v>147</v>
      </c>
      <c r="N397" t="s">
        <v>971</v>
      </c>
      <c r="O397" t="s">
        <v>149</v>
      </c>
      <c r="P397" t="s">
        <v>150</v>
      </c>
      <c r="Q397" t="s">
        <v>151</v>
      </c>
      <c r="R397" s="16">
        <v>45946.28125</v>
      </c>
      <c r="S397" t="s">
        <v>130</v>
      </c>
      <c r="V397" t="b">
        <f t="shared" si="31"/>
        <v>0</v>
      </c>
      <c r="W397" t="b">
        <f>AND(OR(WEEKDAY(C397,2)=5,WEEKDAY(C397,2)=6),'01_Parameters'!$C$11="Enabled")</f>
        <v>0</v>
      </c>
      <c r="X397" t="b">
        <f t="shared" si="32"/>
        <v>1</v>
      </c>
      <c r="Y397" t="b">
        <f t="shared" si="33"/>
        <v>0</v>
      </c>
      <c r="Z397" t="b">
        <f t="shared" si="34"/>
        <v>0</v>
      </c>
    </row>
    <row r="398" spans="1:26" ht="15" customHeight="1">
      <c r="A398" t="s">
        <v>969</v>
      </c>
      <c r="B398" t="s">
        <v>972</v>
      </c>
      <c r="C398" s="14">
        <v>45946</v>
      </c>
      <c r="D398" s="14">
        <v>45945</v>
      </c>
      <c r="E398">
        <v>2025</v>
      </c>
      <c r="F398">
        <v>10</v>
      </c>
      <c r="G398" t="s">
        <v>153</v>
      </c>
      <c r="H398" t="s">
        <v>154</v>
      </c>
      <c r="I398" t="s">
        <v>155</v>
      </c>
      <c r="J398" s="15">
        <v>0</v>
      </c>
      <c r="K398" s="15">
        <v>50834.27</v>
      </c>
      <c r="L398" s="15">
        <f t="shared" si="30"/>
        <v>-50834.27</v>
      </c>
      <c r="M398" t="s">
        <v>147</v>
      </c>
      <c r="N398" t="s">
        <v>971</v>
      </c>
      <c r="O398" t="s">
        <v>149</v>
      </c>
      <c r="P398" t="s">
        <v>150</v>
      </c>
      <c r="Q398" t="s">
        <v>151</v>
      </c>
      <c r="R398" s="16">
        <v>45946.28125</v>
      </c>
      <c r="S398" t="s">
        <v>130</v>
      </c>
      <c r="V398" t="b">
        <f t="shared" si="31"/>
        <v>0</v>
      </c>
      <c r="W398" t="b">
        <f>AND(OR(WEEKDAY(C398,2)=5,WEEKDAY(C398,2)=6),'01_Parameters'!$C$11="Enabled")</f>
        <v>0</v>
      </c>
      <c r="X398" t="b">
        <f t="shared" si="32"/>
        <v>1</v>
      </c>
      <c r="Y398" t="b">
        <f t="shared" si="33"/>
        <v>0</v>
      </c>
      <c r="Z398" t="b">
        <f t="shared" si="34"/>
        <v>0</v>
      </c>
    </row>
    <row r="399" spans="1:26" ht="15" customHeight="1">
      <c r="A399" t="s">
        <v>973</v>
      </c>
      <c r="B399" t="s">
        <v>974</v>
      </c>
      <c r="C399" s="14">
        <v>45682</v>
      </c>
      <c r="D399" s="14">
        <v>45678</v>
      </c>
      <c r="E399">
        <v>2025</v>
      </c>
      <c r="F399">
        <v>1</v>
      </c>
      <c r="G399" t="s">
        <v>122</v>
      </c>
      <c r="H399" t="s">
        <v>123</v>
      </c>
      <c r="I399" t="s">
        <v>124</v>
      </c>
      <c r="J399" s="15">
        <v>17604.14</v>
      </c>
      <c r="K399" s="15">
        <v>0</v>
      </c>
      <c r="L399" s="15">
        <f t="shared" si="30"/>
        <v>17604.14</v>
      </c>
      <c r="M399" t="s">
        <v>209</v>
      </c>
      <c r="N399" t="s">
        <v>975</v>
      </c>
      <c r="O399" t="s">
        <v>211</v>
      </c>
      <c r="P399" t="s">
        <v>140</v>
      </c>
      <c r="Q399" t="s">
        <v>129</v>
      </c>
      <c r="R399" s="16">
        <v>45682.25</v>
      </c>
      <c r="S399" t="s">
        <v>130</v>
      </c>
      <c r="T399" t="s">
        <v>349</v>
      </c>
      <c r="U399" t="s">
        <v>975</v>
      </c>
      <c r="V399" t="b">
        <f t="shared" si="31"/>
        <v>0</v>
      </c>
      <c r="W399" t="b">
        <f>AND(OR(WEEKDAY(C399,2)=5,WEEKDAY(C399,2)=6),'01_Parameters'!$C$11="Enabled")</f>
        <v>1</v>
      </c>
      <c r="X399" t="b">
        <f t="shared" si="32"/>
        <v>1</v>
      </c>
      <c r="Y399" t="b">
        <f t="shared" si="33"/>
        <v>0</v>
      </c>
      <c r="Z399" t="b">
        <f t="shared" si="34"/>
        <v>0</v>
      </c>
    </row>
    <row r="400" spans="1:26" ht="15" customHeight="1">
      <c r="A400" t="s">
        <v>973</v>
      </c>
      <c r="B400" t="s">
        <v>976</v>
      </c>
      <c r="C400" s="14">
        <v>45682</v>
      </c>
      <c r="D400" s="14">
        <v>45678</v>
      </c>
      <c r="E400">
        <v>2025</v>
      </c>
      <c r="F400">
        <v>1</v>
      </c>
      <c r="G400" t="s">
        <v>132</v>
      </c>
      <c r="H400" t="s">
        <v>133</v>
      </c>
      <c r="I400" t="s">
        <v>134</v>
      </c>
      <c r="J400" s="15">
        <v>0</v>
      </c>
      <c r="K400" s="15">
        <v>17604.14</v>
      </c>
      <c r="L400" s="15">
        <f t="shared" si="30"/>
        <v>-17604.14</v>
      </c>
      <c r="M400" t="s">
        <v>209</v>
      </c>
      <c r="N400" t="s">
        <v>975</v>
      </c>
      <c r="O400" t="s">
        <v>211</v>
      </c>
      <c r="P400" t="s">
        <v>140</v>
      </c>
      <c r="Q400" t="s">
        <v>129</v>
      </c>
      <c r="R400" s="16">
        <v>45682.25</v>
      </c>
      <c r="S400" t="s">
        <v>130</v>
      </c>
      <c r="T400" t="s">
        <v>349</v>
      </c>
      <c r="U400" t="s">
        <v>975</v>
      </c>
      <c r="V400" t="b">
        <f t="shared" si="31"/>
        <v>0</v>
      </c>
      <c r="W400" t="b">
        <f>AND(OR(WEEKDAY(C400,2)=5,WEEKDAY(C400,2)=6),'01_Parameters'!$C$11="Enabled")</f>
        <v>1</v>
      </c>
      <c r="X400" t="b">
        <f t="shared" si="32"/>
        <v>1</v>
      </c>
      <c r="Y400" t="b">
        <f t="shared" si="33"/>
        <v>0</v>
      </c>
      <c r="Z400" t="b">
        <f t="shared" si="34"/>
        <v>0</v>
      </c>
    </row>
    <row r="401" spans="1:26" ht="15" customHeight="1">
      <c r="A401" t="s">
        <v>977</v>
      </c>
      <c r="B401" t="s">
        <v>978</v>
      </c>
      <c r="C401" s="14">
        <v>46009</v>
      </c>
      <c r="D401" s="14">
        <v>46009</v>
      </c>
      <c r="E401">
        <v>2025</v>
      </c>
      <c r="F401">
        <v>12</v>
      </c>
      <c r="G401" t="s">
        <v>179</v>
      </c>
      <c r="H401" t="s">
        <v>180</v>
      </c>
      <c r="I401" t="s">
        <v>124</v>
      </c>
      <c r="J401" s="15">
        <v>81669.64</v>
      </c>
      <c r="K401" s="15">
        <v>0</v>
      </c>
      <c r="L401" s="15">
        <f t="shared" si="30"/>
        <v>81669.64</v>
      </c>
      <c r="M401" t="s">
        <v>181</v>
      </c>
      <c r="N401" t="s">
        <v>979</v>
      </c>
      <c r="O401" t="s">
        <v>183</v>
      </c>
      <c r="P401" t="s">
        <v>150</v>
      </c>
      <c r="Q401" t="s">
        <v>128</v>
      </c>
      <c r="R401" s="16">
        <v>46009.416666666701</v>
      </c>
      <c r="S401" t="s">
        <v>130</v>
      </c>
      <c r="V401" t="b">
        <f t="shared" si="31"/>
        <v>1</v>
      </c>
      <c r="W401" t="b">
        <f>AND(OR(WEEKDAY(C401,2)=5,WEEKDAY(C401,2)=6),'01_Parameters'!$C$11="Enabled")</f>
        <v>0</v>
      </c>
      <c r="X401" t="b">
        <f t="shared" si="32"/>
        <v>0</v>
      </c>
      <c r="Y401" t="b">
        <f t="shared" si="33"/>
        <v>0</v>
      </c>
      <c r="Z401" t="b">
        <f t="shared" si="34"/>
        <v>0</v>
      </c>
    </row>
    <row r="402" spans="1:26" ht="15" customHeight="1">
      <c r="A402" t="s">
        <v>977</v>
      </c>
      <c r="B402" t="s">
        <v>980</v>
      </c>
      <c r="C402" s="14">
        <v>46009</v>
      </c>
      <c r="D402" s="14">
        <v>46009</v>
      </c>
      <c r="E402">
        <v>2025</v>
      </c>
      <c r="F402">
        <v>12</v>
      </c>
      <c r="G402" t="s">
        <v>185</v>
      </c>
      <c r="H402" t="s">
        <v>186</v>
      </c>
      <c r="I402" t="s">
        <v>134</v>
      </c>
      <c r="J402" s="15">
        <v>0</v>
      </c>
      <c r="K402" s="15">
        <v>81669.64</v>
      </c>
      <c r="L402" s="15">
        <f t="shared" si="30"/>
        <v>-81669.64</v>
      </c>
      <c r="M402" t="s">
        <v>181</v>
      </c>
      <c r="N402" t="s">
        <v>979</v>
      </c>
      <c r="O402" t="s">
        <v>183</v>
      </c>
      <c r="P402" t="s">
        <v>150</v>
      </c>
      <c r="Q402" t="s">
        <v>128</v>
      </c>
      <c r="R402" s="16">
        <v>46009.416666666701</v>
      </c>
      <c r="S402" t="s">
        <v>130</v>
      </c>
      <c r="V402" t="b">
        <f t="shared" si="31"/>
        <v>1</v>
      </c>
      <c r="W402" t="b">
        <f>AND(OR(WEEKDAY(C402,2)=5,WEEKDAY(C402,2)=6),'01_Parameters'!$C$11="Enabled")</f>
        <v>0</v>
      </c>
      <c r="X402" t="b">
        <f t="shared" si="32"/>
        <v>0</v>
      </c>
      <c r="Y402" t="b">
        <f t="shared" si="33"/>
        <v>0</v>
      </c>
      <c r="Z402" t="b">
        <f t="shared" si="34"/>
        <v>0</v>
      </c>
    </row>
    <row r="403" spans="1:26" ht="15" customHeight="1">
      <c r="A403" t="s">
        <v>981</v>
      </c>
      <c r="B403" t="s">
        <v>982</v>
      </c>
      <c r="C403" s="14">
        <v>45983</v>
      </c>
      <c r="D403" s="14">
        <v>45979</v>
      </c>
      <c r="E403">
        <v>2025</v>
      </c>
      <c r="F403">
        <v>11</v>
      </c>
      <c r="G403" t="s">
        <v>193</v>
      </c>
      <c r="H403" t="s">
        <v>194</v>
      </c>
      <c r="I403" t="s">
        <v>124</v>
      </c>
      <c r="J403" s="15">
        <v>63999.9</v>
      </c>
      <c r="K403" s="15">
        <v>0</v>
      </c>
      <c r="L403" s="15">
        <f t="shared" si="30"/>
        <v>63999.9</v>
      </c>
      <c r="M403" t="s">
        <v>195</v>
      </c>
      <c r="N403" t="s">
        <v>983</v>
      </c>
      <c r="O403" t="s">
        <v>197</v>
      </c>
      <c r="P403" t="s">
        <v>140</v>
      </c>
      <c r="Q403" t="s">
        <v>128</v>
      </c>
      <c r="R403" s="16">
        <v>45983.416666666701</v>
      </c>
      <c r="S403" t="s">
        <v>130</v>
      </c>
      <c r="V403" t="b">
        <f t="shared" si="31"/>
        <v>0</v>
      </c>
      <c r="W403" t="b">
        <f>AND(OR(WEEKDAY(C403,2)=5,WEEKDAY(C403,2)=6),'01_Parameters'!$C$11="Enabled")</f>
        <v>1</v>
      </c>
      <c r="X403" t="b">
        <f t="shared" si="32"/>
        <v>0</v>
      </c>
      <c r="Y403" t="b">
        <f t="shared" si="33"/>
        <v>0</v>
      </c>
      <c r="Z403" t="b">
        <f t="shared" si="34"/>
        <v>0</v>
      </c>
    </row>
    <row r="404" spans="1:26" ht="15" customHeight="1">
      <c r="A404" t="s">
        <v>981</v>
      </c>
      <c r="B404" t="s">
        <v>984</v>
      </c>
      <c r="C404" s="14">
        <v>45983</v>
      </c>
      <c r="D404" s="14">
        <v>45979</v>
      </c>
      <c r="E404">
        <v>2025</v>
      </c>
      <c r="F404">
        <v>11</v>
      </c>
      <c r="G404" t="s">
        <v>199</v>
      </c>
      <c r="H404" t="s">
        <v>200</v>
      </c>
      <c r="I404" t="s">
        <v>146</v>
      </c>
      <c r="J404" s="15">
        <v>0</v>
      </c>
      <c r="K404" s="15">
        <v>63999.9</v>
      </c>
      <c r="L404" s="15">
        <f t="shared" si="30"/>
        <v>-63999.9</v>
      </c>
      <c r="M404" t="s">
        <v>195</v>
      </c>
      <c r="N404" t="s">
        <v>983</v>
      </c>
      <c r="O404" t="s">
        <v>197</v>
      </c>
      <c r="P404" t="s">
        <v>140</v>
      </c>
      <c r="Q404" t="s">
        <v>128</v>
      </c>
      <c r="R404" s="16">
        <v>45983.416666666701</v>
      </c>
      <c r="S404" t="s">
        <v>130</v>
      </c>
      <c r="V404" t="b">
        <f t="shared" si="31"/>
        <v>0</v>
      </c>
      <c r="W404" t="b">
        <f>AND(OR(WEEKDAY(C404,2)=5,WEEKDAY(C404,2)=6),'01_Parameters'!$C$11="Enabled")</f>
        <v>1</v>
      </c>
      <c r="X404" t="b">
        <f t="shared" si="32"/>
        <v>0</v>
      </c>
      <c r="Y404" t="b">
        <f t="shared" si="33"/>
        <v>0</v>
      </c>
      <c r="Z404" t="b">
        <f t="shared" si="34"/>
        <v>0</v>
      </c>
    </row>
    <row r="405" spans="1:26" ht="15" customHeight="1">
      <c r="A405" t="s">
        <v>985</v>
      </c>
      <c r="B405" t="s">
        <v>986</v>
      </c>
      <c r="C405" s="14">
        <v>45935</v>
      </c>
      <c r="D405" s="14">
        <v>45934</v>
      </c>
      <c r="E405">
        <v>2025</v>
      </c>
      <c r="F405">
        <v>10</v>
      </c>
      <c r="G405" t="s">
        <v>193</v>
      </c>
      <c r="H405" t="s">
        <v>194</v>
      </c>
      <c r="I405" t="s">
        <v>124</v>
      </c>
      <c r="J405" s="15">
        <v>69669.22</v>
      </c>
      <c r="K405" s="15">
        <v>0</v>
      </c>
      <c r="L405" s="15">
        <f t="shared" si="30"/>
        <v>69669.22</v>
      </c>
      <c r="M405" t="s">
        <v>195</v>
      </c>
      <c r="N405" t="s">
        <v>987</v>
      </c>
      <c r="O405" t="s">
        <v>197</v>
      </c>
      <c r="P405" t="s">
        <v>128</v>
      </c>
      <c r="Q405" t="s">
        <v>150</v>
      </c>
      <c r="R405" s="16">
        <v>45935.6875</v>
      </c>
      <c r="S405" t="s">
        <v>130</v>
      </c>
      <c r="V405" t="b">
        <f t="shared" si="31"/>
        <v>0</v>
      </c>
      <c r="W405" t="b">
        <f>AND(OR(WEEKDAY(C405,2)=5,WEEKDAY(C405,2)=6),'01_Parameters'!$C$11="Enabled")</f>
        <v>0</v>
      </c>
      <c r="X405" t="b">
        <f t="shared" si="32"/>
        <v>0</v>
      </c>
      <c r="Y405" t="b">
        <f t="shared" si="33"/>
        <v>0</v>
      </c>
      <c r="Z405" t="b">
        <f t="shared" si="34"/>
        <v>0</v>
      </c>
    </row>
    <row r="406" spans="1:26" ht="15" customHeight="1">
      <c r="A406" t="s">
        <v>985</v>
      </c>
      <c r="B406" t="s">
        <v>988</v>
      </c>
      <c r="C406" s="14">
        <v>45935</v>
      </c>
      <c r="D406" s="14">
        <v>45934</v>
      </c>
      <c r="E406">
        <v>2025</v>
      </c>
      <c r="F406">
        <v>10</v>
      </c>
      <c r="G406" t="s">
        <v>199</v>
      </c>
      <c r="H406" t="s">
        <v>200</v>
      </c>
      <c r="I406" t="s">
        <v>146</v>
      </c>
      <c r="J406" s="15">
        <v>0</v>
      </c>
      <c r="K406" s="15">
        <v>69669.22</v>
      </c>
      <c r="L406" s="15">
        <f t="shared" si="30"/>
        <v>-69669.22</v>
      </c>
      <c r="M406" t="s">
        <v>195</v>
      </c>
      <c r="N406" t="s">
        <v>987</v>
      </c>
      <c r="O406" t="s">
        <v>197</v>
      </c>
      <c r="P406" t="s">
        <v>128</v>
      </c>
      <c r="Q406" t="s">
        <v>150</v>
      </c>
      <c r="R406" s="16">
        <v>45935.6875</v>
      </c>
      <c r="S406" t="s">
        <v>130</v>
      </c>
      <c r="V406" t="b">
        <f t="shared" si="31"/>
        <v>0</v>
      </c>
      <c r="W406" t="b">
        <f>AND(OR(WEEKDAY(C406,2)=5,WEEKDAY(C406,2)=6),'01_Parameters'!$C$11="Enabled")</f>
        <v>0</v>
      </c>
      <c r="X406" t="b">
        <f t="shared" si="32"/>
        <v>0</v>
      </c>
      <c r="Y406" t="b">
        <f t="shared" si="33"/>
        <v>0</v>
      </c>
      <c r="Z406" t="b">
        <f t="shared" si="34"/>
        <v>0</v>
      </c>
    </row>
    <row r="407" spans="1:26" ht="15" customHeight="1">
      <c r="A407" t="s">
        <v>989</v>
      </c>
      <c r="B407" t="s">
        <v>990</v>
      </c>
      <c r="C407" s="14">
        <v>46011</v>
      </c>
      <c r="D407" s="14">
        <v>46010</v>
      </c>
      <c r="E407">
        <v>2025</v>
      </c>
      <c r="F407">
        <v>12</v>
      </c>
      <c r="G407" t="s">
        <v>417</v>
      </c>
      <c r="H407" t="s">
        <v>418</v>
      </c>
      <c r="I407" t="s">
        <v>124</v>
      </c>
      <c r="J407" s="15">
        <v>47599.78</v>
      </c>
      <c r="K407" s="15">
        <v>0</v>
      </c>
      <c r="L407" s="15">
        <f t="shared" si="30"/>
        <v>47599.78</v>
      </c>
      <c r="M407" t="s">
        <v>125</v>
      </c>
      <c r="N407" t="s">
        <v>991</v>
      </c>
      <c r="O407" t="s">
        <v>127</v>
      </c>
      <c r="P407" t="s">
        <v>151</v>
      </c>
      <c r="Q407" t="s">
        <v>129</v>
      </c>
      <c r="R407" s="16">
        <v>46011.885416666701</v>
      </c>
      <c r="S407" t="s">
        <v>130</v>
      </c>
      <c r="V407" t="b">
        <f t="shared" si="31"/>
        <v>1</v>
      </c>
      <c r="W407" t="b">
        <f>AND(OR(WEEKDAY(C407,2)=5,WEEKDAY(C407,2)=6),'01_Parameters'!$C$11="Enabled")</f>
        <v>1</v>
      </c>
      <c r="X407" t="b">
        <f t="shared" si="32"/>
        <v>1</v>
      </c>
      <c r="Y407" t="b">
        <f t="shared" si="33"/>
        <v>0</v>
      </c>
      <c r="Z407" t="b">
        <f t="shared" si="34"/>
        <v>0</v>
      </c>
    </row>
    <row r="408" spans="1:26" ht="15" customHeight="1">
      <c r="A408" t="s">
        <v>989</v>
      </c>
      <c r="B408" t="s">
        <v>992</v>
      </c>
      <c r="C408" s="14">
        <v>46011</v>
      </c>
      <c r="D408" s="14">
        <v>46010</v>
      </c>
      <c r="E408">
        <v>2025</v>
      </c>
      <c r="F408">
        <v>12</v>
      </c>
      <c r="G408" t="s">
        <v>132</v>
      </c>
      <c r="H408" t="s">
        <v>133</v>
      </c>
      <c r="I408" t="s">
        <v>134</v>
      </c>
      <c r="J408" s="15">
        <v>0</v>
      </c>
      <c r="K408" s="15">
        <v>47599.78</v>
      </c>
      <c r="L408" s="15">
        <f t="shared" si="30"/>
        <v>-47599.78</v>
      </c>
      <c r="M408" t="s">
        <v>125</v>
      </c>
      <c r="N408" t="s">
        <v>991</v>
      </c>
      <c r="O408" t="s">
        <v>127</v>
      </c>
      <c r="P408" t="s">
        <v>151</v>
      </c>
      <c r="Q408" t="s">
        <v>129</v>
      </c>
      <c r="R408" s="16">
        <v>46011.885416666701</v>
      </c>
      <c r="S408" t="s">
        <v>130</v>
      </c>
      <c r="V408" t="b">
        <f t="shared" si="31"/>
        <v>1</v>
      </c>
      <c r="W408" t="b">
        <f>AND(OR(WEEKDAY(C408,2)=5,WEEKDAY(C408,2)=6),'01_Parameters'!$C$11="Enabled")</f>
        <v>1</v>
      </c>
      <c r="X408" t="b">
        <f t="shared" si="32"/>
        <v>1</v>
      </c>
      <c r="Y408" t="b">
        <f t="shared" si="33"/>
        <v>0</v>
      </c>
      <c r="Z408" t="b">
        <f t="shared" si="34"/>
        <v>0</v>
      </c>
    </row>
    <row r="409" spans="1:26" ht="15" customHeight="1">
      <c r="A409" t="s">
        <v>993</v>
      </c>
      <c r="B409" t="s">
        <v>994</v>
      </c>
      <c r="C409" s="14">
        <v>45711</v>
      </c>
      <c r="D409" s="14">
        <v>45709</v>
      </c>
      <c r="E409">
        <v>2025</v>
      </c>
      <c r="F409">
        <v>2</v>
      </c>
      <c r="G409" t="s">
        <v>137</v>
      </c>
      <c r="H409" t="s">
        <v>138</v>
      </c>
      <c r="I409" t="s">
        <v>124</v>
      </c>
      <c r="J409" s="15">
        <v>67537.600000000006</v>
      </c>
      <c r="K409" s="15">
        <v>0</v>
      </c>
      <c r="L409" s="15">
        <f t="shared" si="30"/>
        <v>67537.600000000006</v>
      </c>
      <c r="M409" t="s">
        <v>209</v>
      </c>
      <c r="N409" t="s">
        <v>995</v>
      </c>
      <c r="O409" t="s">
        <v>211</v>
      </c>
      <c r="P409" t="s">
        <v>140</v>
      </c>
      <c r="Q409" t="s">
        <v>128</v>
      </c>
      <c r="R409" s="16">
        <v>45711.71875</v>
      </c>
      <c r="S409" t="s">
        <v>130</v>
      </c>
      <c r="T409" t="s">
        <v>313</v>
      </c>
      <c r="U409" t="s">
        <v>995</v>
      </c>
      <c r="V409" t="b">
        <f t="shared" si="31"/>
        <v>0</v>
      </c>
      <c r="W409" t="b">
        <f>AND(OR(WEEKDAY(C409,2)=5,WEEKDAY(C409,2)=6),'01_Parameters'!$C$11="Enabled")</f>
        <v>0</v>
      </c>
      <c r="X409" t="b">
        <f t="shared" si="32"/>
        <v>0</v>
      </c>
      <c r="Y409" t="b">
        <f t="shared" si="33"/>
        <v>0</v>
      </c>
      <c r="Z409" t="b">
        <f t="shared" si="34"/>
        <v>0</v>
      </c>
    </row>
    <row r="410" spans="1:26" ht="15" customHeight="1">
      <c r="A410" t="s">
        <v>993</v>
      </c>
      <c r="B410" t="s">
        <v>996</v>
      </c>
      <c r="C410" s="14">
        <v>45711</v>
      </c>
      <c r="D410" s="14">
        <v>45709</v>
      </c>
      <c r="E410">
        <v>2025</v>
      </c>
      <c r="F410">
        <v>2</v>
      </c>
      <c r="G410" t="s">
        <v>132</v>
      </c>
      <c r="H410" t="s">
        <v>133</v>
      </c>
      <c r="I410" t="s">
        <v>134</v>
      </c>
      <c r="J410" s="15">
        <v>0</v>
      </c>
      <c r="K410" s="15">
        <v>67537.600000000006</v>
      </c>
      <c r="L410" s="15">
        <f t="shared" si="30"/>
        <v>-67537.600000000006</v>
      </c>
      <c r="M410" t="s">
        <v>209</v>
      </c>
      <c r="N410" t="s">
        <v>995</v>
      </c>
      <c r="O410" t="s">
        <v>211</v>
      </c>
      <c r="P410" t="s">
        <v>140</v>
      </c>
      <c r="Q410" t="s">
        <v>128</v>
      </c>
      <c r="R410" s="16">
        <v>45711.71875</v>
      </c>
      <c r="S410" t="s">
        <v>130</v>
      </c>
      <c r="T410" t="s">
        <v>313</v>
      </c>
      <c r="U410" t="s">
        <v>995</v>
      </c>
      <c r="V410" t="b">
        <f t="shared" si="31"/>
        <v>0</v>
      </c>
      <c r="W410" t="b">
        <f>AND(OR(WEEKDAY(C410,2)=5,WEEKDAY(C410,2)=6),'01_Parameters'!$C$11="Enabled")</f>
        <v>0</v>
      </c>
      <c r="X410" t="b">
        <f t="shared" si="32"/>
        <v>0</v>
      </c>
      <c r="Y410" t="b">
        <f t="shared" si="33"/>
        <v>0</v>
      </c>
      <c r="Z410" t="b">
        <f t="shared" si="34"/>
        <v>0</v>
      </c>
    </row>
    <row r="411" spans="1:26" ht="15" customHeight="1">
      <c r="A411" t="s">
        <v>997</v>
      </c>
      <c r="B411" t="s">
        <v>998</v>
      </c>
      <c r="C411" s="14">
        <v>46011</v>
      </c>
      <c r="D411" s="14">
        <v>46009</v>
      </c>
      <c r="E411">
        <v>2025</v>
      </c>
      <c r="F411">
        <v>12</v>
      </c>
      <c r="G411" t="s">
        <v>172</v>
      </c>
      <c r="H411" t="s">
        <v>173</v>
      </c>
      <c r="I411" t="s">
        <v>124</v>
      </c>
      <c r="J411" s="15">
        <v>131276.6</v>
      </c>
      <c r="K411" s="15">
        <v>0</v>
      </c>
      <c r="L411" s="15">
        <f t="shared" si="30"/>
        <v>131276.6</v>
      </c>
      <c r="M411" t="s">
        <v>125</v>
      </c>
      <c r="N411" t="s">
        <v>999</v>
      </c>
      <c r="O411" t="s">
        <v>127</v>
      </c>
      <c r="P411" t="s">
        <v>140</v>
      </c>
      <c r="Q411" t="s">
        <v>151</v>
      </c>
      <c r="R411" s="16">
        <v>46011.947916666701</v>
      </c>
      <c r="S411" t="s">
        <v>130</v>
      </c>
      <c r="V411" t="b">
        <f t="shared" si="31"/>
        <v>1</v>
      </c>
      <c r="W411" t="b">
        <f>AND(OR(WEEKDAY(C411,2)=5,WEEKDAY(C411,2)=6),'01_Parameters'!$C$11="Enabled")</f>
        <v>1</v>
      </c>
      <c r="X411" t="b">
        <f t="shared" si="32"/>
        <v>1</v>
      </c>
      <c r="Y411" t="b">
        <f t="shared" si="33"/>
        <v>1</v>
      </c>
      <c r="Z411" t="b">
        <f t="shared" si="34"/>
        <v>0</v>
      </c>
    </row>
    <row r="412" spans="1:26" ht="15" customHeight="1">
      <c r="A412" t="s">
        <v>997</v>
      </c>
      <c r="B412" t="s">
        <v>1000</v>
      </c>
      <c r="C412" s="14">
        <v>46011</v>
      </c>
      <c r="D412" s="14">
        <v>46009</v>
      </c>
      <c r="E412">
        <v>2025</v>
      </c>
      <c r="F412">
        <v>12</v>
      </c>
      <c r="G412" t="s">
        <v>132</v>
      </c>
      <c r="H412" t="s">
        <v>133</v>
      </c>
      <c r="I412" t="s">
        <v>134</v>
      </c>
      <c r="J412" s="15">
        <v>0</v>
      </c>
      <c r="K412" s="15">
        <v>131276.6</v>
      </c>
      <c r="L412" s="15">
        <f t="shared" si="30"/>
        <v>-131276.6</v>
      </c>
      <c r="M412" t="s">
        <v>125</v>
      </c>
      <c r="N412" t="s">
        <v>999</v>
      </c>
      <c r="O412" t="s">
        <v>127</v>
      </c>
      <c r="P412" t="s">
        <v>140</v>
      </c>
      <c r="Q412" t="s">
        <v>151</v>
      </c>
      <c r="R412" s="16">
        <v>46011.947916666701</v>
      </c>
      <c r="S412" t="s">
        <v>130</v>
      </c>
      <c r="V412" t="b">
        <f t="shared" si="31"/>
        <v>1</v>
      </c>
      <c r="W412" t="b">
        <f>AND(OR(WEEKDAY(C412,2)=5,WEEKDAY(C412,2)=6),'01_Parameters'!$C$11="Enabled")</f>
        <v>1</v>
      </c>
      <c r="X412" t="b">
        <f t="shared" si="32"/>
        <v>1</v>
      </c>
      <c r="Y412" t="b">
        <f t="shared" si="33"/>
        <v>1</v>
      </c>
      <c r="Z412" t="b">
        <f t="shared" si="34"/>
        <v>0</v>
      </c>
    </row>
    <row r="413" spans="1:26" ht="15" customHeight="1">
      <c r="A413" t="s">
        <v>1001</v>
      </c>
      <c r="B413" t="s">
        <v>1002</v>
      </c>
      <c r="C413" s="14">
        <v>45866</v>
      </c>
      <c r="D413" s="14">
        <v>45861</v>
      </c>
      <c r="E413">
        <v>2025</v>
      </c>
      <c r="F413">
        <v>7</v>
      </c>
      <c r="G413" t="s">
        <v>172</v>
      </c>
      <c r="H413" t="s">
        <v>173</v>
      </c>
      <c r="I413" t="s">
        <v>124</v>
      </c>
      <c r="J413" s="15">
        <v>51068.09</v>
      </c>
      <c r="K413" s="15">
        <v>0</v>
      </c>
      <c r="L413" s="15">
        <f t="shared" si="30"/>
        <v>51068.09</v>
      </c>
      <c r="M413" t="s">
        <v>209</v>
      </c>
      <c r="N413" t="s">
        <v>1003</v>
      </c>
      <c r="O413" t="s">
        <v>211</v>
      </c>
      <c r="P413" t="s">
        <v>150</v>
      </c>
      <c r="Q413" t="s">
        <v>140</v>
      </c>
      <c r="R413" s="16">
        <v>45866.947916666701</v>
      </c>
      <c r="S413" t="s">
        <v>130</v>
      </c>
      <c r="T413" t="s">
        <v>705</v>
      </c>
      <c r="U413" t="s">
        <v>1003</v>
      </c>
      <c r="V413" t="b">
        <f t="shared" si="31"/>
        <v>0</v>
      </c>
      <c r="W413" t="b">
        <f>AND(OR(WEEKDAY(C413,2)=5,WEEKDAY(C413,2)=6),'01_Parameters'!$C$11="Enabled")</f>
        <v>0</v>
      </c>
      <c r="X413" t="b">
        <f t="shared" si="32"/>
        <v>1</v>
      </c>
      <c r="Y413" t="b">
        <f t="shared" si="33"/>
        <v>0</v>
      </c>
      <c r="Z413" t="b">
        <f t="shared" si="34"/>
        <v>0</v>
      </c>
    </row>
    <row r="414" spans="1:26" ht="15" customHeight="1">
      <c r="A414" t="s">
        <v>1001</v>
      </c>
      <c r="B414" t="s">
        <v>1004</v>
      </c>
      <c r="C414" s="14">
        <v>45866</v>
      </c>
      <c r="D414" s="14">
        <v>45861</v>
      </c>
      <c r="E414">
        <v>2025</v>
      </c>
      <c r="F414">
        <v>7</v>
      </c>
      <c r="G414" t="s">
        <v>132</v>
      </c>
      <c r="H414" t="s">
        <v>133</v>
      </c>
      <c r="I414" t="s">
        <v>134</v>
      </c>
      <c r="J414" s="15">
        <v>0</v>
      </c>
      <c r="K414" s="15">
        <v>51068.09</v>
      </c>
      <c r="L414" s="15">
        <f t="shared" si="30"/>
        <v>-51068.09</v>
      </c>
      <c r="M414" t="s">
        <v>209</v>
      </c>
      <c r="N414" t="s">
        <v>1003</v>
      </c>
      <c r="O414" t="s">
        <v>211</v>
      </c>
      <c r="P414" t="s">
        <v>150</v>
      </c>
      <c r="Q414" t="s">
        <v>140</v>
      </c>
      <c r="R414" s="16">
        <v>45866.947916666701</v>
      </c>
      <c r="S414" t="s">
        <v>130</v>
      </c>
      <c r="T414" t="s">
        <v>705</v>
      </c>
      <c r="U414" t="s">
        <v>1003</v>
      </c>
      <c r="V414" t="b">
        <f t="shared" si="31"/>
        <v>0</v>
      </c>
      <c r="W414" t="b">
        <f>AND(OR(WEEKDAY(C414,2)=5,WEEKDAY(C414,2)=6),'01_Parameters'!$C$11="Enabled")</f>
        <v>0</v>
      </c>
      <c r="X414" t="b">
        <f t="shared" si="32"/>
        <v>1</v>
      </c>
      <c r="Y414" t="b">
        <f t="shared" si="33"/>
        <v>0</v>
      </c>
      <c r="Z414" t="b">
        <f t="shared" si="34"/>
        <v>0</v>
      </c>
    </row>
    <row r="415" spans="1:26" ht="15" customHeight="1">
      <c r="A415" t="s">
        <v>1005</v>
      </c>
      <c r="B415" t="s">
        <v>1006</v>
      </c>
      <c r="C415" s="14">
        <v>45984</v>
      </c>
      <c r="D415" s="14">
        <v>45979</v>
      </c>
      <c r="E415">
        <v>2025</v>
      </c>
      <c r="F415">
        <v>11</v>
      </c>
      <c r="G415" t="s">
        <v>193</v>
      </c>
      <c r="H415" t="s">
        <v>194</v>
      </c>
      <c r="I415" t="s">
        <v>124</v>
      </c>
      <c r="J415" s="15">
        <v>54774.16</v>
      </c>
      <c r="K415" s="15">
        <v>0</v>
      </c>
      <c r="L415" s="15">
        <f t="shared" si="30"/>
        <v>54774.16</v>
      </c>
      <c r="M415" t="s">
        <v>195</v>
      </c>
      <c r="N415" t="s">
        <v>1007</v>
      </c>
      <c r="O415" t="s">
        <v>197</v>
      </c>
      <c r="P415" t="s">
        <v>150</v>
      </c>
      <c r="Q415" t="s">
        <v>129</v>
      </c>
      <c r="R415" s="16">
        <v>45984.583333333299</v>
      </c>
      <c r="S415" t="s">
        <v>130</v>
      </c>
      <c r="V415" t="b">
        <f t="shared" si="31"/>
        <v>0</v>
      </c>
      <c r="W415" t="b">
        <f>AND(OR(WEEKDAY(C415,2)=5,WEEKDAY(C415,2)=6),'01_Parameters'!$C$11="Enabled")</f>
        <v>0</v>
      </c>
      <c r="X415" t="b">
        <f t="shared" si="32"/>
        <v>0</v>
      </c>
      <c r="Y415" t="b">
        <f t="shared" si="33"/>
        <v>0</v>
      </c>
      <c r="Z415" t="b">
        <f t="shared" si="34"/>
        <v>0</v>
      </c>
    </row>
    <row r="416" spans="1:26" ht="15" customHeight="1">
      <c r="A416" t="s">
        <v>1005</v>
      </c>
      <c r="B416" t="s">
        <v>1008</v>
      </c>
      <c r="C416" s="14">
        <v>45984</v>
      </c>
      <c r="D416" s="14">
        <v>45979</v>
      </c>
      <c r="E416">
        <v>2025</v>
      </c>
      <c r="F416">
        <v>11</v>
      </c>
      <c r="G416" t="s">
        <v>199</v>
      </c>
      <c r="H416" t="s">
        <v>200</v>
      </c>
      <c r="I416" t="s">
        <v>146</v>
      </c>
      <c r="J416" s="15">
        <v>0</v>
      </c>
      <c r="K416" s="15">
        <v>54774.16</v>
      </c>
      <c r="L416" s="15">
        <f t="shared" si="30"/>
        <v>-54774.16</v>
      </c>
      <c r="M416" t="s">
        <v>195</v>
      </c>
      <c r="N416" t="s">
        <v>1007</v>
      </c>
      <c r="O416" t="s">
        <v>197</v>
      </c>
      <c r="P416" t="s">
        <v>150</v>
      </c>
      <c r="Q416" t="s">
        <v>129</v>
      </c>
      <c r="R416" s="16">
        <v>45984.583333333299</v>
      </c>
      <c r="S416" t="s">
        <v>130</v>
      </c>
      <c r="V416" t="b">
        <f t="shared" si="31"/>
        <v>0</v>
      </c>
      <c r="W416" t="b">
        <f>AND(OR(WEEKDAY(C416,2)=5,WEEKDAY(C416,2)=6),'01_Parameters'!$C$11="Enabled")</f>
        <v>0</v>
      </c>
      <c r="X416" t="b">
        <f t="shared" si="32"/>
        <v>0</v>
      </c>
      <c r="Y416" t="b">
        <f t="shared" si="33"/>
        <v>0</v>
      </c>
      <c r="Z416" t="b">
        <f t="shared" si="34"/>
        <v>0</v>
      </c>
    </row>
    <row r="417" spans="1:26" ht="15" customHeight="1">
      <c r="A417" t="s">
        <v>1009</v>
      </c>
      <c r="B417" t="s">
        <v>1010</v>
      </c>
      <c r="C417" s="14">
        <v>45660</v>
      </c>
      <c r="D417" s="14">
        <v>45656</v>
      </c>
      <c r="E417">
        <v>2025</v>
      </c>
      <c r="F417">
        <v>1</v>
      </c>
      <c r="G417" t="s">
        <v>172</v>
      </c>
      <c r="H417" t="s">
        <v>173</v>
      </c>
      <c r="I417" t="s">
        <v>124</v>
      </c>
      <c r="J417" s="15">
        <v>110096.02</v>
      </c>
      <c r="K417" s="15">
        <v>0</v>
      </c>
      <c r="L417" s="15">
        <f t="shared" si="30"/>
        <v>110096.02</v>
      </c>
      <c r="M417" t="s">
        <v>125</v>
      </c>
      <c r="N417" t="s">
        <v>1011</v>
      </c>
      <c r="O417" t="s">
        <v>127</v>
      </c>
      <c r="P417" t="s">
        <v>128</v>
      </c>
      <c r="Q417" t="s">
        <v>129</v>
      </c>
      <c r="R417" s="16">
        <v>45660.604166666701</v>
      </c>
      <c r="S417" t="s">
        <v>130</v>
      </c>
      <c r="V417" t="b">
        <f t="shared" si="31"/>
        <v>0</v>
      </c>
      <c r="W417" t="b">
        <f>AND(OR(WEEKDAY(C417,2)=5,WEEKDAY(C417,2)=6),'01_Parameters'!$C$11="Enabled")</f>
        <v>1</v>
      </c>
      <c r="X417" t="b">
        <f t="shared" si="32"/>
        <v>0</v>
      </c>
      <c r="Y417" t="b">
        <f t="shared" si="33"/>
        <v>1</v>
      </c>
      <c r="Z417" t="b">
        <f t="shared" si="34"/>
        <v>0</v>
      </c>
    </row>
    <row r="418" spans="1:26" ht="15" customHeight="1">
      <c r="A418" t="s">
        <v>1009</v>
      </c>
      <c r="B418" t="s">
        <v>1012</v>
      </c>
      <c r="C418" s="14">
        <v>45660</v>
      </c>
      <c r="D418" s="14">
        <v>45656</v>
      </c>
      <c r="E418">
        <v>2025</v>
      </c>
      <c r="F418">
        <v>1</v>
      </c>
      <c r="G418" t="s">
        <v>132</v>
      </c>
      <c r="H418" t="s">
        <v>133</v>
      </c>
      <c r="I418" t="s">
        <v>134</v>
      </c>
      <c r="J418" s="15">
        <v>0</v>
      </c>
      <c r="K418" s="15">
        <v>110096.02</v>
      </c>
      <c r="L418" s="15">
        <f t="shared" si="30"/>
        <v>-110096.02</v>
      </c>
      <c r="M418" t="s">
        <v>125</v>
      </c>
      <c r="N418" t="s">
        <v>1011</v>
      </c>
      <c r="O418" t="s">
        <v>127</v>
      </c>
      <c r="P418" t="s">
        <v>128</v>
      </c>
      <c r="Q418" t="s">
        <v>129</v>
      </c>
      <c r="R418" s="16">
        <v>45660.604166666701</v>
      </c>
      <c r="S418" t="s">
        <v>130</v>
      </c>
      <c r="V418" t="b">
        <f t="shared" si="31"/>
        <v>0</v>
      </c>
      <c r="W418" t="b">
        <f>AND(OR(WEEKDAY(C418,2)=5,WEEKDAY(C418,2)=6),'01_Parameters'!$C$11="Enabled")</f>
        <v>1</v>
      </c>
      <c r="X418" t="b">
        <f t="shared" si="32"/>
        <v>0</v>
      </c>
      <c r="Y418" t="b">
        <f t="shared" si="33"/>
        <v>1</v>
      </c>
      <c r="Z418" t="b">
        <f t="shared" si="34"/>
        <v>0</v>
      </c>
    </row>
    <row r="419" spans="1:26" ht="15" customHeight="1">
      <c r="A419" t="s">
        <v>1013</v>
      </c>
      <c r="B419" t="s">
        <v>1014</v>
      </c>
      <c r="C419" s="14">
        <v>45770</v>
      </c>
      <c r="D419" s="14">
        <v>45766</v>
      </c>
      <c r="E419">
        <v>2025</v>
      </c>
      <c r="F419">
        <v>4</v>
      </c>
      <c r="G419" t="s">
        <v>207</v>
      </c>
      <c r="H419" t="s">
        <v>208</v>
      </c>
      <c r="I419" t="s">
        <v>124</v>
      </c>
      <c r="J419" s="15">
        <v>23320.68</v>
      </c>
      <c r="K419" s="15">
        <v>0</v>
      </c>
      <c r="L419" s="15">
        <f t="shared" si="30"/>
        <v>23320.68</v>
      </c>
      <c r="M419" t="s">
        <v>209</v>
      </c>
      <c r="N419" t="s">
        <v>1015</v>
      </c>
      <c r="O419" t="s">
        <v>211</v>
      </c>
      <c r="P419" t="s">
        <v>150</v>
      </c>
      <c r="Q419" t="s">
        <v>128</v>
      </c>
      <c r="R419" s="16">
        <v>45770.46875</v>
      </c>
      <c r="S419" t="s">
        <v>130</v>
      </c>
      <c r="T419" t="s">
        <v>229</v>
      </c>
      <c r="U419" t="s">
        <v>1015</v>
      </c>
      <c r="V419" t="b">
        <f t="shared" si="31"/>
        <v>0</v>
      </c>
      <c r="W419" t="b">
        <f>AND(OR(WEEKDAY(C419,2)=5,WEEKDAY(C419,2)=6),'01_Parameters'!$C$11="Enabled")</f>
        <v>0</v>
      </c>
      <c r="X419" t="b">
        <f t="shared" si="32"/>
        <v>0</v>
      </c>
      <c r="Y419" t="b">
        <f t="shared" si="33"/>
        <v>0</v>
      </c>
      <c r="Z419" t="b">
        <f t="shared" si="34"/>
        <v>0</v>
      </c>
    </row>
    <row r="420" spans="1:26" ht="15" customHeight="1">
      <c r="A420" t="s">
        <v>1013</v>
      </c>
      <c r="B420" t="s">
        <v>1016</v>
      </c>
      <c r="C420" s="14">
        <v>45770</v>
      </c>
      <c r="D420" s="14">
        <v>45766</v>
      </c>
      <c r="E420">
        <v>2025</v>
      </c>
      <c r="F420">
        <v>4</v>
      </c>
      <c r="G420" t="s">
        <v>132</v>
      </c>
      <c r="H420" t="s">
        <v>133</v>
      </c>
      <c r="I420" t="s">
        <v>134</v>
      </c>
      <c r="J420" s="15">
        <v>0</v>
      </c>
      <c r="K420" s="15">
        <v>23320.68</v>
      </c>
      <c r="L420" s="15">
        <f t="shared" si="30"/>
        <v>-23320.68</v>
      </c>
      <c r="M420" t="s">
        <v>209</v>
      </c>
      <c r="N420" t="s">
        <v>1015</v>
      </c>
      <c r="O420" t="s">
        <v>211</v>
      </c>
      <c r="P420" t="s">
        <v>150</v>
      </c>
      <c r="Q420" t="s">
        <v>128</v>
      </c>
      <c r="R420" s="16">
        <v>45770.46875</v>
      </c>
      <c r="S420" t="s">
        <v>130</v>
      </c>
      <c r="T420" t="s">
        <v>229</v>
      </c>
      <c r="U420" t="s">
        <v>1015</v>
      </c>
      <c r="V420" t="b">
        <f t="shared" si="31"/>
        <v>0</v>
      </c>
      <c r="W420" t="b">
        <f>AND(OR(WEEKDAY(C420,2)=5,WEEKDAY(C420,2)=6),'01_Parameters'!$C$11="Enabled")</f>
        <v>0</v>
      </c>
      <c r="X420" t="b">
        <f t="shared" si="32"/>
        <v>0</v>
      </c>
      <c r="Y420" t="b">
        <f t="shared" si="33"/>
        <v>0</v>
      </c>
      <c r="Z420" t="b">
        <f t="shared" si="34"/>
        <v>0</v>
      </c>
    </row>
    <row r="421" spans="1:26" ht="15" customHeight="1">
      <c r="A421" t="s">
        <v>1017</v>
      </c>
      <c r="B421" t="s">
        <v>1018</v>
      </c>
      <c r="C421" s="14">
        <v>45956</v>
      </c>
      <c r="D421" s="14">
        <v>45956</v>
      </c>
      <c r="E421">
        <v>2025</v>
      </c>
      <c r="F421">
        <v>10</v>
      </c>
      <c r="G421" t="s">
        <v>144</v>
      </c>
      <c r="H421" t="s">
        <v>145</v>
      </c>
      <c r="I421" t="s">
        <v>146</v>
      </c>
      <c r="J421" s="15">
        <v>48815.44</v>
      </c>
      <c r="K421" s="15">
        <v>0</v>
      </c>
      <c r="L421" s="15">
        <f t="shared" si="30"/>
        <v>48815.44</v>
      </c>
      <c r="M421" t="s">
        <v>147</v>
      </c>
      <c r="N421" t="s">
        <v>1019</v>
      </c>
      <c r="O421" t="s">
        <v>149</v>
      </c>
      <c r="P421" t="s">
        <v>175</v>
      </c>
      <c r="Q421" t="s">
        <v>140</v>
      </c>
      <c r="R421" s="16">
        <v>45956.510416666701</v>
      </c>
      <c r="S421" t="s">
        <v>130</v>
      </c>
      <c r="V421" t="b">
        <f t="shared" si="31"/>
        <v>0</v>
      </c>
      <c r="W421" t="b">
        <f>AND(OR(WEEKDAY(C421,2)=5,WEEKDAY(C421,2)=6),'01_Parameters'!$C$11="Enabled")</f>
        <v>0</v>
      </c>
      <c r="X421" t="b">
        <f t="shared" si="32"/>
        <v>0</v>
      </c>
      <c r="Y421" t="b">
        <f t="shared" si="33"/>
        <v>0</v>
      </c>
      <c r="Z421" t="b">
        <f t="shared" si="34"/>
        <v>0</v>
      </c>
    </row>
    <row r="422" spans="1:26" ht="15" customHeight="1">
      <c r="A422" t="s">
        <v>1017</v>
      </c>
      <c r="B422" t="s">
        <v>1020</v>
      </c>
      <c r="C422" s="14">
        <v>45956</v>
      </c>
      <c r="D422" s="14">
        <v>45956</v>
      </c>
      <c r="E422">
        <v>2025</v>
      </c>
      <c r="F422">
        <v>10</v>
      </c>
      <c r="G422" t="s">
        <v>153</v>
      </c>
      <c r="H422" t="s">
        <v>154</v>
      </c>
      <c r="I422" t="s">
        <v>155</v>
      </c>
      <c r="J422" s="15">
        <v>0</v>
      </c>
      <c r="K422" s="15">
        <v>48815.44</v>
      </c>
      <c r="L422" s="15">
        <f t="shared" si="30"/>
        <v>-48815.44</v>
      </c>
      <c r="M422" t="s">
        <v>147</v>
      </c>
      <c r="N422" t="s">
        <v>1019</v>
      </c>
      <c r="O422" t="s">
        <v>149</v>
      </c>
      <c r="P422" t="s">
        <v>175</v>
      </c>
      <c r="Q422" t="s">
        <v>140</v>
      </c>
      <c r="R422" s="16">
        <v>45956.510416666701</v>
      </c>
      <c r="S422" t="s">
        <v>130</v>
      </c>
      <c r="V422" t="b">
        <f t="shared" si="31"/>
        <v>0</v>
      </c>
      <c r="W422" t="b">
        <f>AND(OR(WEEKDAY(C422,2)=5,WEEKDAY(C422,2)=6),'01_Parameters'!$C$11="Enabled")</f>
        <v>0</v>
      </c>
      <c r="X422" t="b">
        <f t="shared" si="32"/>
        <v>0</v>
      </c>
      <c r="Y422" t="b">
        <f t="shared" si="33"/>
        <v>0</v>
      </c>
      <c r="Z422" t="b">
        <f t="shared" si="34"/>
        <v>0</v>
      </c>
    </row>
    <row r="423" spans="1:26" ht="15" customHeight="1">
      <c r="A423" t="s">
        <v>1021</v>
      </c>
      <c r="B423" t="s">
        <v>1022</v>
      </c>
      <c r="C423" s="14">
        <v>46017</v>
      </c>
      <c r="D423" s="14">
        <v>46012</v>
      </c>
      <c r="E423">
        <v>2025</v>
      </c>
      <c r="F423">
        <v>12</v>
      </c>
      <c r="G423" t="s">
        <v>144</v>
      </c>
      <c r="H423" t="s">
        <v>145</v>
      </c>
      <c r="I423" t="s">
        <v>146</v>
      </c>
      <c r="J423" s="15">
        <v>57985.31</v>
      </c>
      <c r="K423" s="15">
        <v>0</v>
      </c>
      <c r="L423" s="15">
        <f t="shared" si="30"/>
        <v>57985.31</v>
      </c>
      <c r="M423" t="s">
        <v>147</v>
      </c>
      <c r="N423" t="s">
        <v>1023</v>
      </c>
      <c r="O423" t="s">
        <v>149</v>
      </c>
      <c r="P423" t="s">
        <v>151</v>
      </c>
      <c r="Q423" t="s">
        <v>140</v>
      </c>
      <c r="R423" s="16">
        <v>46017.625</v>
      </c>
      <c r="S423" t="s">
        <v>130</v>
      </c>
      <c r="V423" t="b">
        <f t="shared" si="31"/>
        <v>1</v>
      </c>
      <c r="W423" t="b">
        <f>AND(OR(WEEKDAY(C423,2)=5,WEEKDAY(C423,2)=6),'01_Parameters'!$C$11="Enabled")</f>
        <v>1</v>
      </c>
      <c r="X423" t="b">
        <f t="shared" si="32"/>
        <v>0</v>
      </c>
      <c r="Y423" t="b">
        <f t="shared" si="33"/>
        <v>0</v>
      </c>
      <c r="Z423" t="b">
        <f t="shared" si="34"/>
        <v>0</v>
      </c>
    </row>
    <row r="424" spans="1:26" ht="15" customHeight="1">
      <c r="A424" t="s">
        <v>1021</v>
      </c>
      <c r="B424" t="s">
        <v>1024</v>
      </c>
      <c r="C424" s="14">
        <v>46017</v>
      </c>
      <c r="D424" s="14">
        <v>46012</v>
      </c>
      <c r="E424">
        <v>2025</v>
      </c>
      <c r="F424">
        <v>12</v>
      </c>
      <c r="G424" t="s">
        <v>153</v>
      </c>
      <c r="H424" t="s">
        <v>154</v>
      </c>
      <c r="I424" t="s">
        <v>155</v>
      </c>
      <c r="J424" s="15">
        <v>0</v>
      </c>
      <c r="K424" s="15">
        <v>57985.31</v>
      </c>
      <c r="L424" s="15">
        <f t="shared" si="30"/>
        <v>-57985.31</v>
      </c>
      <c r="M424" t="s">
        <v>147</v>
      </c>
      <c r="N424" t="s">
        <v>1023</v>
      </c>
      <c r="O424" t="s">
        <v>149</v>
      </c>
      <c r="P424" t="s">
        <v>151</v>
      </c>
      <c r="Q424" t="s">
        <v>140</v>
      </c>
      <c r="R424" s="16">
        <v>46017.625</v>
      </c>
      <c r="S424" t="s">
        <v>130</v>
      </c>
      <c r="V424" t="b">
        <f t="shared" si="31"/>
        <v>1</v>
      </c>
      <c r="W424" t="b">
        <f>AND(OR(WEEKDAY(C424,2)=5,WEEKDAY(C424,2)=6),'01_Parameters'!$C$11="Enabled")</f>
        <v>1</v>
      </c>
      <c r="X424" t="b">
        <f t="shared" si="32"/>
        <v>0</v>
      </c>
      <c r="Y424" t="b">
        <f t="shared" si="33"/>
        <v>0</v>
      </c>
      <c r="Z424" t="b">
        <f t="shared" si="34"/>
        <v>0</v>
      </c>
    </row>
    <row r="425" spans="1:26" ht="15" customHeight="1">
      <c r="A425" t="s">
        <v>1025</v>
      </c>
      <c r="B425" t="s">
        <v>1026</v>
      </c>
      <c r="C425" s="14">
        <v>46000</v>
      </c>
      <c r="D425" s="14">
        <v>45996</v>
      </c>
      <c r="E425">
        <v>2025</v>
      </c>
      <c r="F425">
        <v>12</v>
      </c>
      <c r="G425" t="s">
        <v>207</v>
      </c>
      <c r="H425" t="s">
        <v>208</v>
      </c>
      <c r="I425" t="s">
        <v>124</v>
      </c>
      <c r="J425" s="15">
        <v>63966.27</v>
      </c>
      <c r="K425" s="15">
        <v>0</v>
      </c>
      <c r="L425" s="15">
        <f t="shared" si="30"/>
        <v>63966.27</v>
      </c>
      <c r="M425" t="s">
        <v>209</v>
      </c>
      <c r="N425" t="s">
        <v>1027</v>
      </c>
      <c r="O425" t="s">
        <v>211</v>
      </c>
      <c r="P425" t="s">
        <v>150</v>
      </c>
      <c r="Q425" t="s">
        <v>151</v>
      </c>
      <c r="R425" s="16">
        <v>46000.354166666701</v>
      </c>
      <c r="S425" t="s">
        <v>130</v>
      </c>
      <c r="T425" t="s">
        <v>887</v>
      </c>
      <c r="U425" t="s">
        <v>1027</v>
      </c>
      <c r="V425" t="b">
        <f t="shared" si="31"/>
        <v>0</v>
      </c>
      <c r="W425" t="b">
        <f>AND(OR(WEEKDAY(C425,2)=5,WEEKDAY(C425,2)=6),'01_Parameters'!$C$11="Enabled")</f>
        <v>0</v>
      </c>
      <c r="X425" t="b">
        <f t="shared" si="32"/>
        <v>0</v>
      </c>
      <c r="Y425" t="b">
        <f t="shared" si="33"/>
        <v>0</v>
      </c>
      <c r="Z425" t="b">
        <f t="shared" si="34"/>
        <v>0</v>
      </c>
    </row>
    <row r="426" spans="1:26" ht="15" customHeight="1">
      <c r="A426" t="s">
        <v>1025</v>
      </c>
      <c r="B426" t="s">
        <v>1028</v>
      </c>
      <c r="C426" s="14">
        <v>46000</v>
      </c>
      <c r="D426" s="14">
        <v>45996</v>
      </c>
      <c r="E426">
        <v>2025</v>
      </c>
      <c r="F426">
        <v>12</v>
      </c>
      <c r="G426" t="s">
        <v>132</v>
      </c>
      <c r="H426" t="s">
        <v>133</v>
      </c>
      <c r="I426" t="s">
        <v>134</v>
      </c>
      <c r="J426" s="15">
        <v>0</v>
      </c>
      <c r="K426" s="15">
        <v>63966.27</v>
      </c>
      <c r="L426" s="15">
        <f t="shared" si="30"/>
        <v>-63966.27</v>
      </c>
      <c r="M426" t="s">
        <v>209</v>
      </c>
      <c r="N426" t="s">
        <v>1027</v>
      </c>
      <c r="O426" t="s">
        <v>211</v>
      </c>
      <c r="P426" t="s">
        <v>150</v>
      </c>
      <c r="Q426" t="s">
        <v>151</v>
      </c>
      <c r="R426" s="16">
        <v>46000.354166666701</v>
      </c>
      <c r="S426" t="s">
        <v>130</v>
      </c>
      <c r="T426" t="s">
        <v>887</v>
      </c>
      <c r="U426" t="s">
        <v>1027</v>
      </c>
      <c r="V426" t="b">
        <f t="shared" si="31"/>
        <v>0</v>
      </c>
      <c r="W426" t="b">
        <f>AND(OR(WEEKDAY(C426,2)=5,WEEKDAY(C426,2)=6),'01_Parameters'!$C$11="Enabled")</f>
        <v>0</v>
      </c>
      <c r="X426" t="b">
        <f t="shared" si="32"/>
        <v>0</v>
      </c>
      <c r="Y426" t="b">
        <f t="shared" si="33"/>
        <v>0</v>
      </c>
      <c r="Z426" t="b">
        <f t="shared" si="34"/>
        <v>0</v>
      </c>
    </row>
    <row r="427" spans="1:26" ht="15" customHeight="1">
      <c r="A427" t="s">
        <v>1029</v>
      </c>
      <c r="B427" t="s">
        <v>1030</v>
      </c>
      <c r="C427" s="14">
        <v>45797</v>
      </c>
      <c r="D427" s="14">
        <v>45792</v>
      </c>
      <c r="E427">
        <v>2025</v>
      </c>
      <c r="F427">
        <v>5</v>
      </c>
      <c r="G427" t="s">
        <v>144</v>
      </c>
      <c r="H427" t="s">
        <v>145</v>
      </c>
      <c r="I427" t="s">
        <v>146</v>
      </c>
      <c r="J427" s="15">
        <v>24886.81</v>
      </c>
      <c r="K427" s="15">
        <v>0</v>
      </c>
      <c r="L427" s="15">
        <f t="shared" si="30"/>
        <v>24886.81</v>
      </c>
      <c r="M427" t="s">
        <v>147</v>
      </c>
      <c r="N427" t="s">
        <v>1031</v>
      </c>
      <c r="O427" t="s">
        <v>149</v>
      </c>
      <c r="P427" t="s">
        <v>150</v>
      </c>
      <c r="Q427" t="s">
        <v>140</v>
      </c>
      <c r="R427" s="16">
        <v>45797.385416666701</v>
      </c>
      <c r="S427" t="s">
        <v>130</v>
      </c>
      <c r="V427" t="b">
        <f t="shared" si="31"/>
        <v>0</v>
      </c>
      <c r="W427" t="b">
        <f>AND(OR(WEEKDAY(C427,2)=5,WEEKDAY(C427,2)=6),'01_Parameters'!$C$11="Enabled")</f>
        <v>0</v>
      </c>
      <c r="X427" t="b">
        <f t="shared" si="32"/>
        <v>0</v>
      </c>
      <c r="Y427" t="b">
        <f t="shared" si="33"/>
        <v>0</v>
      </c>
      <c r="Z427" t="b">
        <f t="shared" si="34"/>
        <v>0</v>
      </c>
    </row>
    <row r="428" spans="1:26" ht="15" customHeight="1">
      <c r="A428" t="s">
        <v>1029</v>
      </c>
      <c r="B428" t="s">
        <v>1032</v>
      </c>
      <c r="C428" s="14">
        <v>45797</v>
      </c>
      <c r="D428" s="14">
        <v>45792</v>
      </c>
      <c r="E428">
        <v>2025</v>
      </c>
      <c r="F428">
        <v>5</v>
      </c>
      <c r="G428" t="s">
        <v>153</v>
      </c>
      <c r="H428" t="s">
        <v>154</v>
      </c>
      <c r="I428" t="s">
        <v>155</v>
      </c>
      <c r="J428" s="15">
        <v>0</v>
      </c>
      <c r="K428" s="15">
        <v>24886.81</v>
      </c>
      <c r="L428" s="15">
        <f t="shared" si="30"/>
        <v>-24886.81</v>
      </c>
      <c r="M428" t="s">
        <v>147</v>
      </c>
      <c r="N428" t="s">
        <v>1031</v>
      </c>
      <c r="O428" t="s">
        <v>149</v>
      </c>
      <c r="P428" t="s">
        <v>150</v>
      </c>
      <c r="Q428" t="s">
        <v>140</v>
      </c>
      <c r="R428" s="16">
        <v>45797.385416666701</v>
      </c>
      <c r="S428" t="s">
        <v>130</v>
      </c>
      <c r="V428" t="b">
        <f t="shared" si="31"/>
        <v>0</v>
      </c>
      <c r="W428" t="b">
        <f>AND(OR(WEEKDAY(C428,2)=5,WEEKDAY(C428,2)=6),'01_Parameters'!$C$11="Enabled")</f>
        <v>0</v>
      </c>
      <c r="X428" t="b">
        <f t="shared" si="32"/>
        <v>0</v>
      </c>
      <c r="Y428" t="b">
        <f t="shared" si="33"/>
        <v>0</v>
      </c>
      <c r="Z428" t="b">
        <f t="shared" si="34"/>
        <v>0</v>
      </c>
    </row>
    <row r="429" spans="1:26" ht="15" customHeight="1">
      <c r="A429" t="s">
        <v>1033</v>
      </c>
      <c r="B429" t="s">
        <v>1034</v>
      </c>
      <c r="C429" s="14">
        <v>45691</v>
      </c>
      <c r="D429" s="14">
        <v>45688</v>
      </c>
      <c r="E429">
        <v>2025</v>
      </c>
      <c r="F429">
        <v>2</v>
      </c>
      <c r="G429" t="s">
        <v>137</v>
      </c>
      <c r="H429" t="s">
        <v>138</v>
      </c>
      <c r="I429" t="s">
        <v>124</v>
      </c>
      <c r="J429" s="15">
        <v>163161.20000000001</v>
      </c>
      <c r="K429" s="15">
        <v>0</v>
      </c>
      <c r="L429" s="15">
        <f t="shared" si="30"/>
        <v>163161.20000000001</v>
      </c>
      <c r="M429" t="s">
        <v>125</v>
      </c>
      <c r="N429" t="s">
        <v>1035</v>
      </c>
      <c r="O429" t="s">
        <v>127</v>
      </c>
      <c r="P429" t="s">
        <v>129</v>
      </c>
      <c r="Q429" t="s">
        <v>128</v>
      </c>
      <c r="R429" s="16">
        <v>45691.552083333299</v>
      </c>
      <c r="S429" t="s">
        <v>130</v>
      </c>
      <c r="V429" t="b">
        <f t="shared" si="31"/>
        <v>0</v>
      </c>
      <c r="W429" t="b">
        <f>AND(OR(WEEKDAY(C429,2)=5,WEEKDAY(C429,2)=6),'01_Parameters'!$C$11="Enabled")</f>
        <v>0</v>
      </c>
      <c r="X429" t="b">
        <f t="shared" si="32"/>
        <v>0</v>
      </c>
      <c r="Y429" t="b">
        <f t="shared" si="33"/>
        <v>1</v>
      </c>
      <c r="Z429" t="b">
        <f t="shared" si="34"/>
        <v>0</v>
      </c>
    </row>
    <row r="430" spans="1:26" ht="15" customHeight="1">
      <c r="A430" t="s">
        <v>1033</v>
      </c>
      <c r="B430" t="s">
        <v>1036</v>
      </c>
      <c r="C430" s="14">
        <v>45691</v>
      </c>
      <c r="D430" s="14">
        <v>45688</v>
      </c>
      <c r="E430">
        <v>2025</v>
      </c>
      <c r="F430">
        <v>2</v>
      </c>
      <c r="G430" t="s">
        <v>132</v>
      </c>
      <c r="H430" t="s">
        <v>133</v>
      </c>
      <c r="I430" t="s">
        <v>134</v>
      </c>
      <c r="J430" s="15">
        <v>0</v>
      </c>
      <c r="K430" s="15">
        <v>163161.20000000001</v>
      </c>
      <c r="L430" s="15">
        <f t="shared" si="30"/>
        <v>-163161.20000000001</v>
      </c>
      <c r="M430" t="s">
        <v>125</v>
      </c>
      <c r="N430" t="s">
        <v>1035</v>
      </c>
      <c r="O430" t="s">
        <v>127</v>
      </c>
      <c r="P430" t="s">
        <v>129</v>
      </c>
      <c r="Q430" t="s">
        <v>128</v>
      </c>
      <c r="R430" s="16">
        <v>45691.552083333299</v>
      </c>
      <c r="S430" t="s">
        <v>130</v>
      </c>
      <c r="V430" t="b">
        <f t="shared" si="31"/>
        <v>0</v>
      </c>
      <c r="W430" t="b">
        <f>AND(OR(WEEKDAY(C430,2)=5,WEEKDAY(C430,2)=6),'01_Parameters'!$C$11="Enabled")</f>
        <v>0</v>
      </c>
      <c r="X430" t="b">
        <f t="shared" si="32"/>
        <v>0</v>
      </c>
      <c r="Y430" t="b">
        <f t="shared" si="33"/>
        <v>1</v>
      </c>
      <c r="Z430" t="b">
        <f t="shared" si="34"/>
        <v>0</v>
      </c>
    </row>
    <row r="431" spans="1:26" ht="15" customHeight="1">
      <c r="A431" t="s">
        <v>1037</v>
      </c>
      <c r="B431" t="s">
        <v>1038</v>
      </c>
      <c r="C431" s="14">
        <v>45721</v>
      </c>
      <c r="D431" s="14">
        <v>45716</v>
      </c>
      <c r="E431">
        <v>2025</v>
      </c>
      <c r="F431">
        <v>3</v>
      </c>
      <c r="G431" t="s">
        <v>158</v>
      </c>
      <c r="H431" t="s">
        <v>159</v>
      </c>
      <c r="I431" t="s">
        <v>124</v>
      </c>
      <c r="J431" s="15">
        <v>37145.89</v>
      </c>
      <c r="K431" s="15">
        <v>0</v>
      </c>
      <c r="L431" s="15">
        <f t="shared" si="30"/>
        <v>37145.89</v>
      </c>
      <c r="M431" t="s">
        <v>160</v>
      </c>
      <c r="N431" t="s">
        <v>1039</v>
      </c>
      <c r="O431" t="s">
        <v>162</v>
      </c>
      <c r="P431" t="s">
        <v>151</v>
      </c>
      <c r="Q431" t="s">
        <v>140</v>
      </c>
      <c r="R431" s="16">
        <v>45721.760416666701</v>
      </c>
      <c r="S431" t="s">
        <v>130</v>
      </c>
      <c r="V431" t="b">
        <f t="shared" si="31"/>
        <v>0</v>
      </c>
      <c r="W431" t="b">
        <f>AND(OR(WEEKDAY(C431,2)=5,WEEKDAY(C431,2)=6),'01_Parameters'!$C$11="Enabled")</f>
        <v>0</v>
      </c>
      <c r="X431" t="b">
        <f t="shared" si="32"/>
        <v>1</v>
      </c>
      <c r="Y431" t="b">
        <f t="shared" si="33"/>
        <v>0</v>
      </c>
      <c r="Z431" t="b">
        <f t="shared" si="34"/>
        <v>0</v>
      </c>
    </row>
    <row r="432" spans="1:26" ht="15" customHeight="1">
      <c r="A432" t="s">
        <v>1037</v>
      </c>
      <c r="B432" t="s">
        <v>1040</v>
      </c>
      <c r="C432" s="14">
        <v>45721</v>
      </c>
      <c r="D432" s="14">
        <v>45716</v>
      </c>
      <c r="E432">
        <v>2025</v>
      </c>
      <c r="F432">
        <v>3</v>
      </c>
      <c r="G432" t="s">
        <v>164</v>
      </c>
      <c r="H432" t="s">
        <v>165</v>
      </c>
      <c r="I432" t="s">
        <v>146</v>
      </c>
      <c r="J432" s="15">
        <v>0</v>
      </c>
      <c r="K432" s="15">
        <v>37145.89</v>
      </c>
      <c r="L432" s="15">
        <f t="shared" si="30"/>
        <v>-37145.89</v>
      </c>
      <c r="M432" t="s">
        <v>160</v>
      </c>
      <c r="N432" t="s">
        <v>1039</v>
      </c>
      <c r="O432" t="s">
        <v>162</v>
      </c>
      <c r="P432" t="s">
        <v>151</v>
      </c>
      <c r="Q432" t="s">
        <v>140</v>
      </c>
      <c r="R432" s="16">
        <v>45721.760416666701</v>
      </c>
      <c r="S432" t="s">
        <v>130</v>
      </c>
      <c r="V432" t="b">
        <f t="shared" si="31"/>
        <v>0</v>
      </c>
      <c r="W432" t="b">
        <f>AND(OR(WEEKDAY(C432,2)=5,WEEKDAY(C432,2)=6),'01_Parameters'!$C$11="Enabled")</f>
        <v>0</v>
      </c>
      <c r="X432" t="b">
        <f t="shared" si="32"/>
        <v>1</v>
      </c>
      <c r="Y432" t="b">
        <f t="shared" si="33"/>
        <v>0</v>
      </c>
      <c r="Z432" t="b">
        <f t="shared" si="34"/>
        <v>0</v>
      </c>
    </row>
    <row r="433" spans="1:26" ht="15" customHeight="1">
      <c r="A433" t="s">
        <v>1041</v>
      </c>
      <c r="B433" t="s">
        <v>1042</v>
      </c>
      <c r="C433" s="14">
        <v>45761</v>
      </c>
      <c r="D433" s="14">
        <v>45761</v>
      </c>
      <c r="E433">
        <v>2025</v>
      </c>
      <c r="F433">
        <v>4</v>
      </c>
      <c r="G433" t="s">
        <v>179</v>
      </c>
      <c r="H433" t="s">
        <v>180</v>
      </c>
      <c r="I433" t="s">
        <v>124</v>
      </c>
      <c r="J433" s="15">
        <v>33628.800000000003</v>
      </c>
      <c r="K433" s="15">
        <v>0</v>
      </c>
      <c r="L433" s="15">
        <f t="shared" si="30"/>
        <v>33628.800000000003</v>
      </c>
      <c r="M433" t="s">
        <v>181</v>
      </c>
      <c r="N433" t="s">
        <v>1043</v>
      </c>
      <c r="O433" t="s">
        <v>183</v>
      </c>
      <c r="P433" t="s">
        <v>175</v>
      </c>
      <c r="Q433" t="s">
        <v>140</v>
      </c>
      <c r="R433" s="16">
        <v>45761.385416666701</v>
      </c>
      <c r="S433" t="s">
        <v>130</v>
      </c>
      <c r="V433" t="b">
        <f t="shared" si="31"/>
        <v>0</v>
      </c>
      <c r="W433" t="b">
        <f>AND(OR(WEEKDAY(C433,2)=5,WEEKDAY(C433,2)=6),'01_Parameters'!$C$11="Enabled")</f>
        <v>0</v>
      </c>
      <c r="X433" t="b">
        <f t="shared" si="32"/>
        <v>0</v>
      </c>
      <c r="Y433" t="b">
        <f t="shared" si="33"/>
        <v>0</v>
      </c>
      <c r="Z433" t="b">
        <f t="shared" si="34"/>
        <v>0</v>
      </c>
    </row>
    <row r="434" spans="1:26" ht="15" customHeight="1">
      <c r="A434" t="s">
        <v>1041</v>
      </c>
      <c r="B434" t="s">
        <v>1044</v>
      </c>
      <c r="C434" s="14">
        <v>45761</v>
      </c>
      <c r="D434" s="14">
        <v>45761</v>
      </c>
      <c r="E434">
        <v>2025</v>
      </c>
      <c r="F434">
        <v>4</v>
      </c>
      <c r="G434" t="s">
        <v>185</v>
      </c>
      <c r="H434" t="s">
        <v>186</v>
      </c>
      <c r="I434" t="s">
        <v>134</v>
      </c>
      <c r="J434" s="15">
        <v>0</v>
      </c>
      <c r="K434" s="15">
        <v>33628.800000000003</v>
      </c>
      <c r="L434" s="15">
        <f t="shared" si="30"/>
        <v>-33628.800000000003</v>
      </c>
      <c r="M434" t="s">
        <v>181</v>
      </c>
      <c r="N434" t="s">
        <v>1043</v>
      </c>
      <c r="O434" t="s">
        <v>183</v>
      </c>
      <c r="P434" t="s">
        <v>175</v>
      </c>
      <c r="Q434" t="s">
        <v>140</v>
      </c>
      <c r="R434" s="16">
        <v>45761.385416666701</v>
      </c>
      <c r="S434" t="s">
        <v>130</v>
      </c>
      <c r="V434" t="b">
        <f t="shared" si="31"/>
        <v>0</v>
      </c>
      <c r="W434" t="b">
        <f>AND(OR(WEEKDAY(C434,2)=5,WEEKDAY(C434,2)=6),'01_Parameters'!$C$11="Enabled")</f>
        <v>0</v>
      </c>
      <c r="X434" t="b">
        <f t="shared" si="32"/>
        <v>0</v>
      </c>
      <c r="Y434" t="b">
        <f t="shared" si="33"/>
        <v>0</v>
      </c>
      <c r="Z434" t="b">
        <f t="shared" si="34"/>
        <v>0</v>
      </c>
    </row>
    <row r="435" spans="1:26" ht="15" customHeight="1">
      <c r="A435" t="s">
        <v>1045</v>
      </c>
      <c r="B435" t="s">
        <v>1046</v>
      </c>
      <c r="C435" s="14">
        <v>45831</v>
      </c>
      <c r="D435" s="14">
        <v>45829</v>
      </c>
      <c r="E435">
        <v>2025</v>
      </c>
      <c r="F435">
        <v>6</v>
      </c>
      <c r="G435" t="s">
        <v>158</v>
      </c>
      <c r="H435" t="s">
        <v>159</v>
      </c>
      <c r="I435" t="s">
        <v>124</v>
      </c>
      <c r="J435" s="15">
        <v>77636.42</v>
      </c>
      <c r="K435" s="15">
        <v>0</v>
      </c>
      <c r="L435" s="15">
        <f t="shared" si="30"/>
        <v>77636.42</v>
      </c>
      <c r="M435" t="s">
        <v>160</v>
      </c>
      <c r="N435" t="s">
        <v>1047</v>
      </c>
      <c r="O435" t="s">
        <v>162</v>
      </c>
      <c r="P435" t="s">
        <v>129</v>
      </c>
      <c r="Q435" t="s">
        <v>175</v>
      </c>
      <c r="R435" s="16">
        <v>45831.322916666701</v>
      </c>
      <c r="S435" t="s">
        <v>130</v>
      </c>
      <c r="V435" t="b">
        <f t="shared" si="31"/>
        <v>0</v>
      </c>
      <c r="W435" t="b">
        <f>AND(OR(WEEKDAY(C435,2)=5,WEEKDAY(C435,2)=6),'01_Parameters'!$C$11="Enabled")</f>
        <v>0</v>
      </c>
      <c r="X435" t="b">
        <f t="shared" si="32"/>
        <v>1</v>
      </c>
      <c r="Y435" t="b">
        <f t="shared" si="33"/>
        <v>0</v>
      </c>
      <c r="Z435" t="b">
        <f t="shared" si="34"/>
        <v>0</v>
      </c>
    </row>
    <row r="436" spans="1:26" ht="15" customHeight="1">
      <c r="A436" t="s">
        <v>1045</v>
      </c>
      <c r="B436" t="s">
        <v>1048</v>
      </c>
      <c r="C436" s="14">
        <v>45831</v>
      </c>
      <c r="D436" s="14">
        <v>45829</v>
      </c>
      <c r="E436">
        <v>2025</v>
      </c>
      <c r="F436">
        <v>6</v>
      </c>
      <c r="G436" t="s">
        <v>164</v>
      </c>
      <c r="H436" t="s">
        <v>165</v>
      </c>
      <c r="I436" t="s">
        <v>146</v>
      </c>
      <c r="J436" s="15">
        <v>0</v>
      </c>
      <c r="K436" s="15">
        <v>77636.42</v>
      </c>
      <c r="L436" s="15">
        <f t="shared" si="30"/>
        <v>-77636.42</v>
      </c>
      <c r="M436" t="s">
        <v>160</v>
      </c>
      <c r="N436" t="s">
        <v>1047</v>
      </c>
      <c r="O436" t="s">
        <v>162</v>
      </c>
      <c r="P436" t="s">
        <v>129</v>
      </c>
      <c r="Q436" t="s">
        <v>175</v>
      </c>
      <c r="R436" s="16">
        <v>45831.322916666701</v>
      </c>
      <c r="S436" t="s">
        <v>130</v>
      </c>
      <c r="V436" t="b">
        <f t="shared" si="31"/>
        <v>0</v>
      </c>
      <c r="W436" t="b">
        <f>AND(OR(WEEKDAY(C436,2)=5,WEEKDAY(C436,2)=6),'01_Parameters'!$C$11="Enabled")</f>
        <v>0</v>
      </c>
      <c r="X436" t="b">
        <f t="shared" si="32"/>
        <v>1</v>
      </c>
      <c r="Y436" t="b">
        <f t="shared" si="33"/>
        <v>0</v>
      </c>
      <c r="Z436" t="b">
        <f t="shared" si="34"/>
        <v>0</v>
      </c>
    </row>
    <row r="437" spans="1:26" ht="15" customHeight="1">
      <c r="A437" t="s">
        <v>1049</v>
      </c>
      <c r="B437" t="s">
        <v>1050</v>
      </c>
      <c r="C437" s="14">
        <v>45934</v>
      </c>
      <c r="D437" s="14">
        <v>45933</v>
      </c>
      <c r="E437">
        <v>2025</v>
      </c>
      <c r="F437">
        <v>10</v>
      </c>
      <c r="G437" t="s">
        <v>158</v>
      </c>
      <c r="H437" t="s">
        <v>159</v>
      </c>
      <c r="I437" t="s">
        <v>124</v>
      </c>
      <c r="J437" s="15">
        <v>75534.240000000005</v>
      </c>
      <c r="K437" s="15">
        <v>0</v>
      </c>
      <c r="L437" s="15">
        <f t="shared" si="30"/>
        <v>75534.240000000005</v>
      </c>
      <c r="M437" t="s">
        <v>160</v>
      </c>
      <c r="N437" t="s">
        <v>1051</v>
      </c>
      <c r="O437" t="s">
        <v>162</v>
      </c>
      <c r="P437" t="s">
        <v>175</v>
      </c>
      <c r="Q437" t="s">
        <v>128</v>
      </c>
      <c r="R437" s="16">
        <v>45934.4375</v>
      </c>
      <c r="S437" t="s">
        <v>130</v>
      </c>
      <c r="V437" t="b">
        <f t="shared" si="31"/>
        <v>0</v>
      </c>
      <c r="W437" t="b">
        <f>AND(OR(WEEKDAY(C437,2)=5,WEEKDAY(C437,2)=6),'01_Parameters'!$C$11="Enabled")</f>
        <v>1</v>
      </c>
      <c r="X437" t="b">
        <f t="shared" si="32"/>
        <v>0</v>
      </c>
      <c r="Y437" t="b">
        <f t="shared" si="33"/>
        <v>0</v>
      </c>
      <c r="Z437" t="b">
        <f t="shared" si="34"/>
        <v>0</v>
      </c>
    </row>
    <row r="438" spans="1:26" ht="15" customHeight="1">
      <c r="A438" t="s">
        <v>1049</v>
      </c>
      <c r="B438" t="s">
        <v>1052</v>
      </c>
      <c r="C438" s="14">
        <v>45934</v>
      </c>
      <c r="D438" s="14">
        <v>45933</v>
      </c>
      <c r="E438">
        <v>2025</v>
      </c>
      <c r="F438">
        <v>10</v>
      </c>
      <c r="G438" t="s">
        <v>164</v>
      </c>
      <c r="H438" t="s">
        <v>165</v>
      </c>
      <c r="I438" t="s">
        <v>146</v>
      </c>
      <c r="J438" s="15">
        <v>0</v>
      </c>
      <c r="K438" s="15">
        <v>75534.240000000005</v>
      </c>
      <c r="L438" s="15">
        <f t="shared" si="30"/>
        <v>-75534.240000000005</v>
      </c>
      <c r="M438" t="s">
        <v>160</v>
      </c>
      <c r="N438" t="s">
        <v>1051</v>
      </c>
      <c r="O438" t="s">
        <v>162</v>
      </c>
      <c r="P438" t="s">
        <v>175</v>
      </c>
      <c r="Q438" t="s">
        <v>128</v>
      </c>
      <c r="R438" s="16">
        <v>45934.4375</v>
      </c>
      <c r="S438" t="s">
        <v>130</v>
      </c>
      <c r="V438" t="b">
        <f t="shared" si="31"/>
        <v>0</v>
      </c>
      <c r="W438" t="b">
        <f>AND(OR(WEEKDAY(C438,2)=5,WEEKDAY(C438,2)=6),'01_Parameters'!$C$11="Enabled")</f>
        <v>1</v>
      </c>
      <c r="X438" t="b">
        <f t="shared" si="32"/>
        <v>0</v>
      </c>
      <c r="Y438" t="b">
        <f t="shared" si="33"/>
        <v>0</v>
      </c>
      <c r="Z438" t="b">
        <f t="shared" si="34"/>
        <v>0</v>
      </c>
    </row>
    <row r="439" spans="1:26" ht="15" customHeight="1">
      <c r="A439" t="s">
        <v>1053</v>
      </c>
      <c r="B439" t="s">
        <v>1054</v>
      </c>
      <c r="C439" s="14">
        <v>45671</v>
      </c>
      <c r="D439" s="14">
        <v>45666</v>
      </c>
      <c r="E439">
        <v>2025</v>
      </c>
      <c r="F439">
        <v>1</v>
      </c>
      <c r="G439" t="s">
        <v>179</v>
      </c>
      <c r="H439" t="s">
        <v>180</v>
      </c>
      <c r="I439" t="s">
        <v>124</v>
      </c>
      <c r="J439" s="15">
        <v>20208.34</v>
      </c>
      <c r="K439" s="15">
        <v>0</v>
      </c>
      <c r="L439" s="15">
        <f t="shared" si="30"/>
        <v>20208.34</v>
      </c>
      <c r="M439" t="s">
        <v>181</v>
      </c>
      <c r="N439" t="s">
        <v>1055</v>
      </c>
      <c r="O439" t="s">
        <v>183</v>
      </c>
      <c r="P439" t="s">
        <v>150</v>
      </c>
      <c r="Q439" t="s">
        <v>128</v>
      </c>
      <c r="R439" s="16">
        <v>45671.53125</v>
      </c>
      <c r="S439" t="s">
        <v>130</v>
      </c>
      <c r="V439" t="b">
        <f t="shared" si="31"/>
        <v>0</v>
      </c>
      <c r="W439" t="b">
        <f>AND(OR(WEEKDAY(C439,2)=5,WEEKDAY(C439,2)=6),'01_Parameters'!$C$11="Enabled")</f>
        <v>0</v>
      </c>
      <c r="X439" t="b">
        <f t="shared" si="32"/>
        <v>0</v>
      </c>
      <c r="Y439" t="b">
        <f t="shared" si="33"/>
        <v>0</v>
      </c>
      <c r="Z439" t="b">
        <f t="shared" si="34"/>
        <v>0</v>
      </c>
    </row>
    <row r="440" spans="1:26" ht="15" customHeight="1">
      <c r="A440" t="s">
        <v>1053</v>
      </c>
      <c r="B440" t="s">
        <v>1056</v>
      </c>
      <c r="C440" s="14">
        <v>45671</v>
      </c>
      <c r="D440" s="14">
        <v>45666</v>
      </c>
      <c r="E440">
        <v>2025</v>
      </c>
      <c r="F440">
        <v>1</v>
      </c>
      <c r="G440" t="s">
        <v>185</v>
      </c>
      <c r="H440" t="s">
        <v>186</v>
      </c>
      <c r="I440" t="s">
        <v>134</v>
      </c>
      <c r="J440" s="15">
        <v>0</v>
      </c>
      <c r="K440" s="15">
        <v>20208.34</v>
      </c>
      <c r="L440" s="15">
        <f t="shared" si="30"/>
        <v>-20208.34</v>
      </c>
      <c r="M440" t="s">
        <v>181</v>
      </c>
      <c r="N440" t="s">
        <v>1055</v>
      </c>
      <c r="O440" t="s">
        <v>183</v>
      </c>
      <c r="P440" t="s">
        <v>150</v>
      </c>
      <c r="Q440" t="s">
        <v>128</v>
      </c>
      <c r="R440" s="16">
        <v>45671.53125</v>
      </c>
      <c r="S440" t="s">
        <v>130</v>
      </c>
      <c r="V440" t="b">
        <f t="shared" si="31"/>
        <v>0</v>
      </c>
      <c r="W440" t="b">
        <f>AND(OR(WEEKDAY(C440,2)=5,WEEKDAY(C440,2)=6),'01_Parameters'!$C$11="Enabled")</f>
        <v>0</v>
      </c>
      <c r="X440" t="b">
        <f t="shared" si="32"/>
        <v>0</v>
      </c>
      <c r="Y440" t="b">
        <f t="shared" si="33"/>
        <v>0</v>
      </c>
      <c r="Z440" t="b">
        <f t="shared" si="34"/>
        <v>0</v>
      </c>
    </row>
    <row r="441" spans="1:26" ht="15" customHeight="1">
      <c r="A441" t="s">
        <v>1057</v>
      </c>
      <c r="B441" t="s">
        <v>1058</v>
      </c>
      <c r="C441" s="14">
        <v>45886</v>
      </c>
      <c r="D441" s="14">
        <v>45881</v>
      </c>
      <c r="E441">
        <v>2025</v>
      </c>
      <c r="F441">
        <v>8</v>
      </c>
      <c r="G441" t="s">
        <v>137</v>
      </c>
      <c r="H441" t="s">
        <v>138</v>
      </c>
      <c r="I441" t="s">
        <v>124</v>
      </c>
      <c r="J441" s="15">
        <v>141386.18</v>
      </c>
      <c r="K441" s="15">
        <v>0</v>
      </c>
      <c r="L441" s="15">
        <f t="shared" si="30"/>
        <v>141386.18</v>
      </c>
      <c r="M441" t="s">
        <v>125</v>
      </c>
      <c r="N441" t="s">
        <v>1059</v>
      </c>
      <c r="O441" t="s">
        <v>127</v>
      </c>
      <c r="P441" t="s">
        <v>140</v>
      </c>
      <c r="Q441" t="s">
        <v>175</v>
      </c>
      <c r="R441" s="16">
        <v>45886.385416666701</v>
      </c>
      <c r="S441" t="s">
        <v>130</v>
      </c>
      <c r="V441" t="b">
        <f t="shared" si="31"/>
        <v>0</v>
      </c>
      <c r="W441" t="b">
        <f>AND(OR(WEEKDAY(C441,2)=5,WEEKDAY(C441,2)=6),'01_Parameters'!$C$11="Enabled")</f>
        <v>0</v>
      </c>
      <c r="X441" t="b">
        <f t="shared" si="32"/>
        <v>0</v>
      </c>
      <c r="Y441" t="b">
        <f t="shared" si="33"/>
        <v>1</v>
      </c>
      <c r="Z441" t="b">
        <f t="shared" si="34"/>
        <v>0</v>
      </c>
    </row>
    <row r="442" spans="1:26" ht="15" customHeight="1">
      <c r="A442" t="s">
        <v>1057</v>
      </c>
      <c r="B442" t="s">
        <v>1060</v>
      </c>
      <c r="C442" s="14">
        <v>45886</v>
      </c>
      <c r="D442" s="14">
        <v>45881</v>
      </c>
      <c r="E442">
        <v>2025</v>
      </c>
      <c r="F442">
        <v>8</v>
      </c>
      <c r="G442" t="s">
        <v>132</v>
      </c>
      <c r="H442" t="s">
        <v>133</v>
      </c>
      <c r="I442" t="s">
        <v>134</v>
      </c>
      <c r="J442" s="15">
        <v>0</v>
      </c>
      <c r="K442" s="15">
        <v>141386.18</v>
      </c>
      <c r="L442" s="15">
        <f t="shared" si="30"/>
        <v>-141386.18</v>
      </c>
      <c r="M442" t="s">
        <v>125</v>
      </c>
      <c r="N442" t="s">
        <v>1059</v>
      </c>
      <c r="O442" t="s">
        <v>127</v>
      </c>
      <c r="P442" t="s">
        <v>140</v>
      </c>
      <c r="Q442" t="s">
        <v>175</v>
      </c>
      <c r="R442" s="16">
        <v>45886.385416666701</v>
      </c>
      <c r="S442" t="s">
        <v>130</v>
      </c>
      <c r="V442" t="b">
        <f t="shared" si="31"/>
        <v>0</v>
      </c>
      <c r="W442" t="b">
        <f>AND(OR(WEEKDAY(C442,2)=5,WEEKDAY(C442,2)=6),'01_Parameters'!$C$11="Enabled")</f>
        <v>0</v>
      </c>
      <c r="X442" t="b">
        <f t="shared" si="32"/>
        <v>0</v>
      </c>
      <c r="Y442" t="b">
        <f t="shared" si="33"/>
        <v>1</v>
      </c>
      <c r="Z442" t="b">
        <f t="shared" si="34"/>
        <v>0</v>
      </c>
    </row>
    <row r="443" spans="1:26" ht="15" customHeight="1">
      <c r="A443" t="s">
        <v>1061</v>
      </c>
      <c r="B443" t="s">
        <v>1062</v>
      </c>
      <c r="C443" s="14">
        <v>45912</v>
      </c>
      <c r="D443" s="14">
        <v>45909</v>
      </c>
      <c r="E443">
        <v>2025</v>
      </c>
      <c r="F443">
        <v>9</v>
      </c>
      <c r="G443" t="s">
        <v>144</v>
      </c>
      <c r="H443" t="s">
        <v>145</v>
      </c>
      <c r="I443" t="s">
        <v>146</v>
      </c>
      <c r="J443" s="15">
        <v>67826.240000000005</v>
      </c>
      <c r="K443" s="15">
        <v>0</v>
      </c>
      <c r="L443" s="15">
        <f t="shared" si="30"/>
        <v>67826.240000000005</v>
      </c>
      <c r="M443" t="s">
        <v>147</v>
      </c>
      <c r="N443" t="s">
        <v>1063</v>
      </c>
      <c r="O443" t="s">
        <v>149</v>
      </c>
      <c r="P443" t="s">
        <v>175</v>
      </c>
      <c r="Q443" t="s">
        <v>150</v>
      </c>
      <c r="R443" s="16">
        <v>45912.739583333299</v>
      </c>
      <c r="S443" t="s">
        <v>130</v>
      </c>
      <c r="V443" t="b">
        <f t="shared" si="31"/>
        <v>0</v>
      </c>
      <c r="W443" t="b">
        <f>AND(OR(WEEKDAY(C443,2)=5,WEEKDAY(C443,2)=6),'01_Parameters'!$C$11="Enabled")</f>
        <v>1</v>
      </c>
      <c r="X443" t="b">
        <f t="shared" si="32"/>
        <v>0</v>
      </c>
      <c r="Y443" t="b">
        <f t="shared" si="33"/>
        <v>0</v>
      </c>
      <c r="Z443" t="b">
        <f t="shared" si="34"/>
        <v>0</v>
      </c>
    </row>
    <row r="444" spans="1:26" ht="15" customHeight="1">
      <c r="A444" t="s">
        <v>1061</v>
      </c>
      <c r="B444" t="s">
        <v>1064</v>
      </c>
      <c r="C444" s="14">
        <v>45912</v>
      </c>
      <c r="D444" s="14">
        <v>45909</v>
      </c>
      <c r="E444">
        <v>2025</v>
      </c>
      <c r="F444">
        <v>9</v>
      </c>
      <c r="G444" t="s">
        <v>153</v>
      </c>
      <c r="H444" t="s">
        <v>154</v>
      </c>
      <c r="I444" t="s">
        <v>155</v>
      </c>
      <c r="J444" s="15">
        <v>0</v>
      </c>
      <c r="K444" s="15">
        <v>67826.240000000005</v>
      </c>
      <c r="L444" s="15">
        <f t="shared" si="30"/>
        <v>-67826.240000000005</v>
      </c>
      <c r="M444" t="s">
        <v>147</v>
      </c>
      <c r="N444" t="s">
        <v>1063</v>
      </c>
      <c r="O444" t="s">
        <v>149</v>
      </c>
      <c r="P444" t="s">
        <v>175</v>
      </c>
      <c r="Q444" t="s">
        <v>150</v>
      </c>
      <c r="R444" s="16">
        <v>45912.739583333299</v>
      </c>
      <c r="S444" t="s">
        <v>130</v>
      </c>
      <c r="V444" t="b">
        <f t="shared" si="31"/>
        <v>0</v>
      </c>
      <c r="W444" t="b">
        <f>AND(OR(WEEKDAY(C444,2)=5,WEEKDAY(C444,2)=6),'01_Parameters'!$C$11="Enabled")</f>
        <v>1</v>
      </c>
      <c r="X444" t="b">
        <f t="shared" si="32"/>
        <v>0</v>
      </c>
      <c r="Y444" t="b">
        <f t="shared" si="33"/>
        <v>0</v>
      </c>
      <c r="Z444" t="b">
        <f t="shared" si="34"/>
        <v>0</v>
      </c>
    </row>
    <row r="445" spans="1:26" ht="15" customHeight="1">
      <c r="A445" t="s">
        <v>1065</v>
      </c>
      <c r="B445" t="s">
        <v>1066</v>
      </c>
      <c r="C445" s="14">
        <v>45673</v>
      </c>
      <c r="D445" s="14">
        <v>45671</v>
      </c>
      <c r="E445">
        <v>2025</v>
      </c>
      <c r="F445">
        <v>1</v>
      </c>
      <c r="G445" t="s">
        <v>207</v>
      </c>
      <c r="H445" t="s">
        <v>208</v>
      </c>
      <c r="I445" t="s">
        <v>124</v>
      </c>
      <c r="J445" s="15">
        <v>64300.11</v>
      </c>
      <c r="K445" s="15">
        <v>0</v>
      </c>
      <c r="L445" s="15">
        <f t="shared" si="30"/>
        <v>64300.11</v>
      </c>
      <c r="M445" t="s">
        <v>209</v>
      </c>
      <c r="N445" t="s">
        <v>1067</v>
      </c>
      <c r="O445" t="s">
        <v>211</v>
      </c>
      <c r="P445" t="s">
        <v>151</v>
      </c>
      <c r="Q445" t="s">
        <v>128</v>
      </c>
      <c r="R445" s="16">
        <v>45673.645833333299</v>
      </c>
      <c r="S445" t="s">
        <v>130</v>
      </c>
      <c r="T445" t="s">
        <v>440</v>
      </c>
      <c r="U445" t="s">
        <v>1067</v>
      </c>
      <c r="V445" t="b">
        <f t="shared" si="31"/>
        <v>0</v>
      </c>
      <c r="W445" t="b">
        <f>AND(OR(WEEKDAY(C445,2)=5,WEEKDAY(C445,2)=6),'01_Parameters'!$C$11="Enabled")</f>
        <v>0</v>
      </c>
      <c r="X445" t="b">
        <f t="shared" si="32"/>
        <v>0</v>
      </c>
      <c r="Y445" t="b">
        <f t="shared" si="33"/>
        <v>0</v>
      </c>
      <c r="Z445" t="b">
        <f t="shared" si="34"/>
        <v>0</v>
      </c>
    </row>
    <row r="446" spans="1:26" ht="15" customHeight="1">
      <c r="A446" t="s">
        <v>1065</v>
      </c>
      <c r="B446" t="s">
        <v>1068</v>
      </c>
      <c r="C446" s="14">
        <v>45673</v>
      </c>
      <c r="D446" s="14">
        <v>45671</v>
      </c>
      <c r="E446">
        <v>2025</v>
      </c>
      <c r="F446">
        <v>1</v>
      </c>
      <c r="G446" t="s">
        <v>132</v>
      </c>
      <c r="H446" t="s">
        <v>133</v>
      </c>
      <c r="I446" t="s">
        <v>134</v>
      </c>
      <c r="J446" s="15">
        <v>0</v>
      </c>
      <c r="K446" s="15">
        <v>64300.11</v>
      </c>
      <c r="L446" s="15">
        <f t="shared" si="30"/>
        <v>-64300.11</v>
      </c>
      <c r="M446" t="s">
        <v>209</v>
      </c>
      <c r="N446" t="s">
        <v>1067</v>
      </c>
      <c r="O446" t="s">
        <v>211</v>
      </c>
      <c r="P446" t="s">
        <v>151</v>
      </c>
      <c r="Q446" t="s">
        <v>128</v>
      </c>
      <c r="R446" s="16">
        <v>45673.645833333299</v>
      </c>
      <c r="S446" t="s">
        <v>130</v>
      </c>
      <c r="T446" t="s">
        <v>440</v>
      </c>
      <c r="U446" t="s">
        <v>1067</v>
      </c>
      <c r="V446" t="b">
        <f t="shared" si="31"/>
        <v>0</v>
      </c>
      <c r="W446" t="b">
        <f>AND(OR(WEEKDAY(C446,2)=5,WEEKDAY(C446,2)=6),'01_Parameters'!$C$11="Enabled")</f>
        <v>0</v>
      </c>
      <c r="X446" t="b">
        <f t="shared" si="32"/>
        <v>0</v>
      </c>
      <c r="Y446" t="b">
        <f t="shared" si="33"/>
        <v>0</v>
      </c>
      <c r="Z446" t="b">
        <f t="shared" si="34"/>
        <v>0</v>
      </c>
    </row>
    <row r="447" spans="1:26" ht="15" customHeight="1">
      <c r="A447" t="s">
        <v>1069</v>
      </c>
      <c r="B447" t="s">
        <v>1070</v>
      </c>
      <c r="C447" s="14">
        <v>45795</v>
      </c>
      <c r="D447" s="14">
        <v>45795</v>
      </c>
      <c r="E447">
        <v>2025</v>
      </c>
      <c r="F447">
        <v>5</v>
      </c>
      <c r="G447" t="s">
        <v>334</v>
      </c>
      <c r="H447" t="s">
        <v>335</v>
      </c>
      <c r="I447" t="s">
        <v>124</v>
      </c>
      <c r="J447" s="15">
        <v>172080.01</v>
      </c>
      <c r="K447" s="15">
        <v>0</v>
      </c>
      <c r="L447" s="15">
        <f t="shared" si="30"/>
        <v>172080.01</v>
      </c>
      <c r="M447" t="s">
        <v>125</v>
      </c>
      <c r="N447" t="s">
        <v>1071</v>
      </c>
      <c r="O447" t="s">
        <v>127</v>
      </c>
      <c r="P447" t="s">
        <v>151</v>
      </c>
      <c r="Q447" t="s">
        <v>150</v>
      </c>
      <c r="R447" s="16">
        <v>45795.489583333299</v>
      </c>
      <c r="S447" t="s">
        <v>130</v>
      </c>
      <c r="V447" t="b">
        <f t="shared" si="31"/>
        <v>0</v>
      </c>
      <c r="W447" t="b">
        <f>AND(OR(WEEKDAY(C447,2)=5,WEEKDAY(C447,2)=6),'01_Parameters'!$C$11="Enabled")</f>
        <v>0</v>
      </c>
      <c r="X447" t="b">
        <f t="shared" si="32"/>
        <v>0</v>
      </c>
      <c r="Y447" t="b">
        <f t="shared" si="33"/>
        <v>1</v>
      </c>
      <c r="Z447" t="b">
        <f t="shared" si="34"/>
        <v>0</v>
      </c>
    </row>
    <row r="448" spans="1:26" ht="15" customHeight="1">
      <c r="A448" t="s">
        <v>1069</v>
      </c>
      <c r="B448" t="s">
        <v>1072</v>
      </c>
      <c r="C448" s="14">
        <v>45795</v>
      </c>
      <c r="D448" s="14">
        <v>45795</v>
      </c>
      <c r="E448">
        <v>2025</v>
      </c>
      <c r="F448">
        <v>5</v>
      </c>
      <c r="G448" t="s">
        <v>132</v>
      </c>
      <c r="H448" t="s">
        <v>133</v>
      </c>
      <c r="I448" t="s">
        <v>134</v>
      </c>
      <c r="J448" s="15">
        <v>0</v>
      </c>
      <c r="K448" s="15">
        <v>172080.01</v>
      </c>
      <c r="L448" s="15">
        <f t="shared" si="30"/>
        <v>-172080.01</v>
      </c>
      <c r="M448" t="s">
        <v>125</v>
      </c>
      <c r="N448" t="s">
        <v>1071</v>
      </c>
      <c r="O448" t="s">
        <v>127</v>
      </c>
      <c r="P448" t="s">
        <v>151</v>
      </c>
      <c r="Q448" t="s">
        <v>150</v>
      </c>
      <c r="R448" s="16">
        <v>45795.489583333299</v>
      </c>
      <c r="S448" t="s">
        <v>130</v>
      </c>
      <c r="V448" t="b">
        <f t="shared" si="31"/>
        <v>0</v>
      </c>
      <c r="W448" t="b">
        <f>AND(OR(WEEKDAY(C448,2)=5,WEEKDAY(C448,2)=6),'01_Parameters'!$C$11="Enabled")</f>
        <v>0</v>
      </c>
      <c r="X448" t="b">
        <f t="shared" si="32"/>
        <v>0</v>
      </c>
      <c r="Y448" t="b">
        <f t="shared" si="33"/>
        <v>1</v>
      </c>
      <c r="Z448" t="b">
        <f t="shared" si="34"/>
        <v>0</v>
      </c>
    </row>
    <row r="449" spans="1:26" ht="15" customHeight="1">
      <c r="A449" t="s">
        <v>1073</v>
      </c>
      <c r="B449" t="s">
        <v>1074</v>
      </c>
      <c r="C449" s="14">
        <v>45762</v>
      </c>
      <c r="D449" s="14">
        <v>45757</v>
      </c>
      <c r="E449">
        <v>2025</v>
      </c>
      <c r="F449">
        <v>4</v>
      </c>
      <c r="G449" t="s">
        <v>158</v>
      </c>
      <c r="H449" t="s">
        <v>159</v>
      </c>
      <c r="I449" t="s">
        <v>124</v>
      </c>
      <c r="J449" s="15">
        <v>84102.21</v>
      </c>
      <c r="K449" s="15">
        <v>0</v>
      </c>
      <c r="L449" s="15">
        <f t="shared" si="30"/>
        <v>84102.21</v>
      </c>
      <c r="M449" t="s">
        <v>160</v>
      </c>
      <c r="N449" t="s">
        <v>1075</v>
      </c>
      <c r="O449" t="s">
        <v>162</v>
      </c>
      <c r="P449" t="s">
        <v>150</v>
      </c>
      <c r="Q449" t="s">
        <v>175</v>
      </c>
      <c r="R449" s="16">
        <v>45762.71875</v>
      </c>
      <c r="S449" t="s">
        <v>130</v>
      </c>
      <c r="V449" t="b">
        <f t="shared" si="31"/>
        <v>0</v>
      </c>
      <c r="W449" t="b">
        <f>AND(OR(WEEKDAY(C449,2)=5,WEEKDAY(C449,2)=6),'01_Parameters'!$C$11="Enabled")</f>
        <v>0</v>
      </c>
      <c r="X449" t="b">
        <f t="shared" si="32"/>
        <v>0</v>
      </c>
      <c r="Y449" t="b">
        <f t="shared" si="33"/>
        <v>0</v>
      </c>
      <c r="Z449" t="b">
        <f t="shared" si="34"/>
        <v>0</v>
      </c>
    </row>
    <row r="450" spans="1:26" ht="15" customHeight="1">
      <c r="A450" t="s">
        <v>1073</v>
      </c>
      <c r="B450" t="s">
        <v>1076</v>
      </c>
      <c r="C450" s="14">
        <v>45762</v>
      </c>
      <c r="D450" s="14">
        <v>45757</v>
      </c>
      <c r="E450">
        <v>2025</v>
      </c>
      <c r="F450">
        <v>4</v>
      </c>
      <c r="G450" t="s">
        <v>164</v>
      </c>
      <c r="H450" t="s">
        <v>165</v>
      </c>
      <c r="I450" t="s">
        <v>146</v>
      </c>
      <c r="J450" s="15">
        <v>0</v>
      </c>
      <c r="K450" s="15">
        <v>84102.21</v>
      </c>
      <c r="L450" s="15">
        <f t="shared" si="30"/>
        <v>-84102.21</v>
      </c>
      <c r="M450" t="s">
        <v>160</v>
      </c>
      <c r="N450" t="s">
        <v>1075</v>
      </c>
      <c r="O450" t="s">
        <v>162</v>
      </c>
      <c r="P450" t="s">
        <v>150</v>
      </c>
      <c r="Q450" t="s">
        <v>175</v>
      </c>
      <c r="R450" s="16">
        <v>45762.71875</v>
      </c>
      <c r="S450" t="s">
        <v>130</v>
      </c>
      <c r="V450" t="b">
        <f t="shared" si="31"/>
        <v>0</v>
      </c>
      <c r="W450" t="b">
        <f>AND(OR(WEEKDAY(C450,2)=5,WEEKDAY(C450,2)=6),'01_Parameters'!$C$11="Enabled")</f>
        <v>0</v>
      </c>
      <c r="X450" t="b">
        <f t="shared" si="32"/>
        <v>0</v>
      </c>
      <c r="Y450" t="b">
        <f t="shared" si="33"/>
        <v>0</v>
      </c>
      <c r="Z450" t="b">
        <f t="shared" si="34"/>
        <v>0</v>
      </c>
    </row>
    <row r="451" spans="1:26" ht="15" customHeight="1">
      <c r="A451" t="s">
        <v>1077</v>
      </c>
      <c r="B451" t="s">
        <v>1078</v>
      </c>
      <c r="C451" s="14">
        <v>45709</v>
      </c>
      <c r="D451" s="14">
        <v>45709</v>
      </c>
      <c r="E451">
        <v>2025</v>
      </c>
      <c r="F451">
        <v>2</v>
      </c>
      <c r="G451" t="s">
        <v>179</v>
      </c>
      <c r="H451" t="s">
        <v>180</v>
      </c>
      <c r="I451" t="s">
        <v>124</v>
      </c>
      <c r="J451" s="15">
        <v>64108.37</v>
      </c>
      <c r="K451" s="15">
        <v>0</v>
      </c>
      <c r="L451" s="15">
        <f t="shared" si="30"/>
        <v>64108.37</v>
      </c>
      <c r="M451" t="s">
        <v>181</v>
      </c>
      <c r="N451" t="s">
        <v>1079</v>
      </c>
      <c r="O451" t="s">
        <v>183</v>
      </c>
      <c r="P451" t="s">
        <v>128</v>
      </c>
      <c r="Q451" t="s">
        <v>140</v>
      </c>
      <c r="R451" s="16">
        <v>45709.25</v>
      </c>
      <c r="S451" t="s">
        <v>130</v>
      </c>
      <c r="V451" t="b">
        <f t="shared" si="31"/>
        <v>0</v>
      </c>
      <c r="W451" t="b">
        <f>AND(OR(WEEKDAY(C451,2)=5,WEEKDAY(C451,2)=6),'01_Parameters'!$C$11="Enabled")</f>
        <v>1</v>
      </c>
      <c r="X451" t="b">
        <f t="shared" si="32"/>
        <v>1</v>
      </c>
      <c r="Y451" t="b">
        <f t="shared" si="33"/>
        <v>0</v>
      </c>
      <c r="Z451" t="b">
        <f t="shared" si="34"/>
        <v>0</v>
      </c>
    </row>
    <row r="452" spans="1:26" ht="15" customHeight="1">
      <c r="A452" t="s">
        <v>1077</v>
      </c>
      <c r="B452" t="s">
        <v>1080</v>
      </c>
      <c r="C452" s="14">
        <v>45709</v>
      </c>
      <c r="D452" s="14">
        <v>45709</v>
      </c>
      <c r="E452">
        <v>2025</v>
      </c>
      <c r="F452">
        <v>2</v>
      </c>
      <c r="G452" t="s">
        <v>185</v>
      </c>
      <c r="H452" t="s">
        <v>186</v>
      </c>
      <c r="I452" t="s">
        <v>134</v>
      </c>
      <c r="J452" s="15">
        <v>0</v>
      </c>
      <c r="K452" s="15">
        <v>64108.37</v>
      </c>
      <c r="L452" s="15">
        <f t="shared" si="30"/>
        <v>-64108.37</v>
      </c>
      <c r="M452" t="s">
        <v>181</v>
      </c>
      <c r="N452" t="s">
        <v>1079</v>
      </c>
      <c r="O452" t="s">
        <v>183</v>
      </c>
      <c r="P452" t="s">
        <v>128</v>
      </c>
      <c r="Q452" t="s">
        <v>140</v>
      </c>
      <c r="R452" s="16">
        <v>45709.25</v>
      </c>
      <c r="S452" t="s">
        <v>130</v>
      </c>
      <c r="V452" t="b">
        <f t="shared" si="31"/>
        <v>0</v>
      </c>
      <c r="W452" t="b">
        <f>AND(OR(WEEKDAY(C452,2)=5,WEEKDAY(C452,2)=6),'01_Parameters'!$C$11="Enabled")</f>
        <v>1</v>
      </c>
      <c r="X452" t="b">
        <f t="shared" si="32"/>
        <v>1</v>
      </c>
      <c r="Y452" t="b">
        <f t="shared" si="33"/>
        <v>0</v>
      </c>
      <c r="Z452" t="b">
        <f t="shared" si="34"/>
        <v>0</v>
      </c>
    </row>
    <row r="453" spans="1:26" ht="15" customHeight="1">
      <c r="A453" t="s">
        <v>1081</v>
      </c>
      <c r="B453" t="s">
        <v>1082</v>
      </c>
      <c r="C453" s="14">
        <v>45931</v>
      </c>
      <c r="D453" s="14">
        <v>45926</v>
      </c>
      <c r="E453">
        <v>2025</v>
      </c>
      <c r="F453">
        <v>10</v>
      </c>
      <c r="G453" t="s">
        <v>158</v>
      </c>
      <c r="H453" t="s">
        <v>159</v>
      </c>
      <c r="I453" t="s">
        <v>124</v>
      </c>
      <c r="J453" s="15">
        <v>20322.91</v>
      </c>
      <c r="K453" s="15">
        <v>0</v>
      </c>
      <c r="L453" s="15">
        <f t="shared" ref="L453:L516" si="35">J453-K453</f>
        <v>20322.91</v>
      </c>
      <c r="M453" t="s">
        <v>160</v>
      </c>
      <c r="N453" t="s">
        <v>1083</v>
      </c>
      <c r="O453" t="s">
        <v>162</v>
      </c>
      <c r="P453" t="s">
        <v>175</v>
      </c>
      <c r="Q453" t="s">
        <v>128</v>
      </c>
      <c r="R453" s="16">
        <v>45931.40625</v>
      </c>
      <c r="S453" t="s">
        <v>130</v>
      </c>
      <c r="V453" t="b">
        <f t="shared" ref="V453:V516" si="36">AND(C453&gt;=Year_End_Window_Start,C453&lt;=Year_End_Window_End)</f>
        <v>0</v>
      </c>
      <c r="W453" t="b">
        <f>AND(OR(WEEKDAY(C453,2)=5,WEEKDAY(C453,2)=6),'01_Parameters'!$C$11="Enabled")</f>
        <v>0</v>
      </c>
      <c r="X453" t="b">
        <f t="shared" ref="X453:X516" si="37">AND(HOUR(R453)&lt;Business_Day_Start,HOUR(R453)&gt;=0)+AND(HOUR(R453)&gt;=Business_Day_End,HOUR(R453)&lt;=23)&gt;0</f>
        <v>0</v>
      </c>
      <c r="Y453" t="b">
        <f t="shared" ref="Y453:Y516" si="38">ABS(L453)&gt;High_Value_GL_Threshold</f>
        <v>0</v>
      </c>
      <c r="Z453" t="b">
        <f t="shared" ref="Z453:Z516" si="39">AND(ABS(L453)&gt;=Round_Number_Threshold,MOD(ABS(L453),Round_Number_Threshold)=0)</f>
        <v>0</v>
      </c>
    </row>
    <row r="454" spans="1:26" ht="15" customHeight="1">
      <c r="A454" t="s">
        <v>1081</v>
      </c>
      <c r="B454" t="s">
        <v>1084</v>
      </c>
      <c r="C454" s="14">
        <v>45931</v>
      </c>
      <c r="D454" s="14">
        <v>45926</v>
      </c>
      <c r="E454">
        <v>2025</v>
      </c>
      <c r="F454">
        <v>10</v>
      </c>
      <c r="G454" t="s">
        <v>164</v>
      </c>
      <c r="H454" t="s">
        <v>165</v>
      </c>
      <c r="I454" t="s">
        <v>146</v>
      </c>
      <c r="J454" s="15">
        <v>0</v>
      </c>
      <c r="K454" s="15">
        <v>20322.91</v>
      </c>
      <c r="L454" s="15">
        <f t="shared" si="35"/>
        <v>-20322.91</v>
      </c>
      <c r="M454" t="s">
        <v>160</v>
      </c>
      <c r="N454" t="s">
        <v>1083</v>
      </c>
      <c r="O454" t="s">
        <v>162</v>
      </c>
      <c r="P454" t="s">
        <v>175</v>
      </c>
      <c r="Q454" t="s">
        <v>128</v>
      </c>
      <c r="R454" s="16">
        <v>45931.40625</v>
      </c>
      <c r="S454" t="s">
        <v>130</v>
      </c>
      <c r="V454" t="b">
        <f t="shared" si="36"/>
        <v>0</v>
      </c>
      <c r="W454" t="b">
        <f>AND(OR(WEEKDAY(C454,2)=5,WEEKDAY(C454,2)=6),'01_Parameters'!$C$11="Enabled")</f>
        <v>0</v>
      </c>
      <c r="X454" t="b">
        <f t="shared" si="37"/>
        <v>0</v>
      </c>
      <c r="Y454" t="b">
        <f t="shared" si="38"/>
        <v>0</v>
      </c>
      <c r="Z454" t="b">
        <f t="shared" si="39"/>
        <v>0</v>
      </c>
    </row>
    <row r="455" spans="1:26" ht="15" customHeight="1">
      <c r="A455" t="s">
        <v>1085</v>
      </c>
      <c r="B455" t="s">
        <v>1086</v>
      </c>
      <c r="C455" s="14">
        <v>45817</v>
      </c>
      <c r="D455" s="14">
        <v>45812</v>
      </c>
      <c r="E455">
        <v>2025</v>
      </c>
      <c r="F455">
        <v>6</v>
      </c>
      <c r="G455" t="s">
        <v>122</v>
      </c>
      <c r="H455" t="s">
        <v>123</v>
      </c>
      <c r="I455" t="s">
        <v>124</v>
      </c>
      <c r="J455" s="15">
        <v>74469.78</v>
      </c>
      <c r="K455" s="15">
        <v>0</v>
      </c>
      <c r="L455" s="15">
        <f t="shared" si="35"/>
        <v>74469.78</v>
      </c>
      <c r="M455" t="s">
        <v>209</v>
      </c>
      <c r="N455" t="s">
        <v>1087</v>
      </c>
      <c r="O455" t="s">
        <v>211</v>
      </c>
      <c r="P455" t="s">
        <v>151</v>
      </c>
      <c r="Q455" t="s">
        <v>175</v>
      </c>
      <c r="R455" s="16">
        <v>45817.927083333299</v>
      </c>
      <c r="S455" t="s">
        <v>130</v>
      </c>
      <c r="T455" t="s">
        <v>313</v>
      </c>
      <c r="U455" t="s">
        <v>1087</v>
      </c>
      <c r="V455" t="b">
        <f t="shared" si="36"/>
        <v>0</v>
      </c>
      <c r="W455" t="b">
        <f>AND(OR(WEEKDAY(C455,2)=5,WEEKDAY(C455,2)=6),'01_Parameters'!$C$11="Enabled")</f>
        <v>0</v>
      </c>
      <c r="X455" t="b">
        <f t="shared" si="37"/>
        <v>1</v>
      </c>
      <c r="Y455" t="b">
        <f t="shared" si="38"/>
        <v>0</v>
      </c>
      <c r="Z455" t="b">
        <f t="shared" si="39"/>
        <v>0</v>
      </c>
    </row>
    <row r="456" spans="1:26" ht="15" customHeight="1">
      <c r="A456" t="s">
        <v>1085</v>
      </c>
      <c r="B456" t="s">
        <v>1088</v>
      </c>
      <c r="C456" s="14">
        <v>45817</v>
      </c>
      <c r="D456" s="14">
        <v>45812</v>
      </c>
      <c r="E456">
        <v>2025</v>
      </c>
      <c r="F456">
        <v>6</v>
      </c>
      <c r="G456" t="s">
        <v>132</v>
      </c>
      <c r="H456" t="s">
        <v>133</v>
      </c>
      <c r="I456" t="s">
        <v>134</v>
      </c>
      <c r="J456" s="15">
        <v>0</v>
      </c>
      <c r="K456" s="15">
        <v>74469.78</v>
      </c>
      <c r="L456" s="15">
        <f t="shared" si="35"/>
        <v>-74469.78</v>
      </c>
      <c r="M456" t="s">
        <v>209</v>
      </c>
      <c r="N456" t="s">
        <v>1087</v>
      </c>
      <c r="O456" t="s">
        <v>211</v>
      </c>
      <c r="P456" t="s">
        <v>151</v>
      </c>
      <c r="Q456" t="s">
        <v>175</v>
      </c>
      <c r="R456" s="16">
        <v>45817.927083333299</v>
      </c>
      <c r="S456" t="s">
        <v>130</v>
      </c>
      <c r="T456" t="s">
        <v>313</v>
      </c>
      <c r="U456" t="s">
        <v>1087</v>
      </c>
      <c r="V456" t="b">
        <f t="shared" si="36"/>
        <v>0</v>
      </c>
      <c r="W456" t="b">
        <f>AND(OR(WEEKDAY(C456,2)=5,WEEKDAY(C456,2)=6),'01_Parameters'!$C$11="Enabled")</f>
        <v>0</v>
      </c>
      <c r="X456" t="b">
        <f t="shared" si="37"/>
        <v>1</v>
      </c>
      <c r="Y456" t="b">
        <f t="shared" si="38"/>
        <v>0</v>
      </c>
      <c r="Z456" t="b">
        <f t="shared" si="39"/>
        <v>0</v>
      </c>
    </row>
    <row r="457" spans="1:26" ht="15" customHeight="1">
      <c r="A457" t="s">
        <v>1089</v>
      </c>
      <c r="B457" t="s">
        <v>1090</v>
      </c>
      <c r="C457" s="14">
        <v>45707</v>
      </c>
      <c r="D457" s="14">
        <v>45704</v>
      </c>
      <c r="E457">
        <v>2025</v>
      </c>
      <c r="F457">
        <v>2</v>
      </c>
      <c r="G457" t="s">
        <v>334</v>
      </c>
      <c r="H457" t="s">
        <v>335</v>
      </c>
      <c r="I457" t="s">
        <v>124</v>
      </c>
      <c r="J457" s="15">
        <v>25138.17</v>
      </c>
      <c r="K457" s="15">
        <v>0</v>
      </c>
      <c r="L457" s="15">
        <f t="shared" si="35"/>
        <v>25138.17</v>
      </c>
      <c r="M457" t="s">
        <v>125</v>
      </c>
      <c r="N457" t="s">
        <v>1091</v>
      </c>
      <c r="O457" t="s">
        <v>127</v>
      </c>
      <c r="P457" t="s">
        <v>129</v>
      </c>
      <c r="Q457" t="s">
        <v>140</v>
      </c>
      <c r="R457" s="16">
        <v>45707.291666666701</v>
      </c>
      <c r="S457" t="s">
        <v>130</v>
      </c>
      <c r="V457" t="b">
        <f t="shared" si="36"/>
        <v>0</v>
      </c>
      <c r="W457" t="b">
        <f>AND(OR(WEEKDAY(C457,2)=5,WEEKDAY(C457,2)=6),'01_Parameters'!$C$11="Enabled")</f>
        <v>0</v>
      </c>
      <c r="X457" t="b">
        <f t="shared" si="37"/>
        <v>1</v>
      </c>
      <c r="Y457" t="b">
        <f t="shared" si="38"/>
        <v>0</v>
      </c>
      <c r="Z457" t="b">
        <f t="shared" si="39"/>
        <v>0</v>
      </c>
    </row>
    <row r="458" spans="1:26" ht="15" customHeight="1">
      <c r="A458" t="s">
        <v>1089</v>
      </c>
      <c r="B458" t="s">
        <v>1092</v>
      </c>
      <c r="C458" s="14">
        <v>45707</v>
      </c>
      <c r="D458" s="14">
        <v>45704</v>
      </c>
      <c r="E458">
        <v>2025</v>
      </c>
      <c r="F458">
        <v>2</v>
      </c>
      <c r="G458" t="s">
        <v>132</v>
      </c>
      <c r="H458" t="s">
        <v>133</v>
      </c>
      <c r="I458" t="s">
        <v>134</v>
      </c>
      <c r="J458" s="15">
        <v>0</v>
      </c>
      <c r="K458" s="15">
        <v>25138.17</v>
      </c>
      <c r="L458" s="15">
        <f t="shared" si="35"/>
        <v>-25138.17</v>
      </c>
      <c r="M458" t="s">
        <v>125</v>
      </c>
      <c r="N458" t="s">
        <v>1091</v>
      </c>
      <c r="O458" t="s">
        <v>127</v>
      </c>
      <c r="P458" t="s">
        <v>129</v>
      </c>
      <c r="Q458" t="s">
        <v>140</v>
      </c>
      <c r="R458" s="16">
        <v>45707.291666666701</v>
      </c>
      <c r="S458" t="s">
        <v>130</v>
      </c>
      <c r="V458" t="b">
        <f t="shared" si="36"/>
        <v>0</v>
      </c>
      <c r="W458" t="b">
        <f>AND(OR(WEEKDAY(C458,2)=5,WEEKDAY(C458,2)=6),'01_Parameters'!$C$11="Enabled")</f>
        <v>0</v>
      </c>
      <c r="X458" t="b">
        <f t="shared" si="37"/>
        <v>1</v>
      </c>
      <c r="Y458" t="b">
        <f t="shared" si="38"/>
        <v>0</v>
      </c>
      <c r="Z458" t="b">
        <f t="shared" si="39"/>
        <v>0</v>
      </c>
    </row>
    <row r="459" spans="1:26" ht="15" customHeight="1">
      <c r="A459" t="s">
        <v>1093</v>
      </c>
      <c r="B459" t="s">
        <v>1094</v>
      </c>
      <c r="C459" s="14">
        <v>45728</v>
      </c>
      <c r="D459" s="14">
        <v>45726</v>
      </c>
      <c r="E459">
        <v>2025</v>
      </c>
      <c r="F459">
        <v>3</v>
      </c>
      <c r="G459" t="s">
        <v>172</v>
      </c>
      <c r="H459" t="s">
        <v>173</v>
      </c>
      <c r="I459" t="s">
        <v>124</v>
      </c>
      <c r="J459" s="15">
        <v>3783.16</v>
      </c>
      <c r="K459" s="15">
        <v>0</v>
      </c>
      <c r="L459" s="15">
        <f t="shared" si="35"/>
        <v>3783.16</v>
      </c>
      <c r="M459" t="s">
        <v>209</v>
      </c>
      <c r="N459" t="s">
        <v>1095</v>
      </c>
      <c r="O459" t="s">
        <v>211</v>
      </c>
      <c r="P459" t="s">
        <v>140</v>
      </c>
      <c r="Q459" t="s">
        <v>128</v>
      </c>
      <c r="R459" s="16">
        <v>45728.447916666701</v>
      </c>
      <c r="S459" t="s">
        <v>130</v>
      </c>
      <c r="T459" t="s">
        <v>440</v>
      </c>
      <c r="U459" t="s">
        <v>1095</v>
      </c>
      <c r="V459" t="b">
        <f t="shared" si="36"/>
        <v>0</v>
      </c>
      <c r="W459" t="b">
        <f>AND(OR(WEEKDAY(C459,2)=5,WEEKDAY(C459,2)=6),'01_Parameters'!$C$11="Enabled")</f>
        <v>0</v>
      </c>
      <c r="X459" t="b">
        <f t="shared" si="37"/>
        <v>0</v>
      </c>
      <c r="Y459" t="b">
        <f t="shared" si="38"/>
        <v>0</v>
      </c>
      <c r="Z459" t="b">
        <f t="shared" si="39"/>
        <v>0</v>
      </c>
    </row>
    <row r="460" spans="1:26" ht="15" customHeight="1">
      <c r="A460" t="s">
        <v>1093</v>
      </c>
      <c r="B460" t="s">
        <v>1096</v>
      </c>
      <c r="C460" s="14">
        <v>45728</v>
      </c>
      <c r="D460" s="14">
        <v>45726</v>
      </c>
      <c r="E460">
        <v>2025</v>
      </c>
      <c r="F460">
        <v>3</v>
      </c>
      <c r="G460" t="s">
        <v>132</v>
      </c>
      <c r="H460" t="s">
        <v>133</v>
      </c>
      <c r="I460" t="s">
        <v>134</v>
      </c>
      <c r="J460" s="15">
        <v>0</v>
      </c>
      <c r="K460" s="15">
        <v>3783.16</v>
      </c>
      <c r="L460" s="15">
        <f t="shared" si="35"/>
        <v>-3783.16</v>
      </c>
      <c r="M460" t="s">
        <v>209</v>
      </c>
      <c r="N460" t="s">
        <v>1095</v>
      </c>
      <c r="O460" t="s">
        <v>211</v>
      </c>
      <c r="P460" t="s">
        <v>140</v>
      </c>
      <c r="Q460" t="s">
        <v>128</v>
      </c>
      <c r="R460" s="16">
        <v>45728.447916666701</v>
      </c>
      <c r="S460" t="s">
        <v>130</v>
      </c>
      <c r="T460" t="s">
        <v>440</v>
      </c>
      <c r="U460" t="s">
        <v>1095</v>
      </c>
      <c r="V460" t="b">
        <f t="shared" si="36"/>
        <v>0</v>
      </c>
      <c r="W460" t="b">
        <f>AND(OR(WEEKDAY(C460,2)=5,WEEKDAY(C460,2)=6),'01_Parameters'!$C$11="Enabled")</f>
        <v>0</v>
      </c>
      <c r="X460" t="b">
        <f t="shared" si="37"/>
        <v>0</v>
      </c>
      <c r="Y460" t="b">
        <f t="shared" si="38"/>
        <v>0</v>
      </c>
      <c r="Z460" t="b">
        <f t="shared" si="39"/>
        <v>0</v>
      </c>
    </row>
    <row r="461" spans="1:26" ht="15" customHeight="1">
      <c r="A461" t="s">
        <v>1097</v>
      </c>
      <c r="B461" t="s">
        <v>1098</v>
      </c>
      <c r="C461" s="14">
        <v>45787</v>
      </c>
      <c r="D461" s="14">
        <v>45785</v>
      </c>
      <c r="E461">
        <v>2025</v>
      </c>
      <c r="F461">
        <v>5</v>
      </c>
      <c r="G461" t="s">
        <v>199</v>
      </c>
      <c r="H461" t="s">
        <v>200</v>
      </c>
      <c r="I461" t="s">
        <v>146</v>
      </c>
      <c r="J461" s="15">
        <v>38244.46</v>
      </c>
      <c r="K461" s="15">
        <v>0</v>
      </c>
      <c r="L461" s="15">
        <f t="shared" si="35"/>
        <v>38244.46</v>
      </c>
      <c r="M461" t="s">
        <v>209</v>
      </c>
      <c r="N461" t="s">
        <v>1099</v>
      </c>
      <c r="O461" t="s">
        <v>211</v>
      </c>
      <c r="P461" t="s">
        <v>140</v>
      </c>
      <c r="Q461" t="s">
        <v>128</v>
      </c>
      <c r="R461" s="16">
        <v>45787.65625</v>
      </c>
      <c r="S461" t="s">
        <v>130</v>
      </c>
      <c r="T461" t="s">
        <v>705</v>
      </c>
      <c r="U461" t="s">
        <v>1099</v>
      </c>
      <c r="V461" t="b">
        <f t="shared" si="36"/>
        <v>0</v>
      </c>
      <c r="W461" t="b">
        <f>AND(OR(WEEKDAY(C461,2)=5,WEEKDAY(C461,2)=6),'01_Parameters'!$C$11="Enabled")</f>
        <v>1</v>
      </c>
      <c r="X461" t="b">
        <f t="shared" si="37"/>
        <v>0</v>
      </c>
      <c r="Y461" t="b">
        <f t="shared" si="38"/>
        <v>0</v>
      </c>
      <c r="Z461" t="b">
        <f t="shared" si="39"/>
        <v>0</v>
      </c>
    </row>
    <row r="462" spans="1:26" ht="15" customHeight="1">
      <c r="A462" t="s">
        <v>1097</v>
      </c>
      <c r="B462" t="s">
        <v>1100</v>
      </c>
      <c r="C462" s="14">
        <v>45787</v>
      </c>
      <c r="D462" s="14">
        <v>45785</v>
      </c>
      <c r="E462">
        <v>2025</v>
      </c>
      <c r="F462">
        <v>5</v>
      </c>
      <c r="G462" t="s">
        <v>132</v>
      </c>
      <c r="H462" t="s">
        <v>133</v>
      </c>
      <c r="I462" t="s">
        <v>134</v>
      </c>
      <c r="J462" s="15">
        <v>0</v>
      </c>
      <c r="K462" s="15">
        <v>38244.46</v>
      </c>
      <c r="L462" s="15">
        <f t="shared" si="35"/>
        <v>-38244.46</v>
      </c>
      <c r="M462" t="s">
        <v>209</v>
      </c>
      <c r="N462" t="s">
        <v>1099</v>
      </c>
      <c r="O462" t="s">
        <v>211</v>
      </c>
      <c r="P462" t="s">
        <v>140</v>
      </c>
      <c r="Q462" t="s">
        <v>128</v>
      </c>
      <c r="R462" s="16">
        <v>45787.65625</v>
      </c>
      <c r="S462" t="s">
        <v>130</v>
      </c>
      <c r="T462" t="s">
        <v>705</v>
      </c>
      <c r="U462" t="s">
        <v>1099</v>
      </c>
      <c r="V462" t="b">
        <f t="shared" si="36"/>
        <v>0</v>
      </c>
      <c r="W462" t="b">
        <f>AND(OR(WEEKDAY(C462,2)=5,WEEKDAY(C462,2)=6),'01_Parameters'!$C$11="Enabled")</f>
        <v>1</v>
      </c>
      <c r="X462" t="b">
        <f t="shared" si="37"/>
        <v>0</v>
      </c>
      <c r="Y462" t="b">
        <f t="shared" si="38"/>
        <v>0</v>
      </c>
      <c r="Z462" t="b">
        <f t="shared" si="39"/>
        <v>0</v>
      </c>
    </row>
    <row r="463" spans="1:26" ht="15" customHeight="1">
      <c r="A463" t="s">
        <v>1101</v>
      </c>
      <c r="B463" t="s">
        <v>1102</v>
      </c>
      <c r="C463" s="14">
        <v>45871</v>
      </c>
      <c r="D463" s="14">
        <v>45866</v>
      </c>
      <c r="E463">
        <v>2025</v>
      </c>
      <c r="F463">
        <v>8</v>
      </c>
      <c r="G463" t="s">
        <v>179</v>
      </c>
      <c r="H463" t="s">
        <v>180</v>
      </c>
      <c r="I463" t="s">
        <v>124</v>
      </c>
      <c r="J463" s="15">
        <v>63278.48</v>
      </c>
      <c r="K463" s="15">
        <v>0</v>
      </c>
      <c r="L463" s="15">
        <f t="shared" si="35"/>
        <v>63278.48</v>
      </c>
      <c r="M463" t="s">
        <v>181</v>
      </c>
      <c r="N463" t="s">
        <v>1103</v>
      </c>
      <c r="O463" t="s">
        <v>183</v>
      </c>
      <c r="P463" t="s">
        <v>140</v>
      </c>
      <c r="Q463" t="s">
        <v>128</v>
      </c>
      <c r="R463" s="16">
        <v>45871.375</v>
      </c>
      <c r="S463" t="s">
        <v>130</v>
      </c>
      <c r="V463" t="b">
        <f t="shared" si="36"/>
        <v>0</v>
      </c>
      <c r="W463" t="b">
        <f>AND(OR(WEEKDAY(C463,2)=5,WEEKDAY(C463,2)=6),'01_Parameters'!$C$11="Enabled")</f>
        <v>1</v>
      </c>
      <c r="X463" t="b">
        <f t="shared" si="37"/>
        <v>0</v>
      </c>
      <c r="Y463" t="b">
        <f t="shared" si="38"/>
        <v>0</v>
      </c>
      <c r="Z463" t="b">
        <f t="shared" si="39"/>
        <v>0</v>
      </c>
    </row>
    <row r="464" spans="1:26" ht="15" customHeight="1">
      <c r="A464" t="s">
        <v>1101</v>
      </c>
      <c r="B464" t="s">
        <v>1104</v>
      </c>
      <c r="C464" s="14">
        <v>45871</v>
      </c>
      <c r="D464" s="14">
        <v>45866</v>
      </c>
      <c r="E464">
        <v>2025</v>
      </c>
      <c r="F464">
        <v>8</v>
      </c>
      <c r="G464" t="s">
        <v>185</v>
      </c>
      <c r="H464" t="s">
        <v>186</v>
      </c>
      <c r="I464" t="s">
        <v>134</v>
      </c>
      <c r="J464" s="15">
        <v>0</v>
      </c>
      <c r="K464" s="15">
        <v>63278.48</v>
      </c>
      <c r="L464" s="15">
        <f t="shared" si="35"/>
        <v>-63278.48</v>
      </c>
      <c r="M464" t="s">
        <v>181</v>
      </c>
      <c r="N464" t="s">
        <v>1103</v>
      </c>
      <c r="O464" t="s">
        <v>183</v>
      </c>
      <c r="P464" t="s">
        <v>140</v>
      </c>
      <c r="Q464" t="s">
        <v>128</v>
      </c>
      <c r="R464" s="16">
        <v>45871.375</v>
      </c>
      <c r="S464" t="s">
        <v>130</v>
      </c>
      <c r="V464" t="b">
        <f t="shared" si="36"/>
        <v>0</v>
      </c>
      <c r="W464" t="b">
        <f>AND(OR(WEEKDAY(C464,2)=5,WEEKDAY(C464,2)=6),'01_Parameters'!$C$11="Enabled")</f>
        <v>1</v>
      </c>
      <c r="X464" t="b">
        <f t="shared" si="37"/>
        <v>0</v>
      </c>
      <c r="Y464" t="b">
        <f t="shared" si="38"/>
        <v>0</v>
      </c>
      <c r="Z464" t="b">
        <f t="shared" si="39"/>
        <v>0</v>
      </c>
    </row>
    <row r="465" spans="1:26" ht="15" customHeight="1">
      <c r="A465" t="s">
        <v>1105</v>
      </c>
      <c r="B465" t="s">
        <v>1106</v>
      </c>
      <c r="C465" s="14">
        <v>45910</v>
      </c>
      <c r="D465" s="14">
        <v>45906</v>
      </c>
      <c r="E465">
        <v>2025</v>
      </c>
      <c r="F465">
        <v>9</v>
      </c>
      <c r="G465" t="s">
        <v>122</v>
      </c>
      <c r="H465" t="s">
        <v>123</v>
      </c>
      <c r="I465" t="s">
        <v>124</v>
      </c>
      <c r="J465" s="15">
        <v>148067.51999999999</v>
      </c>
      <c r="K465" s="15">
        <v>0</v>
      </c>
      <c r="L465" s="15">
        <f t="shared" si="35"/>
        <v>148067.51999999999</v>
      </c>
      <c r="M465" t="s">
        <v>125</v>
      </c>
      <c r="N465" t="s">
        <v>1107</v>
      </c>
      <c r="O465" t="s">
        <v>127</v>
      </c>
      <c r="P465" t="s">
        <v>140</v>
      </c>
      <c r="Q465" t="s">
        <v>151</v>
      </c>
      <c r="R465" s="16">
        <v>45910.708333333299</v>
      </c>
      <c r="S465" t="s">
        <v>130</v>
      </c>
      <c r="V465" t="b">
        <f t="shared" si="36"/>
        <v>0</v>
      </c>
      <c r="W465" t="b">
        <f>AND(OR(WEEKDAY(C465,2)=5,WEEKDAY(C465,2)=6),'01_Parameters'!$C$11="Enabled")</f>
        <v>0</v>
      </c>
      <c r="X465" t="b">
        <f t="shared" si="37"/>
        <v>0</v>
      </c>
      <c r="Y465" t="b">
        <f t="shared" si="38"/>
        <v>1</v>
      </c>
      <c r="Z465" t="b">
        <f t="shared" si="39"/>
        <v>0</v>
      </c>
    </row>
    <row r="466" spans="1:26" ht="15" customHeight="1">
      <c r="A466" t="s">
        <v>1105</v>
      </c>
      <c r="B466" t="s">
        <v>1108</v>
      </c>
      <c r="C466" s="14">
        <v>45910</v>
      </c>
      <c r="D466" s="14">
        <v>45906</v>
      </c>
      <c r="E466">
        <v>2025</v>
      </c>
      <c r="F466">
        <v>9</v>
      </c>
      <c r="G466" t="s">
        <v>132</v>
      </c>
      <c r="H466" t="s">
        <v>133</v>
      </c>
      <c r="I466" t="s">
        <v>134</v>
      </c>
      <c r="J466" s="15">
        <v>0</v>
      </c>
      <c r="K466" s="15">
        <v>148067.51999999999</v>
      </c>
      <c r="L466" s="15">
        <f t="shared" si="35"/>
        <v>-148067.51999999999</v>
      </c>
      <c r="M466" t="s">
        <v>125</v>
      </c>
      <c r="N466" t="s">
        <v>1107</v>
      </c>
      <c r="O466" t="s">
        <v>127</v>
      </c>
      <c r="P466" t="s">
        <v>140</v>
      </c>
      <c r="Q466" t="s">
        <v>151</v>
      </c>
      <c r="R466" s="16">
        <v>45910.708333333299</v>
      </c>
      <c r="S466" t="s">
        <v>130</v>
      </c>
      <c r="V466" t="b">
        <f t="shared" si="36"/>
        <v>0</v>
      </c>
      <c r="W466" t="b">
        <f>AND(OR(WEEKDAY(C466,2)=5,WEEKDAY(C466,2)=6),'01_Parameters'!$C$11="Enabled")</f>
        <v>0</v>
      </c>
      <c r="X466" t="b">
        <f t="shared" si="37"/>
        <v>0</v>
      </c>
      <c r="Y466" t="b">
        <f t="shared" si="38"/>
        <v>1</v>
      </c>
      <c r="Z466" t="b">
        <f t="shared" si="39"/>
        <v>0</v>
      </c>
    </row>
    <row r="467" spans="1:26" ht="15" customHeight="1">
      <c r="A467" t="s">
        <v>1109</v>
      </c>
      <c r="B467" t="s">
        <v>1110</v>
      </c>
      <c r="C467" s="14">
        <v>45825</v>
      </c>
      <c r="D467" s="14">
        <v>45824</v>
      </c>
      <c r="E467">
        <v>2025</v>
      </c>
      <c r="F467">
        <v>6</v>
      </c>
      <c r="G467" t="s">
        <v>158</v>
      </c>
      <c r="H467" t="s">
        <v>159</v>
      </c>
      <c r="I467" t="s">
        <v>124</v>
      </c>
      <c r="J467" s="15">
        <v>12042.91</v>
      </c>
      <c r="K467" s="15">
        <v>0</v>
      </c>
      <c r="L467" s="15">
        <f t="shared" si="35"/>
        <v>12042.91</v>
      </c>
      <c r="M467" t="s">
        <v>160</v>
      </c>
      <c r="N467" t="s">
        <v>1111</v>
      </c>
      <c r="O467" t="s">
        <v>162</v>
      </c>
      <c r="P467" t="s">
        <v>129</v>
      </c>
      <c r="Q467" t="s">
        <v>128</v>
      </c>
      <c r="R467" s="16">
        <v>45825.65625</v>
      </c>
      <c r="S467" t="s">
        <v>130</v>
      </c>
      <c r="V467" t="b">
        <f t="shared" si="36"/>
        <v>0</v>
      </c>
      <c r="W467" t="b">
        <f>AND(OR(WEEKDAY(C467,2)=5,WEEKDAY(C467,2)=6),'01_Parameters'!$C$11="Enabled")</f>
        <v>0</v>
      </c>
      <c r="X467" t="b">
        <f t="shared" si="37"/>
        <v>0</v>
      </c>
      <c r="Y467" t="b">
        <f t="shared" si="38"/>
        <v>0</v>
      </c>
      <c r="Z467" t="b">
        <f t="shared" si="39"/>
        <v>0</v>
      </c>
    </row>
    <row r="468" spans="1:26" ht="15" customHeight="1">
      <c r="A468" t="s">
        <v>1109</v>
      </c>
      <c r="B468" t="s">
        <v>1112</v>
      </c>
      <c r="C468" s="14">
        <v>45825</v>
      </c>
      <c r="D468" s="14">
        <v>45824</v>
      </c>
      <c r="E468">
        <v>2025</v>
      </c>
      <c r="F468">
        <v>6</v>
      </c>
      <c r="G468" t="s">
        <v>164</v>
      </c>
      <c r="H468" t="s">
        <v>165</v>
      </c>
      <c r="I468" t="s">
        <v>146</v>
      </c>
      <c r="J468" s="15">
        <v>0</v>
      </c>
      <c r="K468" s="15">
        <v>12042.91</v>
      </c>
      <c r="L468" s="15">
        <f t="shared" si="35"/>
        <v>-12042.91</v>
      </c>
      <c r="M468" t="s">
        <v>160</v>
      </c>
      <c r="N468" t="s">
        <v>1111</v>
      </c>
      <c r="O468" t="s">
        <v>162</v>
      </c>
      <c r="P468" t="s">
        <v>129</v>
      </c>
      <c r="Q468" t="s">
        <v>128</v>
      </c>
      <c r="R468" s="16">
        <v>45825.65625</v>
      </c>
      <c r="S468" t="s">
        <v>130</v>
      </c>
      <c r="V468" t="b">
        <f t="shared" si="36"/>
        <v>0</v>
      </c>
      <c r="W468" t="b">
        <f>AND(OR(WEEKDAY(C468,2)=5,WEEKDAY(C468,2)=6),'01_Parameters'!$C$11="Enabled")</f>
        <v>0</v>
      </c>
      <c r="X468" t="b">
        <f t="shared" si="37"/>
        <v>0</v>
      </c>
      <c r="Y468" t="b">
        <f t="shared" si="38"/>
        <v>0</v>
      </c>
      <c r="Z468" t="b">
        <f t="shared" si="39"/>
        <v>0</v>
      </c>
    </row>
    <row r="469" spans="1:26" ht="15" customHeight="1">
      <c r="A469" t="s">
        <v>1113</v>
      </c>
      <c r="B469" t="s">
        <v>1114</v>
      </c>
      <c r="C469" s="14">
        <v>45718</v>
      </c>
      <c r="D469" s="14">
        <v>45718</v>
      </c>
      <c r="E469">
        <v>2025</v>
      </c>
      <c r="F469">
        <v>3</v>
      </c>
      <c r="G469" t="s">
        <v>179</v>
      </c>
      <c r="H469" t="s">
        <v>180</v>
      </c>
      <c r="I469" t="s">
        <v>124</v>
      </c>
      <c r="J469" s="15">
        <v>25891.55</v>
      </c>
      <c r="K469" s="15">
        <v>0</v>
      </c>
      <c r="L469" s="15">
        <f t="shared" si="35"/>
        <v>25891.55</v>
      </c>
      <c r="M469" t="s">
        <v>181</v>
      </c>
      <c r="N469" t="s">
        <v>1115</v>
      </c>
      <c r="O469" t="s">
        <v>183</v>
      </c>
      <c r="P469" t="s">
        <v>175</v>
      </c>
      <c r="Q469" t="s">
        <v>151</v>
      </c>
      <c r="R469" s="16">
        <v>45718.291666666701</v>
      </c>
      <c r="S469" t="s">
        <v>130</v>
      </c>
      <c r="V469" t="b">
        <f t="shared" si="36"/>
        <v>0</v>
      </c>
      <c r="W469" t="b">
        <f>AND(OR(WEEKDAY(C469,2)=5,WEEKDAY(C469,2)=6),'01_Parameters'!$C$11="Enabled")</f>
        <v>0</v>
      </c>
      <c r="X469" t="b">
        <f t="shared" si="37"/>
        <v>1</v>
      </c>
      <c r="Y469" t="b">
        <f t="shared" si="38"/>
        <v>0</v>
      </c>
      <c r="Z469" t="b">
        <f t="shared" si="39"/>
        <v>0</v>
      </c>
    </row>
    <row r="470" spans="1:26" ht="15" customHeight="1">
      <c r="A470" t="s">
        <v>1113</v>
      </c>
      <c r="B470" t="s">
        <v>1116</v>
      </c>
      <c r="C470" s="14">
        <v>45718</v>
      </c>
      <c r="D470" s="14">
        <v>45718</v>
      </c>
      <c r="E470">
        <v>2025</v>
      </c>
      <c r="F470">
        <v>3</v>
      </c>
      <c r="G470" t="s">
        <v>185</v>
      </c>
      <c r="H470" t="s">
        <v>186</v>
      </c>
      <c r="I470" t="s">
        <v>134</v>
      </c>
      <c r="J470" s="15">
        <v>0</v>
      </c>
      <c r="K470" s="15">
        <v>25891.55</v>
      </c>
      <c r="L470" s="15">
        <f t="shared" si="35"/>
        <v>-25891.55</v>
      </c>
      <c r="M470" t="s">
        <v>181</v>
      </c>
      <c r="N470" t="s">
        <v>1115</v>
      </c>
      <c r="O470" t="s">
        <v>183</v>
      </c>
      <c r="P470" t="s">
        <v>175</v>
      </c>
      <c r="Q470" t="s">
        <v>151</v>
      </c>
      <c r="R470" s="16">
        <v>45718.291666666701</v>
      </c>
      <c r="S470" t="s">
        <v>130</v>
      </c>
      <c r="V470" t="b">
        <f t="shared" si="36"/>
        <v>0</v>
      </c>
      <c r="W470" t="b">
        <f>AND(OR(WEEKDAY(C470,2)=5,WEEKDAY(C470,2)=6),'01_Parameters'!$C$11="Enabled")</f>
        <v>0</v>
      </c>
      <c r="X470" t="b">
        <f t="shared" si="37"/>
        <v>1</v>
      </c>
      <c r="Y470" t="b">
        <f t="shared" si="38"/>
        <v>0</v>
      </c>
      <c r="Z470" t="b">
        <f t="shared" si="39"/>
        <v>0</v>
      </c>
    </row>
    <row r="471" spans="1:26" ht="15" customHeight="1">
      <c r="A471" t="s">
        <v>1117</v>
      </c>
      <c r="B471" t="s">
        <v>1118</v>
      </c>
      <c r="C471" s="14">
        <v>45690</v>
      </c>
      <c r="D471" s="14">
        <v>45688</v>
      </c>
      <c r="E471">
        <v>2025</v>
      </c>
      <c r="F471">
        <v>2</v>
      </c>
      <c r="G471" t="s">
        <v>158</v>
      </c>
      <c r="H471" t="s">
        <v>159</v>
      </c>
      <c r="I471" t="s">
        <v>124</v>
      </c>
      <c r="J471" s="15">
        <v>74149.73</v>
      </c>
      <c r="K471" s="15">
        <v>0</v>
      </c>
      <c r="L471" s="15">
        <f t="shared" si="35"/>
        <v>74149.73</v>
      </c>
      <c r="M471" t="s">
        <v>160</v>
      </c>
      <c r="N471" t="s">
        <v>1119</v>
      </c>
      <c r="O471" t="s">
        <v>162</v>
      </c>
      <c r="P471" t="s">
        <v>151</v>
      </c>
      <c r="Q471" t="s">
        <v>175</v>
      </c>
      <c r="R471" s="16">
        <v>45690.739583333299</v>
      </c>
      <c r="S471" t="s">
        <v>130</v>
      </c>
      <c r="V471" t="b">
        <f t="shared" si="36"/>
        <v>0</v>
      </c>
      <c r="W471" t="b">
        <f>AND(OR(WEEKDAY(C471,2)=5,WEEKDAY(C471,2)=6),'01_Parameters'!$C$11="Enabled")</f>
        <v>0</v>
      </c>
      <c r="X471" t="b">
        <f t="shared" si="37"/>
        <v>0</v>
      </c>
      <c r="Y471" t="b">
        <f t="shared" si="38"/>
        <v>0</v>
      </c>
      <c r="Z471" t="b">
        <f t="shared" si="39"/>
        <v>0</v>
      </c>
    </row>
    <row r="472" spans="1:26" ht="15" customHeight="1">
      <c r="A472" t="s">
        <v>1117</v>
      </c>
      <c r="B472" t="s">
        <v>1120</v>
      </c>
      <c r="C472" s="14">
        <v>45690</v>
      </c>
      <c r="D472" s="14">
        <v>45688</v>
      </c>
      <c r="E472">
        <v>2025</v>
      </c>
      <c r="F472">
        <v>2</v>
      </c>
      <c r="G472" t="s">
        <v>164</v>
      </c>
      <c r="H472" t="s">
        <v>165</v>
      </c>
      <c r="I472" t="s">
        <v>146</v>
      </c>
      <c r="J472" s="15">
        <v>0</v>
      </c>
      <c r="K472" s="15">
        <v>74149.73</v>
      </c>
      <c r="L472" s="15">
        <f t="shared" si="35"/>
        <v>-74149.73</v>
      </c>
      <c r="M472" t="s">
        <v>160</v>
      </c>
      <c r="N472" t="s">
        <v>1119</v>
      </c>
      <c r="O472" t="s">
        <v>162</v>
      </c>
      <c r="P472" t="s">
        <v>151</v>
      </c>
      <c r="Q472" t="s">
        <v>175</v>
      </c>
      <c r="R472" s="16">
        <v>45690.739583333299</v>
      </c>
      <c r="S472" t="s">
        <v>130</v>
      </c>
      <c r="V472" t="b">
        <f t="shared" si="36"/>
        <v>0</v>
      </c>
      <c r="W472" t="b">
        <f>AND(OR(WEEKDAY(C472,2)=5,WEEKDAY(C472,2)=6),'01_Parameters'!$C$11="Enabled")</f>
        <v>0</v>
      </c>
      <c r="X472" t="b">
        <f t="shared" si="37"/>
        <v>0</v>
      </c>
      <c r="Y472" t="b">
        <f t="shared" si="38"/>
        <v>0</v>
      </c>
      <c r="Z472" t="b">
        <f t="shared" si="39"/>
        <v>0</v>
      </c>
    </row>
    <row r="473" spans="1:26" ht="15" customHeight="1">
      <c r="A473" t="s">
        <v>1121</v>
      </c>
      <c r="B473" t="s">
        <v>1122</v>
      </c>
      <c r="C473" s="14">
        <v>46016</v>
      </c>
      <c r="D473" s="14">
        <v>46015</v>
      </c>
      <c r="E473">
        <v>2025</v>
      </c>
      <c r="F473">
        <v>12</v>
      </c>
      <c r="G473" t="s">
        <v>158</v>
      </c>
      <c r="H473" t="s">
        <v>159</v>
      </c>
      <c r="I473" t="s">
        <v>124</v>
      </c>
      <c r="J473" s="15">
        <v>25438.04</v>
      </c>
      <c r="K473" s="15">
        <v>0</v>
      </c>
      <c r="L473" s="15">
        <f t="shared" si="35"/>
        <v>25438.04</v>
      </c>
      <c r="M473" t="s">
        <v>160</v>
      </c>
      <c r="N473" t="s">
        <v>1123</v>
      </c>
      <c r="O473" t="s">
        <v>162</v>
      </c>
      <c r="P473" t="s">
        <v>151</v>
      </c>
      <c r="Q473" t="s">
        <v>128</v>
      </c>
      <c r="R473" s="16">
        <v>46016.75</v>
      </c>
      <c r="S473" t="s">
        <v>130</v>
      </c>
      <c r="V473" t="b">
        <f t="shared" si="36"/>
        <v>1</v>
      </c>
      <c r="W473" t="b">
        <f>AND(OR(WEEKDAY(C473,2)=5,WEEKDAY(C473,2)=6),'01_Parameters'!$C$11="Enabled")</f>
        <v>0</v>
      </c>
      <c r="X473" t="b">
        <f t="shared" si="37"/>
        <v>1</v>
      </c>
      <c r="Y473" t="b">
        <f t="shared" si="38"/>
        <v>0</v>
      </c>
      <c r="Z473" t="b">
        <f t="shared" si="39"/>
        <v>0</v>
      </c>
    </row>
    <row r="474" spans="1:26" ht="15" customHeight="1">
      <c r="A474" t="s">
        <v>1121</v>
      </c>
      <c r="B474" t="s">
        <v>1124</v>
      </c>
      <c r="C474" s="14">
        <v>46016</v>
      </c>
      <c r="D474" s="14">
        <v>46015</v>
      </c>
      <c r="E474">
        <v>2025</v>
      </c>
      <c r="F474">
        <v>12</v>
      </c>
      <c r="G474" t="s">
        <v>164</v>
      </c>
      <c r="H474" t="s">
        <v>165</v>
      </c>
      <c r="I474" t="s">
        <v>146</v>
      </c>
      <c r="J474" s="15">
        <v>0</v>
      </c>
      <c r="K474" s="15">
        <v>25438.04</v>
      </c>
      <c r="L474" s="15">
        <f t="shared" si="35"/>
        <v>-25438.04</v>
      </c>
      <c r="M474" t="s">
        <v>160</v>
      </c>
      <c r="N474" t="s">
        <v>1123</v>
      </c>
      <c r="O474" t="s">
        <v>162</v>
      </c>
      <c r="P474" t="s">
        <v>151</v>
      </c>
      <c r="Q474" t="s">
        <v>128</v>
      </c>
      <c r="R474" s="16">
        <v>46016.75</v>
      </c>
      <c r="S474" t="s">
        <v>130</v>
      </c>
      <c r="V474" t="b">
        <f t="shared" si="36"/>
        <v>1</v>
      </c>
      <c r="W474" t="b">
        <f>AND(OR(WEEKDAY(C474,2)=5,WEEKDAY(C474,2)=6),'01_Parameters'!$C$11="Enabled")</f>
        <v>0</v>
      </c>
      <c r="X474" t="b">
        <f t="shared" si="37"/>
        <v>1</v>
      </c>
      <c r="Y474" t="b">
        <f t="shared" si="38"/>
        <v>0</v>
      </c>
      <c r="Z474" t="b">
        <f t="shared" si="39"/>
        <v>0</v>
      </c>
    </row>
    <row r="475" spans="1:26" ht="15" customHeight="1">
      <c r="A475" t="s">
        <v>1125</v>
      </c>
      <c r="B475" t="s">
        <v>1126</v>
      </c>
      <c r="C475" s="14">
        <v>45882</v>
      </c>
      <c r="D475" s="14">
        <v>45880</v>
      </c>
      <c r="E475">
        <v>2025</v>
      </c>
      <c r="F475">
        <v>8</v>
      </c>
      <c r="G475" t="s">
        <v>137</v>
      </c>
      <c r="H475" t="s">
        <v>138</v>
      </c>
      <c r="I475" t="s">
        <v>124</v>
      </c>
      <c r="J475" s="15">
        <v>42613.04</v>
      </c>
      <c r="K475" s="15">
        <v>0</v>
      </c>
      <c r="L475" s="15">
        <f t="shared" si="35"/>
        <v>42613.04</v>
      </c>
      <c r="M475" t="s">
        <v>125</v>
      </c>
      <c r="N475" t="s">
        <v>1127</v>
      </c>
      <c r="O475" t="s">
        <v>127</v>
      </c>
      <c r="P475" t="s">
        <v>150</v>
      </c>
      <c r="Q475" t="s">
        <v>151</v>
      </c>
      <c r="R475" s="16">
        <v>45882.541666666701</v>
      </c>
      <c r="S475" t="s">
        <v>130</v>
      </c>
      <c r="V475" t="b">
        <f t="shared" si="36"/>
        <v>0</v>
      </c>
      <c r="W475" t="b">
        <f>AND(OR(WEEKDAY(C475,2)=5,WEEKDAY(C475,2)=6),'01_Parameters'!$C$11="Enabled")</f>
        <v>0</v>
      </c>
      <c r="X475" t="b">
        <f t="shared" si="37"/>
        <v>0</v>
      </c>
      <c r="Y475" t="b">
        <f t="shared" si="38"/>
        <v>0</v>
      </c>
      <c r="Z475" t="b">
        <f t="shared" si="39"/>
        <v>0</v>
      </c>
    </row>
    <row r="476" spans="1:26" ht="15" customHeight="1">
      <c r="A476" t="s">
        <v>1125</v>
      </c>
      <c r="B476" t="s">
        <v>1128</v>
      </c>
      <c r="C476" s="14">
        <v>45882</v>
      </c>
      <c r="D476" s="14">
        <v>45880</v>
      </c>
      <c r="E476">
        <v>2025</v>
      </c>
      <c r="F476">
        <v>8</v>
      </c>
      <c r="G476" t="s">
        <v>132</v>
      </c>
      <c r="H476" t="s">
        <v>133</v>
      </c>
      <c r="I476" t="s">
        <v>134</v>
      </c>
      <c r="J476" s="15">
        <v>0</v>
      </c>
      <c r="K476" s="15">
        <v>42613.04</v>
      </c>
      <c r="L476" s="15">
        <f t="shared" si="35"/>
        <v>-42613.04</v>
      </c>
      <c r="M476" t="s">
        <v>125</v>
      </c>
      <c r="N476" t="s">
        <v>1127</v>
      </c>
      <c r="O476" t="s">
        <v>127</v>
      </c>
      <c r="P476" t="s">
        <v>150</v>
      </c>
      <c r="Q476" t="s">
        <v>151</v>
      </c>
      <c r="R476" s="16">
        <v>45882.541666666701</v>
      </c>
      <c r="S476" t="s">
        <v>130</v>
      </c>
      <c r="V476" t="b">
        <f t="shared" si="36"/>
        <v>0</v>
      </c>
      <c r="W476" t="b">
        <f>AND(OR(WEEKDAY(C476,2)=5,WEEKDAY(C476,2)=6),'01_Parameters'!$C$11="Enabled")</f>
        <v>0</v>
      </c>
      <c r="X476" t="b">
        <f t="shared" si="37"/>
        <v>0</v>
      </c>
      <c r="Y476" t="b">
        <f t="shared" si="38"/>
        <v>0</v>
      </c>
      <c r="Z476" t="b">
        <f t="shared" si="39"/>
        <v>0</v>
      </c>
    </row>
    <row r="477" spans="1:26" ht="15" customHeight="1">
      <c r="A477" t="s">
        <v>1129</v>
      </c>
      <c r="B477" t="s">
        <v>1130</v>
      </c>
      <c r="C477" s="14">
        <v>45695</v>
      </c>
      <c r="D477" s="14">
        <v>45693</v>
      </c>
      <c r="E477">
        <v>2025</v>
      </c>
      <c r="F477">
        <v>2</v>
      </c>
      <c r="G477" t="s">
        <v>179</v>
      </c>
      <c r="H477" t="s">
        <v>180</v>
      </c>
      <c r="I477" t="s">
        <v>124</v>
      </c>
      <c r="J477" s="15">
        <v>27526.240000000002</v>
      </c>
      <c r="K477" s="15">
        <v>0</v>
      </c>
      <c r="L477" s="15">
        <f t="shared" si="35"/>
        <v>27526.240000000002</v>
      </c>
      <c r="M477" t="s">
        <v>181</v>
      </c>
      <c r="N477" t="s">
        <v>1131</v>
      </c>
      <c r="O477" t="s">
        <v>183</v>
      </c>
      <c r="P477" t="s">
        <v>175</v>
      </c>
      <c r="Q477" t="s">
        <v>151</v>
      </c>
      <c r="R477" s="16">
        <v>45695.666666666701</v>
      </c>
      <c r="S477" t="s">
        <v>130</v>
      </c>
      <c r="V477" t="b">
        <f t="shared" si="36"/>
        <v>0</v>
      </c>
      <c r="W477" t="b">
        <f>AND(OR(WEEKDAY(C477,2)=5,WEEKDAY(C477,2)=6),'01_Parameters'!$C$11="Enabled")</f>
        <v>1</v>
      </c>
      <c r="X477" t="b">
        <f t="shared" si="37"/>
        <v>0</v>
      </c>
      <c r="Y477" t="b">
        <f t="shared" si="38"/>
        <v>0</v>
      </c>
      <c r="Z477" t="b">
        <f t="shared" si="39"/>
        <v>0</v>
      </c>
    </row>
    <row r="478" spans="1:26" ht="15" customHeight="1">
      <c r="A478" t="s">
        <v>1129</v>
      </c>
      <c r="B478" t="s">
        <v>1132</v>
      </c>
      <c r="C478" s="14">
        <v>45695</v>
      </c>
      <c r="D478" s="14">
        <v>45693</v>
      </c>
      <c r="E478">
        <v>2025</v>
      </c>
      <c r="F478">
        <v>2</v>
      </c>
      <c r="G478" t="s">
        <v>185</v>
      </c>
      <c r="H478" t="s">
        <v>186</v>
      </c>
      <c r="I478" t="s">
        <v>134</v>
      </c>
      <c r="J478" s="15">
        <v>0</v>
      </c>
      <c r="K478" s="15">
        <v>27526.240000000002</v>
      </c>
      <c r="L478" s="15">
        <f t="shared" si="35"/>
        <v>-27526.240000000002</v>
      </c>
      <c r="M478" t="s">
        <v>181</v>
      </c>
      <c r="N478" t="s">
        <v>1131</v>
      </c>
      <c r="O478" t="s">
        <v>183</v>
      </c>
      <c r="P478" t="s">
        <v>175</v>
      </c>
      <c r="Q478" t="s">
        <v>151</v>
      </c>
      <c r="R478" s="16">
        <v>45695.666666666701</v>
      </c>
      <c r="S478" t="s">
        <v>130</v>
      </c>
      <c r="V478" t="b">
        <f t="shared" si="36"/>
        <v>0</v>
      </c>
      <c r="W478" t="b">
        <f>AND(OR(WEEKDAY(C478,2)=5,WEEKDAY(C478,2)=6),'01_Parameters'!$C$11="Enabled")</f>
        <v>1</v>
      </c>
      <c r="X478" t="b">
        <f t="shared" si="37"/>
        <v>0</v>
      </c>
      <c r="Y478" t="b">
        <f t="shared" si="38"/>
        <v>0</v>
      </c>
      <c r="Z478" t="b">
        <f t="shared" si="39"/>
        <v>0</v>
      </c>
    </row>
    <row r="479" spans="1:26" ht="15" customHeight="1">
      <c r="A479" t="s">
        <v>1133</v>
      </c>
      <c r="B479" t="s">
        <v>1134</v>
      </c>
      <c r="C479" s="14">
        <v>45751</v>
      </c>
      <c r="D479" s="14">
        <v>45750</v>
      </c>
      <c r="E479">
        <v>2025</v>
      </c>
      <c r="F479">
        <v>4</v>
      </c>
      <c r="G479" t="s">
        <v>158</v>
      </c>
      <c r="H479" t="s">
        <v>159</v>
      </c>
      <c r="I479" t="s">
        <v>124</v>
      </c>
      <c r="J479" s="15">
        <v>25507.98</v>
      </c>
      <c r="K479" s="15">
        <v>0</v>
      </c>
      <c r="L479" s="15">
        <f t="shared" si="35"/>
        <v>25507.98</v>
      </c>
      <c r="M479" t="s">
        <v>160</v>
      </c>
      <c r="N479" t="s">
        <v>1135</v>
      </c>
      <c r="O479" t="s">
        <v>162</v>
      </c>
      <c r="P479" t="s">
        <v>128</v>
      </c>
      <c r="Q479" t="s">
        <v>150</v>
      </c>
      <c r="R479" s="16">
        <v>45751.645833333299</v>
      </c>
      <c r="S479" t="s">
        <v>130</v>
      </c>
      <c r="V479" t="b">
        <f t="shared" si="36"/>
        <v>0</v>
      </c>
      <c r="W479" t="b">
        <f>AND(OR(WEEKDAY(C479,2)=5,WEEKDAY(C479,2)=6),'01_Parameters'!$C$11="Enabled")</f>
        <v>1</v>
      </c>
      <c r="X479" t="b">
        <f t="shared" si="37"/>
        <v>0</v>
      </c>
      <c r="Y479" t="b">
        <f t="shared" si="38"/>
        <v>0</v>
      </c>
      <c r="Z479" t="b">
        <f t="shared" si="39"/>
        <v>0</v>
      </c>
    </row>
    <row r="480" spans="1:26" ht="15" customHeight="1">
      <c r="A480" t="s">
        <v>1133</v>
      </c>
      <c r="B480" t="s">
        <v>1136</v>
      </c>
      <c r="C480" s="14">
        <v>45751</v>
      </c>
      <c r="D480" s="14">
        <v>45750</v>
      </c>
      <c r="E480">
        <v>2025</v>
      </c>
      <c r="F480">
        <v>4</v>
      </c>
      <c r="G480" t="s">
        <v>164</v>
      </c>
      <c r="H480" t="s">
        <v>165</v>
      </c>
      <c r="I480" t="s">
        <v>146</v>
      </c>
      <c r="J480" s="15">
        <v>0</v>
      </c>
      <c r="K480" s="15">
        <v>25507.98</v>
      </c>
      <c r="L480" s="15">
        <f t="shared" si="35"/>
        <v>-25507.98</v>
      </c>
      <c r="M480" t="s">
        <v>160</v>
      </c>
      <c r="N480" t="s">
        <v>1135</v>
      </c>
      <c r="O480" t="s">
        <v>162</v>
      </c>
      <c r="P480" t="s">
        <v>128</v>
      </c>
      <c r="Q480" t="s">
        <v>150</v>
      </c>
      <c r="R480" s="16">
        <v>45751.645833333299</v>
      </c>
      <c r="S480" t="s">
        <v>130</v>
      </c>
      <c r="V480" t="b">
        <f t="shared" si="36"/>
        <v>0</v>
      </c>
      <c r="W480" t="b">
        <f>AND(OR(WEEKDAY(C480,2)=5,WEEKDAY(C480,2)=6),'01_Parameters'!$C$11="Enabled")</f>
        <v>1</v>
      </c>
      <c r="X480" t="b">
        <f t="shared" si="37"/>
        <v>0</v>
      </c>
      <c r="Y480" t="b">
        <f t="shared" si="38"/>
        <v>0</v>
      </c>
      <c r="Z480" t="b">
        <f t="shared" si="39"/>
        <v>0</v>
      </c>
    </row>
    <row r="481" spans="1:26" ht="15" customHeight="1">
      <c r="A481" t="s">
        <v>1137</v>
      </c>
      <c r="B481" t="s">
        <v>1138</v>
      </c>
      <c r="C481" s="14">
        <v>45972</v>
      </c>
      <c r="D481" s="14">
        <v>45970</v>
      </c>
      <c r="E481">
        <v>2025</v>
      </c>
      <c r="F481">
        <v>11</v>
      </c>
      <c r="G481" t="s">
        <v>158</v>
      </c>
      <c r="H481" t="s">
        <v>159</v>
      </c>
      <c r="I481" t="s">
        <v>124</v>
      </c>
      <c r="J481" s="15">
        <v>24412.37</v>
      </c>
      <c r="K481" s="15">
        <v>0</v>
      </c>
      <c r="L481" s="15">
        <f t="shared" si="35"/>
        <v>24412.37</v>
      </c>
      <c r="M481" t="s">
        <v>160</v>
      </c>
      <c r="N481" t="s">
        <v>1139</v>
      </c>
      <c r="O481" t="s">
        <v>162</v>
      </c>
      <c r="P481" t="s">
        <v>150</v>
      </c>
      <c r="Q481" t="s">
        <v>151</v>
      </c>
      <c r="R481" s="16">
        <v>45972.270833333299</v>
      </c>
      <c r="S481" t="s">
        <v>130</v>
      </c>
      <c r="V481" t="b">
        <f t="shared" si="36"/>
        <v>0</v>
      </c>
      <c r="W481" t="b">
        <f>AND(OR(WEEKDAY(C481,2)=5,WEEKDAY(C481,2)=6),'01_Parameters'!$C$11="Enabled")</f>
        <v>0</v>
      </c>
      <c r="X481" t="b">
        <f t="shared" si="37"/>
        <v>1</v>
      </c>
      <c r="Y481" t="b">
        <f t="shared" si="38"/>
        <v>0</v>
      </c>
      <c r="Z481" t="b">
        <f t="shared" si="39"/>
        <v>0</v>
      </c>
    </row>
    <row r="482" spans="1:26" ht="15" customHeight="1">
      <c r="A482" t="s">
        <v>1137</v>
      </c>
      <c r="B482" t="s">
        <v>1140</v>
      </c>
      <c r="C482" s="14">
        <v>45972</v>
      </c>
      <c r="D482" s="14">
        <v>45970</v>
      </c>
      <c r="E482">
        <v>2025</v>
      </c>
      <c r="F482">
        <v>11</v>
      </c>
      <c r="G482" t="s">
        <v>164</v>
      </c>
      <c r="H482" t="s">
        <v>165</v>
      </c>
      <c r="I482" t="s">
        <v>146</v>
      </c>
      <c r="J482" s="15">
        <v>0</v>
      </c>
      <c r="K482" s="15">
        <v>24412.37</v>
      </c>
      <c r="L482" s="15">
        <f t="shared" si="35"/>
        <v>-24412.37</v>
      </c>
      <c r="M482" t="s">
        <v>160</v>
      </c>
      <c r="N482" t="s">
        <v>1139</v>
      </c>
      <c r="O482" t="s">
        <v>162</v>
      </c>
      <c r="P482" t="s">
        <v>150</v>
      </c>
      <c r="Q482" t="s">
        <v>151</v>
      </c>
      <c r="R482" s="16">
        <v>45972.270833333299</v>
      </c>
      <c r="S482" t="s">
        <v>130</v>
      </c>
      <c r="V482" t="b">
        <f t="shared" si="36"/>
        <v>0</v>
      </c>
      <c r="W482" t="b">
        <f>AND(OR(WEEKDAY(C482,2)=5,WEEKDAY(C482,2)=6),'01_Parameters'!$C$11="Enabled")</f>
        <v>0</v>
      </c>
      <c r="X482" t="b">
        <f t="shared" si="37"/>
        <v>1</v>
      </c>
      <c r="Y482" t="b">
        <f t="shared" si="38"/>
        <v>0</v>
      </c>
      <c r="Z482" t="b">
        <f t="shared" si="39"/>
        <v>0</v>
      </c>
    </row>
    <row r="483" spans="1:26" ht="15" customHeight="1">
      <c r="A483" t="s">
        <v>1141</v>
      </c>
      <c r="B483" t="s">
        <v>1142</v>
      </c>
      <c r="C483" s="14">
        <v>45707</v>
      </c>
      <c r="D483" s="14">
        <v>45706</v>
      </c>
      <c r="E483">
        <v>2025</v>
      </c>
      <c r="F483">
        <v>2</v>
      </c>
      <c r="G483" t="s">
        <v>158</v>
      </c>
      <c r="H483" t="s">
        <v>159</v>
      </c>
      <c r="I483" t="s">
        <v>124</v>
      </c>
      <c r="J483" s="15">
        <v>82412.429999999993</v>
      </c>
      <c r="K483" s="15">
        <v>0</v>
      </c>
      <c r="L483" s="15">
        <f t="shared" si="35"/>
        <v>82412.429999999993</v>
      </c>
      <c r="M483" t="s">
        <v>160</v>
      </c>
      <c r="N483" t="s">
        <v>1143</v>
      </c>
      <c r="O483" t="s">
        <v>162</v>
      </c>
      <c r="P483" t="s">
        <v>140</v>
      </c>
      <c r="Q483" t="s">
        <v>128</v>
      </c>
      <c r="R483" s="16">
        <v>45707.770833333299</v>
      </c>
      <c r="S483" t="s">
        <v>130</v>
      </c>
      <c r="V483" t="b">
        <f t="shared" si="36"/>
        <v>0</v>
      </c>
      <c r="W483" t="b">
        <f>AND(OR(WEEKDAY(C483,2)=5,WEEKDAY(C483,2)=6),'01_Parameters'!$C$11="Enabled")</f>
        <v>0</v>
      </c>
      <c r="X483" t="b">
        <f t="shared" si="37"/>
        <v>1</v>
      </c>
      <c r="Y483" t="b">
        <f t="shared" si="38"/>
        <v>0</v>
      </c>
      <c r="Z483" t="b">
        <f t="shared" si="39"/>
        <v>0</v>
      </c>
    </row>
    <row r="484" spans="1:26" ht="15" customHeight="1">
      <c r="A484" t="s">
        <v>1141</v>
      </c>
      <c r="B484" t="s">
        <v>1144</v>
      </c>
      <c r="C484" s="14">
        <v>45707</v>
      </c>
      <c r="D484" s="14">
        <v>45706</v>
      </c>
      <c r="E484">
        <v>2025</v>
      </c>
      <c r="F484">
        <v>2</v>
      </c>
      <c r="G484" t="s">
        <v>164</v>
      </c>
      <c r="H484" t="s">
        <v>165</v>
      </c>
      <c r="I484" t="s">
        <v>146</v>
      </c>
      <c r="J484" s="15">
        <v>0</v>
      </c>
      <c r="K484" s="15">
        <v>82412.429999999993</v>
      </c>
      <c r="L484" s="15">
        <f t="shared" si="35"/>
        <v>-82412.429999999993</v>
      </c>
      <c r="M484" t="s">
        <v>160</v>
      </c>
      <c r="N484" t="s">
        <v>1143</v>
      </c>
      <c r="O484" t="s">
        <v>162</v>
      </c>
      <c r="P484" t="s">
        <v>140</v>
      </c>
      <c r="Q484" t="s">
        <v>128</v>
      </c>
      <c r="R484" s="16">
        <v>45707.770833333299</v>
      </c>
      <c r="S484" t="s">
        <v>130</v>
      </c>
      <c r="V484" t="b">
        <f t="shared" si="36"/>
        <v>0</v>
      </c>
      <c r="W484" t="b">
        <f>AND(OR(WEEKDAY(C484,2)=5,WEEKDAY(C484,2)=6),'01_Parameters'!$C$11="Enabled")</f>
        <v>0</v>
      </c>
      <c r="X484" t="b">
        <f t="shared" si="37"/>
        <v>1</v>
      </c>
      <c r="Y484" t="b">
        <f t="shared" si="38"/>
        <v>0</v>
      </c>
      <c r="Z484" t="b">
        <f t="shared" si="39"/>
        <v>0</v>
      </c>
    </row>
    <row r="485" spans="1:26" ht="15" customHeight="1">
      <c r="A485" t="s">
        <v>1145</v>
      </c>
      <c r="B485" t="s">
        <v>1146</v>
      </c>
      <c r="C485" s="14">
        <v>45773</v>
      </c>
      <c r="D485" s="14">
        <v>45771</v>
      </c>
      <c r="E485">
        <v>2025</v>
      </c>
      <c r="F485">
        <v>4</v>
      </c>
      <c r="G485" t="s">
        <v>144</v>
      </c>
      <c r="H485" t="s">
        <v>145</v>
      </c>
      <c r="I485" t="s">
        <v>146</v>
      </c>
      <c r="J485" s="15">
        <v>69098.91</v>
      </c>
      <c r="K485" s="15">
        <v>0</v>
      </c>
      <c r="L485" s="15">
        <f t="shared" si="35"/>
        <v>69098.91</v>
      </c>
      <c r="M485" t="s">
        <v>147</v>
      </c>
      <c r="N485" t="s">
        <v>1147</v>
      </c>
      <c r="O485" t="s">
        <v>149</v>
      </c>
      <c r="P485" t="s">
        <v>151</v>
      </c>
      <c r="Q485" t="s">
        <v>140</v>
      </c>
      <c r="R485" s="16">
        <v>45773.447916666701</v>
      </c>
      <c r="S485" t="s">
        <v>130</v>
      </c>
      <c r="V485" t="b">
        <f t="shared" si="36"/>
        <v>0</v>
      </c>
      <c r="W485" t="b">
        <f>AND(OR(WEEKDAY(C485,2)=5,WEEKDAY(C485,2)=6),'01_Parameters'!$C$11="Enabled")</f>
        <v>1</v>
      </c>
      <c r="X485" t="b">
        <f t="shared" si="37"/>
        <v>0</v>
      </c>
      <c r="Y485" t="b">
        <f t="shared" si="38"/>
        <v>0</v>
      </c>
      <c r="Z485" t="b">
        <f t="shared" si="39"/>
        <v>0</v>
      </c>
    </row>
    <row r="486" spans="1:26" ht="15" customHeight="1">
      <c r="A486" t="s">
        <v>1145</v>
      </c>
      <c r="B486" t="s">
        <v>1148</v>
      </c>
      <c r="C486" s="14">
        <v>45773</v>
      </c>
      <c r="D486" s="14">
        <v>45771</v>
      </c>
      <c r="E486">
        <v>2025</v>
      </c>
      <c r="F486">
        <v>4</v>
      </c>
      <c r="G486" t="s">
        <v>153</v>
      </c>
      <c r="H486" t="s">
        <v>154</v>
      </c>
      <c r="I486" t="s">
        <v>155</v>
      </c>
      <c r="J486" s="15">
        <v>0</v>
      </c>
      <c r="K486" s="15">
        <v>69098.91</v>
      </c>
      <c r="L486" s="15">
        <f t="shared" si="35"/>
        <v>-69098.91</v>
      </c>
      <c r="M486" t="s">
        <v>147</v>
      </c>
      <c r="N486" t="s">
        <v>1147</v>
      </c>
      <c r="O486" t="s">
        <v>149</v>
      </c>
      <c r="P486" t="s">
        <v>151</v>
      </c>
      <c r="Q486" t="s">
        <v>140</v>
      </c>
      <c r="R486" s="16">
        <v>45773.447916666701</v>
      </c>
      <c r="S486" t="s">
        <v>130</v>
      </c>
      <c r="V486" t="b">
        <f t="shared" si="36"/>
        <v>0</v>
      </c>
      <c r="W486" t="b">
        <f>AND(OR(WEEKDAY(C486,2)=5,WEEKDAY(C486,2)=6),'01_Parameters'!$C$11="Enabled")</f>
        <v>1</v>
      </c>
      <c r="X486" t="b">
        <f t="shared" si="37"/>
        <v>0</v>
      </c>
      <c r="Y486" t="b">
        <f t="shared" si="38"/>
        <v>0</v>
      </c>
      <c r="Z486" t="b">
        <f t="shared" si="39"/>
        <v>0</v>
      </c>
    </row>
    <row r="487" spans="1:26" ht="15" customHeight="1">
      <c r="A487" t="s">
        <v>1149</v>
      </c>
      <c r="B487" t="s">
        <v>1150</v>
      </c>
      <c r="C487" s="14">
        <v>45776</v>
      </c>
      <c r="D487" s="14">
        <v>45772</v>
      </c>
      <c r="E487">
        <v>2025</v>
      </c>
      <c r="F487">
        <v>4</v>
      </c>
      <c r="G487" t="s">
        <v>137</v>
      </c>
      <c r="H487" t="s">
        <v>138</v>
      </c>
      <c r="I487" t="s">
        <v>124</v>
      </c>
      <c r="J487" s="15">
        <v>5540.99</v>
      </c>
      <c r="K487" s="15">
        <v>0</v>
      </c>
      <c r="L487" s="15">
        <f t="shared" si="35"/>
        <v>5540.99</v>
      </c>
      <c r="M487" t="s">
        <v>209</v>
      </c>
      <c r="N487" t="s">
        <v>1151</v>
      </c>
      <c r="O487" t="s">
        <v>211</v>
      </c>
      <c r="P487" t="s">
        <v>128</v>
      </c>
      <c r="Q487" t="s">
        <v>129</v>
      </c>
      <c r="R487" s="16">
        <v>45776.791666666701</v>
      </c>
      <c r="S487" t="s">
        <v>130</v>
      </c>
      <c r="T487" t="s">
        <v>251</v>
      </c>
      <c r="U487" t="s">
        <v>1151</v>
      </c>
      <c r="V487" t="b">
        <f t="shared" si="36"/>
        <v>0</v>
      </c>
      <c r="W487" t="b">
        <f>AND(OR(WEEKDAY(C487,2)=5,WEEKDAY(C487,2)=6),'01_Parameters'!$C$11="Enabled")</f>
        <v>0</v>
      </c>
      <c r="X487" t="b">
        <f t="shared" si="37"/>
        <v>1</v>
      </c>
      <c r="Y487" t="b">
        <f t="shared" si="38"/>
        <v>0</v>
      </c>
      <c r="Z487" t="b">
        <f t="shared" si="39"/>
        <v>0</v>
      </c>
    </row>
    <row r="488" spans="1:26" ht="15" customHeight="1">
      <c r="A488" t="s">
        <v>1149</v>
      </c>
      <c r="B488" t="s">
        <v>1152</v>
      </c>
      <c r="C488" s="14">
        <v>45776</v>
      </c>
      <c r="D488" s="14">
        <v>45772</v>
      </c>
      <c r="E488">
        <v>2025</v>
      </c>
      <c r="F488">
        <v>4</v>
      </c>
      <c r="G488" t="s">
        <v>132</v>
      </c>
      <c r="H488" t="s">
        <v>133</v>
      </c>
      <c r="I488" t="s">
        <v>134</v>
      </c>
      <c r="J488" s="15">
        <v>0</v>
      </c>
      <c r="K488" s="15">
        <v>5540.99</v>
      </c>
      <c r="L488" s="15">
        <f t="shared" si="35"/>
        <v>-5540.99</v>
      </c>
      <c r="M488" t="s">
        <v>209</v>
      </c>
      <c r="N488" t="s">
        <v>1151</v>
      </c>
      <c r="O488" t="s">
        <v>211</v>
      </c>
      <c r="P488" t="s">
        <v>128</v>
      </c>
      <c r="Q488" t="s">
        <v>129</v>
      </c>
      <c r="R488" s="16">
        <v>45776.791666666701</v>
      </c>
      <c r="S488" t="s">
        <v>130</v>
      </c>
      <c r="T488" t="s">
        <v>251</v>
      </c>
      <c r="U488" t="s">
        <v>1151</v>
      </c>
      <c r="V488" t="b">
        <f t="shared" si="36"/>
        <v>0</v>
      </c>
      <c r="W488" t="b">
        <f>AND(OR(WEEKDAY(C488,2)=5,WEEKDAY(C488,2)=6),'01_Parameters'!$C$11="Enabled")</f>
        <v>0</v>
      </c>
      <c r="X488" t="b">
        <f t="shared" si="37"/>
        <v>1</v>
      </c>
      <c r="Y488" t="b">
        <f t="shared" si="38"/>
        <v>0</v>
      </c>
      <c r="Z488" t="b">
        <f t="shared" si="39"/>
        <v>0</v>
      </c>
    </row>
    <row r="489" spans="1:26" ht="15" customHeight="1">
      <c r="A489" t="s">
        <v>1153</v>
      </c>
      <c r="B489" t="s">
        <v>1154</v>
      </c>
      <c r="C489" s="14">
        <v>45992</v>
      </c>
      <c r="D489" s="14">
        <v>45990</v>
      </c>
      <c r="E489">
        <v>2025</v>
      </c>
      <c r="F489">
        <v>12</v>
      </c>
      <c r="G489" t="s">
        <v>179</v>
      </c>
      <c r="H489" t="s">
        <v>180</v>
      </c>
      <c r="I489" t="s">
        <v>124</v>
      </c>
      <c r="J489" s="15">
        <v>74423.62</v>
      </c>
      <c r="K489" s="15">
        <v>0</v>
      </c>
      <c r="L489" s="15">
        <f t="shared" si="35"/>
        <v>74423.62</v>
      </c>
      <c r="M489" t="s">
        <v>181</v>
      </c>
      <c r="N489" t="s">
        <v>1155</v>
      </c>
      <c r="O489" t="s">
        <v>183</v>
      </c>
      <c r="P489" t="s">
        <v>151</v>
      </c>
      <c r="Q489" t="s">
        <v>129</v>
      </c>
      <c r="R489" s="16">
        <v>45992.75</v>
      </c>
      <c r="S489" t="s">
        <v>130</v>
      </c>
      <c r="V489" t="b">
        <f t="shared" si="36"/>
        <v>0</v>
      </c>
      <c r="W489" t="b">
        <f>AND(OR(WEEKDAY(C489,2)=5,WEEKDAY(C489,2)=6),'01_Parameters'!$C$11="Enabled")</f>
        <v>0</v>
      </c>
      <c r="X489" t="b">
        <f t="shared" si="37"/>
        <v>1</v>
      </c>
      <c r="Y489" t="b">
        <f t="shared" si="38"/>
        <v>0</v>
      </c>
      <c r="Z489" t="b">
        <f t="shared" si="39"/>
        <v>0</v>
      </c>
    </row>
    <row r="490" spans="1:26" ht="15" customHeight="1">
      <c r="A490" t="s">
        <v>1153</v>
      </c>
      <c r="B490" t="s">
        <v>1156</v>
      </c>
      <c r="C490" s="14">
        <v>45992</v>
      </c>
      <c r="D490" s="14">
        <v>45990</v>
      </c>
      <c r="E490">
        <v>2025</v>
      </c>
      <c r="F490">
        <v>12</v>
      </c>
      <c r="G490" t="s">
        <v>185</v>
      </c>
      <c r="H490" t="s">
        <v>186</v>
      </c>
      <c r="I490" t="s">
        <v>134</v>
      </c>
      <c r="J490" s="15">
        <v>0</v>
      </c>
      <c r="K490" s="15">
        <v>74423.62</v>
      </c>
      <c r="L490" s="15">
        <f t="shared" si="35"/>
        <v>-74423.62</v>
      </c>
      <c r="M490" t="s">
        <v>181</v>
      </c>
      <c r="N490" t="s">
        <v>1155</v>
      </c>
      <c r="O490" t="s">
        <v>183</v>
      </c>
      <c r="P490" t="s">
        <v>151</v>
      </c>
      <c r="Q490" t="s">
        <v>129</v>
      </c>
      <c r="R490" s="16">
        <v>45992.75</v>
      </c>
      <c r="S490" t="s">
        <v>130</v>
      </c>
      <c r="V490" t="b">
        <f t="shared" si="36"/>
        <v>0</v>
      </c>
      <c r="W490" t="b">
        <f>AND(OR(WEEKDAY(C490,2)=5,WEEKDAY(C490,2)=6),'01_Parameters'!$C$11="Enabled")</f>
        <v>0</v>
      </c>
      <c r="X490" t="b">
        <f t="shared" si="37"/>
        <v>1</v>
      </c>
      <c r="Y490" t="b">
        <f t="shared" si="38"/>
        <v>0</v>
      </c>
      <c r="Z490" t="b">
        <f t="shared" si="39"/>
        <v>0</v>
      </c>
    </row>
    <row r="491" spans="1:26" ht="15" customHeight="1">
      <c r="A491" t="s">
        <v>1157</v>
      </c>
      <c r="B491" t="s">
        <v>1158</v>
      </c>
      <c r="C491" s="14">
        <v>45997</v>
      </c>
      <c r="D491" s="14">
        <v>45995</v>
      </c>
      <c r="E491">
        <v>2025</v>
      </c>
      <c r="F491">
        <v>12</v>
      </c>
      <c r="G491" t="s">
        <v>158</v>
      </c>
      <c r="H491" t="s">
        <v>159</v>
      </c>
      <c r="I491" t="s">
        <v>124</v>
      </c>
      <c r="J491" s="15">
        <v>11036.24</v>
      </c>
      <c r="K491" s="15">
        <v>0</v>
      </c>
      <c r="L491" s="15">
        <f t="shared" si="35"/>
        <v>11036.24</v>
      </c>
      <c r="M491" t="s">
        <v>160</v>
      </c>
      <c r="N491" t="s">
        <v>1159</v>
      </c>
      <c r="O491" t="s">
        <v>162</v>
      </c>
      <c r="P491" t="s">
        <v>150</v>
      </c>
      <c r="Q491" t="s">
        <v>129</v>
      </c>
      <c r="R491" s="16">
        <v>45997.78125</v>
      </c>
      <c r="S491" t="s">
        <v>130</v>
      </c>
      <c r="V491" t="b">
        <f t="shared" si="36"/>
        <v>0</v>
      </c>
      <c r="W491" t="b">
        <f>AND(OR(WEEKDAY(C491,2)=5,WEEKDAY(C491,2)=6),'01_Parameters'!$C$11="Enabled")</f>
        <v>1</v>
      </c>
      <c r="X491" t="b">
        <f t="shared" si="37"/>
        <v>1</v>
      </c>
      <c r="Y491" t="b">
        <f t="shared" si="38"/>
        <v>0</v>
      </c>
      <c r="Z491" t="b">
        <f t="shared" si="39"/>
        <v>0</v>
      </c>
    </row>
    <row r="492" spans="1:26" ht="15" customHeight="1">
      <c r="A492" t="s">
        <v>1157</v>
      </c>
      <c r="B492" t="s">
        <v>1160</v>
      </c>
      <c r="C492" s="14">
        <v>45997</v>
      </c>
      <c r="D492" s="14">
        <v>45995</v>
      </c>
      <c r="E492">
        <v>2025</v>
      </c>
      <c r="F492">
        <v>12</v>
      </c>
      <c r="G492" t="s">
        <v>164</v>
      </c>
      <c r="H492" t="s">
        <v>165</v>
      </c>
      <c r="I492" t="s">
        <v>146</v>
      </c>
      <c r="J492" s="15">
        <v>0</v>
      </c>
      <c r="K492" s="15">
        <v>11036.24</v>
      </c>
      <c r="L492" s="15">
        <f t="shared" si="35"/>
        <v>-11036.24</v>
      </c>
      <c r="M492" t="s">
        <v>160</v>
      </c>
      <c r="N492" t="s">
        <v>1159</v>
      </c>
      <c r="O492" t="s">
        <v>162</v>
      </c>
      <c r="P492" t="s">
        <v>150</v>
      </c>
      <c r="Q492" t="s">
        <v>129</v>
      </c>
      <c r="R492" s="16">
        <v>45997.78125</v>
      </c>
      <c r="S492" t="s">
        <v>130</v>
      </c>
      <c r="V492" t="b">
        <f t="shared" si="36"/>
        <v>0</v>
      </c>
      <c r="W492" t="b">
        <f>AND(OR(WEEKDAY(C492,2)=5,WEEKDAY(C492,2)=6),'01_Parameters'!$C$11="Enabled")</f>
        <v>1</v>
      </c>
      <c r="X492" t="b">
        <f t="shared" si="37"/>
        <v>1</v>
      </c>
      <c r="Y492" t="b">
        <f t="shared" si="38"/>
        <v>0</v>
      </c>
      <c r="Z492" t="b">
        <f t="shared" si="39"/>
        <v>0</v>
      </c>
    </row>
    <row r="493" spans="1:26" ht="15" customHeight="1">
      <c r="A493" t="s">
        <v>1161</v>
      </c>
      <c r="B493" t="s">
        <v>1162</v>
      </c>
      <c r="C493" s="14">
        <v>46005</v>
      </c>
      <c r="D493" s="14">
        <v>46001</v>
      </c>
      <c r="E493">
        <v>2025</v>
      </c>
      <c r="F493">
        <v>12</v>
      </c>
      <c r="G493" t="s">
        <v>144</v>
      </c>
      <c r="H493" t="s">
        <v>145</v>
      </c>
      <c r="I493" t="s">
        <v>146</v>
      </c>
      <c r="J493" s="15">
        <v>28593.88</v>
      </c>
      <c r="K493" s="15">
        <v>0</v>
      </c>
      <c r="L493" s="15">
        <f t="shared" si="35"/>
        <v>28593.88</v>
      </c>
      <c r="M493" t="s">
        <v>147</v>
      </c>
      <c r="N493" t="s">
        <v>1163</v>
      </c>
      <c r="O493" t="s">
        <v>149</v>
      </c>
      <c r="P493" t="s">
        <v>128</v>
      </c>
      <c r="Q493" t="s">
        <v>151</v>
      </c>
      <c r="R493" s="16">
        <v>46005.677083333299</v>
      </c>
      <c r="S493" t="s">
        <v>130</v>
      </c>
      <c r="V493" t="b">
        <f t="shared" si="36"/>
        <v>0</v>
      </c>
      <c r="W493" t="b">
        <f>AND(OR(WEEKDAY(C493,2)=5,WEEKDAY(C493,2)=6),'01_Parameters'!$C$11="Enabled")</f>
        <v>0</v>
      </c>
      <c r="X493" t="b">
        <f t="shared" si="37"/>
        <v>0</v>
      </c>
      <c r="Y493" t="b">
        <f t="shared" si="38"/>
        <v>0</v>
      </c>
      <c r="Z493" t="b">
        <f t="shared" si="39"/>
        <v>0</v>
      </c>
    </row>
    <row r="494" spans="1:26" ht="15" customHeight="1">
      <c r="A494" t="s">
        <v>1161</v>
      </c>
      <c r="B494" t="s">
        <v>1164</v>
      </c>
      <c r="C494" s="14">
        <v>46005</v>
      </c>
      <c r="D494" s="14">
        <v>46001</v>
      </c>
      <c r="E494">
        <v>2025</v>
      </c>
      <c r="F494">
        <v>12</v>
      </c>
      <c r="G494" t="s">
        <v>153</v>
      </c>
      <c r="H494" t="s">
        <v>154</v>
      </c>
      <c r="I494" t="s">
        <v>155</v>
      </c>
      <c r="J494" s="15">
        <v>0</v>
      </c>
      <c r="K494" s="15">
        <v>28593.88</v>
      </c>
      <c r="L494" s="15">
        <f t="shared" si="35"/>
        <v>-28593.88</v>
      </c>
      <c r="M494" t="s">
        <v>147</v>
      </c>
      <c r="N494" t="s">
        <v>1163</v>
      </c>
      <c r="O494" t="s">
        <v>149</v>
      </c>
      <c r="P494" t="s">
        <v>128</v>
      </c>
      <c r="Q494" t="s">
        <v>151</v>
      </c>
      <c r="R494" s="16">
        <v>46005.677083333299</v>
      </c>
      <c r="S494" t="s">
        <v>130</v>
      </c>
      <c r="V494" t="b">
        <f t="shared" si="36"/>
        <v>0</v>
      </c>
      <c r="W494" t="b">
        <f>AND(OR(WEEKDAY(C494,2)=5,WEEKDAY(C494,2)=6),'01_Parameters'!$C$11="Enabled")</f>
        <v>0</v>
      </c>
      <c r="X494" t="b">
        <f t="shared" si="37"/>
        <v>0</v>
      </c>
      <c r="Y494" t="b">
        <f t="shared" si="38"/>
        <v>0</v>
      </c>
      <c r="Z494" t="b">
        <f t="shared" si="39"/>
        <v>0</v>
      </c>
    </row>
    <row r="495" spans="1:26" ht="15" customHeight="1">
      <c r="A495" t="s">
        <v>1165</v>
      </c>
      <c r="B495" t="s">
        <v>1166</v>
      </c>
      <c r="C495" s="14">
        <v>45960</v>
      </c>
      <c r="D495" s="14">
        <v>45956</v>
      </c>
      <c r="E495">
        <v>2025</v>
      </c>
      <c r="F495">
        <v>10</v>
      </c>
      <c r="G495" t="s">
        <v>172</v>
      </c>
      <c r="H495" t="s">
        <v>173</v>
      </c>
      <c r="I495" t="s">
        <v>124</v>
      </c>
      <c r="J495" s="15">
        <v>53748.77</v>
      </c>
      <c r="K495" s="15">
        <v>0</v>
      </c>
      <c r="L495" s="15">
        <f t="shared" si="35"/>
        <v>53748.77</v>
      </c>
      <c r="M495" t="s">
        <v>209</v>
      </c>
      <c r="N495" t="s">
        <v>1167</v>
      </c>
      <c r="O495" t="s">
        <v>211</v>
      </c>
      <c r="P495" t="s">
        <v>150</v>
      </c>
      <c r="Q495" t="s">
        <v>129</v>
      </c>
      <c r="R495" s="16">
        <v>45960.4375</v>
      </c>
      <c r="S495" t="s">
        <v>130</v>
      </c>
      <c r="T495" t="s">
        <v>782</v>
      </c>
      <c r="U495" t="s">
        <v>1167</v>
      </c>
      <c r="V495" t="b">
        <f t="shared" si="36"/>
        <v>0</v>
      </c>
      <c r="W495" t="b">
        <f>AND(OR(WEEKDAY(C495,2)=5,WEEKDAY(C495,2)=6),'01_Parameters'!$C$11="Enabled")</f>
        <v>0</v>
      </c>
      <c r="X495" t="b">
        <f t="shared" si="37"/>
        <v>0</v>
      </c>
      <c r="Y495" t="b">
        <f t="shared" si="38"/>
        <v>0</v>
      </c>
      <c r="Z495" t="b">
        <f t="shared" si="39"/>
        <v>0</v>
      </c>
    </row>
    <row r="496" spans="1:26" ht="15" customHeight="1">
      <c r="A496" t="s">
        <v>1165</v>
      </c>
      <c r="B496" t="s">
        <v>1168</v>
      </c>
      <c r="C496" s="14">
        <v>45960</v>
      </c>
      <c r="D496" s="14">
        <v>45956</v>
      </c>
      <c r="E496">
        <v>2025</v>
      </c>
      <c r="F496">
        <v>10</v>
      </c>
      <c r="G496" t="s">
        <v>132</v>
      </c>
      <c r="H496" t="s">
        <v>133</v>
      </c>
      <c r="I496" t="s">
        <v>134</v>
      </c>
      <c r="J496" s="15">
        <v>0</v>
      </c>
      <c r="K496" s="15">
        <v>53748.77</v>
      </c>
      <c r="L496" s="15">
        <f t="shared" si="35"/>
        <v>-53748.77</v>
      </c>
      <c r="M496" t="s">
        <v>209</v>
      </c>
      <c r="N496" t="s">
        <v>1167</v>
      </c>
      <c r="O496" t="s">
        <v>211</v>
      </c>
      <c r="P496" t="s">
        <v>150</v>
      </c>
      <c r="Q496" t="s">
        <v>129</v>
      </c>
      <c r="R496" s="16">
        <v>45960.4375</v>
      </c>
      <c r="S496" t="s">
        <v>130</v>
      </c>
      <c r="T496" t="s">
        <v>782</v>
      </c>
      <c r="U496" t="s">
        <v>1167</v>
      </c>
      <c r="V496" t="b">
        <f t="shared" si="36"/>
        <v>0</v>
      </c>
      <c r="W496" t="b">
        <f>AND(OR(WEEKDAY(C496,2)=5,WEEKDAY(C496,2)=6),'01_Parameters'!$C$11="Enabled")</f>
        <v>0</v>
      </c>
      <c r="X496" t="b">
        <f t="shared" si="37"/>
        <v>0</v>
      </c>
      <c r="Y496" t="b">
        <f t="shared" si="38"/>
        <v>0</v>
      </c>
      <c r="Z496" t="b">
        <f t="shared" si="39"/>
        <v>0</v>
      </c>
    </row>
    <row r="497" spans="1:26" ht="15" customHeight="1">
      <c r="A497" t="s">
        <v>1169</v>
      </c>
      <c r="B497" t="s">
        <v>1170</v>
      </c>
      <c r="C497" s="14">
        <v>45815</v>
      </c>
      <c r="D497" s="14">
        <v>45813</v>
      </c>
      <c r="E497">
        <v>2025</v>
      </c>
      <c r="F497">
        <v>6</v>
      </c>
      <c r="G497" t="s">
        <v>137</v>
      </c>
      <c r="H497" t="s">
        <v>138</v>
      </c>
      <c r="I497" t="s">
        <v>124</v>
      </c>
      <c r="J497" s="15">
        <v>24762.09</v>
      </c>
      <c r="K497" s="15">
        <v>0</v>
      </c>
      <c r="L497" s="15">
        <f t="shared" si="35"/>
        <v>24762.09</v>
      </c>
      <c r="M497" t="s">
        <v>209</v>
      </c>
      <c r="N497" t="s">
        <v>1171</v>
      </c>
      <c r="O497" t="s">
        <v>211</v>
      </c>
      <c r="P497" t="s">
        <v>129</v>
      </c>
      <c r="Q497" t="s">
        <v>150</v>
      </c>
      <c r="R497" s="16">
        <v>45815.916666666701</v>
      </c>
      <c r="S497" t="s">
        <v>130</v>
      </c>
      <c r="T497" t="s">
        <v>251</v>
      </c>
      <c r="U497" t="s">
        <v>1171</v>
      </c>
      <c r="V497" t="b">
        <f t="shared" si="36"/>
        <v>0</v>
      </c>
      <c r="W497" t="b">
        <f>AND(OR(WEEKDAY(C497,2)=5,WEEKDAY(C497,2)=6),'01_Parameters'!$C$11="Enabled")</f>
        <v>1</v>
      </c>
      <c r="X497" t="b">
        <f t="shared" si="37"/>
        <v>1</v>
      </c>
      <c r="Y497" t="b">
        <f t="shared" si="38"/>
        <v>0</v>
      </c>
      <c r="Z497" t="b">
        <f t="shared" si="39"/>
        <v>0</v>
      </c>
    </row>
    <row r="498" spans="1:26" ht="15" customHeight="1">
      <c r="A498" t="s">
        <v>1169</v>
      </c>
      <c r="B498" t="s">
        <v>1172</v>
      </c>
      <c r="C498" s="14">
        <v>45815</v>
      </c>
      <c r="D498" s="14">
        <v>45813</v>
      </c>
      <c r="E498">
        <v>2025</v>
      </c>
      <c r="F498">
        <v>6</v>
      </c>
      <c r="G498" t="s">
        <v>132</v>
      </c>
      <c r="H498" t="s">
        <v>133</v>
      </c>
      <c r="I498" t="s">
        <v>134</v>
      </c>
      <c r="J498" s="15">
        <v>0</v>
      </c>
      <c r="K498" s="15">
        <v>24762.09</v>
      </c>
      <c r="L498" s="15">
        <f t="shared" si="35"/>
        <v>-24762.09</v>
      </c>
      <c r="M498" t="s">
        <v>209</v>
      </c>
      <c r="N498" t="s">
        <v>1171</v>
      </c>
      <c r="O498" t="s">
        <v>211</v>
      </c>
      <c r="P498" t="s">
        <v>129</v>
      </c>
      <c r="Q498" t="s">
        <v>150</v>
      </c>
      <c r="R498" s="16">
        <v>45815.916666666701</v>
      </c>
      <c r="S498" t="s">
        <v>130</v>
      </c>
      <c r="T498" t="s">
        <v>251</v>
      </c>
      <c r="U498" t="s">
        <v>1171</v>
      </c>
      <c r="V498" t="b">
        <f t="shared" si="36"/>
        <v>0</v>
      </c>
      <c r="W498" t="b">
        <f>AND(OR(WEEKDAY(C498,2)=5,WEEKDAY(C498,2)=6),'01_Parameters'!$C$11="Enabled")</f>
        <v>1</v>
      </c>
      <c r="X498" t="b">
        <f t="shared" si="37"/>
        <v>1</v>
      </c>
      <c r="Y498" t="b">
        <f t="shared" si="38"/>
        <v>0</v>
      </c>
      <c r="Z498" t="b">
        <f t="shared" si="39"/>
        <v>0</v>
      </c>
    </row>
    <row r="499" spans="1:26" ht="15" customHeight="1">
      <c r="A499" t="s">
        <v>1173</v>
      </c>
      <c r="B499" t="s">
        <v>1174</v>
      </c>
      <c r="C499" s="14">
        <v>45800</v>
      </c>
      <c r="D499" s="14">
        <v>45799</v>
      </c>
      <c r="E499">
        <v>2025</v>
      </c>
      <c r="F499">
        <v>5</v>
      </c>
      <c r="G499" t="s">
        <v>193</v>
      </c>
      <c r="H499" t="s">
        <v>194</v>
      </c>
      <c r="I499" t="s">
        <v>124</v>
      </c>
      <c r="J499" s="15">
        <v>2491.02</v>
      </c>
      <c r="K499" s="15">
        <v>0</v>
      </c>
      <c r="L499" s="15">
        <f t="shared" si="35"/>
        <v>2491.02</v>
      </c>
      <c r="M499" t="s">
        <v>195</v>
      </c>
      <c r="N499" t="s">
        <v>1175</v>
      </c>
      <c r="O499" t="s">
        <v>197</v>
      </c>
      <c r="P499" t="s">
        <v>175</v>
      </c>
      <c r="Q499" t="s">
        <v>150</v>
      </c>
      <c r="R499" s="16">
        <v>45800.520833333299</v>
      </c>
      <c r="S499" t="s">
        <v>130</v>
      </c>
      <c r="V499" t="b">
        <f t="shared" si="36"/>
        <v>0</v>
      </c>
      <c r="W499" t="b">
        <f>AND(OR(WEEKDAY(C499,2)=5,WEEKDAY(C499,2)=6),'01_Parameters'!$C$11="Enabled")</f>
        <v>1</v>
      </c>
      <c r="X499" t="b">
        <f t="shared" si="37"/>
        <v>0</v>
      </c>
      <c r="Y499" t="b">
        <f t="shared" si="38"/>
        <v>0</v>
      </c>
      <c r="Z499" t="b">
        <f t="shared" si="39"/>
        <v>0</v>
      </c>
    </row>
    <row r="500" spans="1:26" ht="15" customHeight="1">
      <c r="A500" t="s">
        <v>1173</v>
      </c>
      <c r="B500" t="s">
        <v>1176</v>
      </c>
      <c r="C500" s="14">
        <v>45800</v>
      </c>
      <c r="D500" s="14">
        <v>45799</v>
      </c>
      <c r="E500">
        <v>2025</v>
      </c>
      <c r="F500">
        <v>5</v>
      </c>
      <c r="G500" t="s">
        <v>199</v>
      </c>
      <c r="H500" t="s">
        <v>200</v>
      </c>
      <c r="I500" t="s">
        <v>146</v>
      </c>
      <c r="J500" s="15">
        <v>0</v>
      </c>
      <c r="K500" s="15">
        <v>2491.02</v>
      </c>
      <c r="L500" s="15">
        <f t="shared" si="35"/>
        <v>-2491.02</v>
      </c>
      <c r="M500" t="s">
        <v>195</v>
      </c>
      <c r="N500" t="s">
        <v>1175</v>
      </c>
      <c r="O500" t="s">
        <v>197</v>
      </c>
      <c r="P500" t="s">
        <v>175</v>
      </c>
      <c r="Q500" t="s">
        <v>150</v>
      </c>
      <c r="R500" s="16">
        <v>45800.520833333299</v>
      </c>
      <c r="S500" t="s">
        <v>130</v>
      </c>
      <c r="V500" t="b">
        <f t="shared" si="36"/>
        <v>0</v>
      </c>
      <c r="W500" t="b">
        <f>AND(OR(WEEKDAY(C500,2)=5,WEEKDAY(C500,2)=6),'01_Parameters'!$C$11="Enabled")</f>
        <v>1</v>
      </c>
      <c r="X500" t="b">
        <f t="shared" si="37"/>
        <v>0</v>
      </c>
      <c r="Y500" t="b">
        <f t="shared" si="38"/>
        <v>0</v>
      </c>
      <c r="Z500" t="b">
        <f t="shared" si="39"/>
        <v>0</v>
      </c>
    </row>
    <row r="501" spans="1:26" ht="15" customHeight="1">
      <c r="A501" t="s">
        <v>1177</v>
      </c>
      <c r="B501" t="s">
        <v>1178</v>
      </c>
      <c r="C501" s="14">
        <v>45681</v>
      </c>
      <c r="D501" s="14">
        <v>45677</v>
      </c>
      <c r="E501">
        <v>2025</v>
      </c>
      <c r="F501">
        <v>1</v>
      </c>
      <c r="G501" t="s">
        <v>199</v>
      </c>
      <c r="H501" t="s">
        <v>200</v>
      </c>
      <c r="I501" t="s">
        <v>146</v>
      </c>
      <c r="J501" s="15">
        <v>55273.120000000003</v>
      </c>
      <c r="K501" s="15">
        <v>0</v>
      </c>
      <c r="L501" s="15">
        <f t="shared" si="35"/>
        <v>55273.120000000003</v>
      </c>
      <c r="M501" t="s">
        <v>209</v>
      </c>
      <c r="N501" t="s">
        <v>1179</v>
      </c>
      <c r="O501" t="s">
        <v>211</v>
      </c>
      <c r="P501" t="s">
        <v>140</v>
      </c>
      <c r="Q501" t="s">
        <v>128</v>
      </c>
      <c r="R501" s="16">
        <v>45681.84375</v>
      </c>
      <c r="S501" t="s">
        <v>130</v>
      </c>
      <c r="T501" t="s">
        <v>705</v>
      </c>
      <c r="U501" t="s">
        <v>1179</v>
      </c>
      <c r="V501" t="b">
        <f t="shared" si="36"/>
        <v>0</v>
      </c>
      <c r="W501" t="b">
        <f>AND(OR(WEEKDAY(C501,2)=5,WEEKDAY(C501,2)=6),'01_Parameters'!$C$11="Enabled")</f>
        <v>1</v>
      </c>
      <c r="X501" t="b">
        <f t="shared" si="37"/>
        <v>1</v>
      </c>
      <c r="Y501" t="b">
        <f t="shared" si="38"/>
        <v>0</v>
      </c>
      <c r="Z501" t="b">
        <f t="shared" si="39"/>
        <v>0</v>
      </c>
    </row>
    <row r="502" spans="1:26" ht="15" customHeight="1">
      <c r="A502" t="s">
        <v>1177</v>
      </c>
      <c r="B502" t="s">
        <v>1180</v>
      </c>
      <c r="C502" s="14">
        <v>45681</v>
      </c>
      <c r="D502" s="14">
        <v>45677</v>
      </c>
      <c r="E502">
        <v>2025</v>
      </c>
      <c r="F502">
        <v>1</v>
      </c>
      <c r="G502" t="s">
        <v>132</v>
      </c>
      <c r="H502" t="s">
        <v>133</v>
      </c>
      <c r="I502" t="s">
        <v>134</v>
      </c>
      <c r="J502" s="15">
        <v>0</v>
      </c>
      <c r="K502" s="15">
        <v>55273.120000000003</v>
      </c>
      <c r="L502" s="15">
        <f t="shared" si="35"/>
        <v>-55273.120000000003</v>
      </c>
      <c r="M502" t="s">
        <v>209</v>
      </c>
      <c r="N502" t="s">
        <v>1179</v>
      </c>
      <c r="O502" t="s">
        <v>211</v>
      </c>
      <c r="P502" t="s">
        <v>140</v>
      </c>
      <c r="Q502" t="s">
        <v>128</v>
      </c>
      <c r="R502" s="16">
        <v>45681.84375</v>
      </c>
      <c r="S502" t="s">
        <v>130</v>
      </c>
      <c r="T502" t="s">
        <v>705</v>
      </c>
      <c r="U502" t="s">
        <v>1179</v>
      </c>
      <c r="V502" t="b">
        <f t="shared" si="36"/>
        <v>0</v>
      </c>
      <c r="W502" t="b">
        <f>AND(OR(WEEKDAY(C502,2)=5,WEEKDAY(C502,2)=6),'01_Parameters'!$C$11="Enabled")</f>
        <v>1</v>
      </c>
      <c r="X502" t="b">
        <f t="shared" si="37"/>
        <v>1</v>
      </c>
      <c r="Y502" t="b">
        <f t="shared" si="38"/>
        <v>0</v>
      </c>
      <c r="Z502" t="b">
        <f t="shared" si="39"/>
        <v>0</v>
      </c>
    </row>
    <row r="503" spans="1:26" ht="15" customHeight="1">
      <c r="A503" t="s">
        <v>1181</v>
      </c>
      <c r="B503" t="s">
        <v>1182</v>
      </c>
      <c r="C503" s="14">
        <v>45746</v>
      </c>
      <c r="D503" s="14">
        <v>45746</v>
      </c>
      <c r="E503">
        <v>2025</v>
      </c>
      <c r="F503">
        <v>3</v>
      </c>
      <c r="G503" t="s">
        <v>158</v>
      </c>
      <c r="H503" t="s">
        <v>159</v>
      </c>
      <c r="I503" t="s">
        <v>124</v>
      </c>
      <c r="J503" s="15">
        <v>30277.64</v>
      </c>
      <c r="K503" s="15">
        <v>0</v>
      </c>
      <c r="L503" s="15">
        <f t="shared" si="35"/>
        <v>30277.64</v>
      </c>
      <c r="M503" t="s">
        <v>160</v>
      </c>
      <c r="N503" t="s">
        <v>1183</v>
      </c>
      <c r="O503" t="s">
        <v>162</v>
      </c>
      <c r="P503" t="s">
        <v>151</v>
      </c>
      <c r="Q503" t="s">
        <v>175</v>
      </c>
      <c r="R503" s="16">
        <v>45746.760416666701</v>
      </c>
      <c r="S503" t="s">
        <v>130</v>
      </c>
      <c r="V503" t="b">
        <f t="shared" si="36"/>
        <v>0</v>
      </c>
      <c r="W503" t="b">
        <f>AND(OR(WEEKDAY(C503,2)=5,WEEKDAY(C503,2)=6),'01_Parameters'!$C$11="Enabled")</f>
        <v>0</v>
      </c>
      <c r="X503" t="b">
        <f t="shared" si="37"/>
        <v>1</v>
      </c>
      <c r="Y503" t="b">
        <f t="shared" si="38"/>
        <v>0</v>
      </c>
      <c r="Z503" t="b">
        <f t="shared" si="39"/>
        <v>0</v>
      </c>
    </row>
    <row r="504" spans="1:26" ht="15" customHeight="1">
      <c r="A504" t="s">
        <v>1181</v>
      </c>
      <c r="B504" t="s">
        <v>1184</v>
      </c>
      <c r="C504" s="14">
        <v>45746</v>
      </c>
      <c r="D504" s="14">
        <v>45746</v>
      </c>
      <c r="E504">
        <v>2025</v>
      </c>
      <c r="F504">
        <v>3</v>
      </c>
      <c r="G504" t="s">
        <v>164</v>
      </c>
      <c r="H504" t="s">
        <v>165</v>
      </c>
      <c r="I504" t="s">
        <v>146</v>
      </c>
      <c r="J504" s="15">
        <v>0</v>
      </c>
      <c r="K504" s="15">
        <v>30277.64</v>
      </c>
      <c r="L504" s="15">
        <f t="shared" si="35"/>
        <v>-30277.64</v>
      </c>
      <c r="M504" t="s">
        <v>160</v>
      </c>
      <c r="N504" t="s">
        <v>1183</v>
      </c>
      <c r="O504" t="s">
        <v>162</v>
      </c>
      <c r="P504" t="s">
        <v>151</v>
      </c>
      <c r="Q504" t="s">
        <v>175</v>
      </c>
      <c r="R504" s="16">
        <v>45746.760416666701</v>
      </c>
      <c r="S504" t="s">
        <v>130</v>
      </c>
      <c r="V504" t="b">
        <f t="shared" si="36"/>
        <v>0</v>
      </c>
      <c r="W504" t="b">
        <f>AND(OR(WEEKDAY(C504,2)=5,WEEKDAY(C504,2)=6),'01_Parameters'!$C$11="Enabled")</f>
        <v>0</v>
      </c>
      <c r="X504" t="b">
        <f t="shared" si="37"/>
        <v>1</v>
      </c>
      <c r="Y504" t="b">
        <f t="shared" si="38"/>
        <v>0</v>
      </c>
      <c r="Z504" t="b">
        <f t="shared" si="39"/>
        <v>0</v>
      </c>
    </row>
    <row r="505" spans="1:26" ht="15" customHeight="1">
      <c r="A505" t="s">
        <v>1185</v>
      </c>
      <c r="B505" t="s">
        <v>1186</v>
      </c>
      <c r="C505" s="14">
        <v>45805</v>
      </c>
      <c r="D505" s="14">
        <v>45805</v>
      </c>
      <c r="E505">
        <v>2025</v>
      </c>
      <c r="F505">
        <v>5</v>
      </c>
      <c r="G505" t="s">
        <v>179</v>
      </c>
      <c r="H505" t="s">
        <v>180</v>
      </c>
      <c r="I505" t="s">
        <v>124</v>
      </c>
      <c r="J505" s="15">
        <v>57398.81</v>
      </c>
      <c r="K505" s="15">
        <v>0</v>
      </c>
      <c r="L505" s="15">
        <f t="shared" si="35"/>
        <v>57398.81</v>
      </c>
      <c r="M505" t="s">
        <v>181</v>
      </c>
      <c r="N505" t="s">
        <v>1187</v>
      </c>
      <c r="O505" t="s">
        <v>183</v>
      </c>
      <c r="P505" t="s">
        <v>140</v>
      </c>
      <c r="Q505" t="s">
        <v>151</v>
      </c>
      <c r="R505" s="16">
        <v>45805.5</v>
      </c>
      <c r="S505" t="s">
        <v>130</v>
      </c>
      <c r="V505" t="b">
        <f t="shared" si="36"/>
        <v>0</v>
      </c>
      <c r="W505" t="b">
        <f>AND(OR(WEEKDAY(C505,2)=5,WEEKDAY(C505,2)=6),'01_Parameters'!$C$11="Enabled")</f>
        <v>0</v>
      </c>
      <c r="X505" t="b">
        <f t="shared" si="37"/>
        <v>0</v>
      </c>
      <c r="Y505" t="b">
        <f t="shared" si="38"/>
        <v>0</v>
      </c>
      <c r="Z505" t="b">
        <f t="shared" si="39"/>
        <v>0</v>
      </c>
    </row>
    <row r="506" spans="1:26" ht="15" customHeight="1">
      <c r="A506" t="s">
        <v>1185</v>
      </c>
      <c r="B506" t="s">
        <v>1188</v>
      </c>
      <c r="C506" s="14">
        <v>45805</v>
      </c>
      <c r="D506" s="14">
        <v>45805</v>
      </c>
      <c r="E506">
        <v>2025</v>
      </c>
      <c r="F506">
        <v>5</v>
      </c>
      <c r="G506" t="s">
        <v>185</v>
      </c>
      <c r="H506" t="s">
        <v>186</v>
      </c>
      <c r="I506" t="s">
        <v>134</v>
      </c>
      <c r="J506" s="15">
        <v>0</v>
      </c>
      <c r="K506" s="15">
        <v>57398.81</v>
      </c>
      <c r="L506" s="15">
        <f t="shared" si="35"/>
        <v>-57398.81</v>
      </c>
      <c r="M506" t="s">
        <v>181</v>
      </c>
      <c r="N506" t="s">
        <v>1187</v>
      </c>
      <c r="O506" t="s">
        <v>183</v>
      </c>
      <c r="P506" t="s">
        <v>140</v>
      </c>
      <c r="Q506" t="s">
        <v>151</v>
      </c>
      <c r="R506" s="16">
        <v>45805.5</v>
      </c>
      <c r="S506" t="s">
        <v>130</v>
      </c>
      <c r="V506" t="b">
        <f t="shared" si="36"/>
        <v>0</v>
      </c>
      <c r="W506" t="b">
        <f>AND(OR(WEEKDAY(C506,2)=5,WEEKDAY(C506,2)=6),'01_Parameters'!$C$11="Enabled")</f>
        <v>0</v>
      </c>
      <c r="X506" t="b">
        <f t="shared" si="37"/>
        <v>0</v>
      </c>
      <c r="Y506" t="b">
        <f t="shared" si="38"/>
        <v>0</v>
      </c>
      <c r="Z506" t="b">
        <f t="shared" si="39"/>
        <v>0</v>
      </c>
    </row>
    <row r="507" spans="1:26" ht="15" customHeight="1">
      <c r="A507" t="s">
        <v>1189</v>
      </c>
      <c r="B507" t="s">
        <v>1190</v>
      </c>
      <c r="C507" s="14">
        <v>45688</v>
      </c>
      <c r="D507" s="14">
        <v>45688</v>
      </c>
      <c r="E507">
        <v>2025</v>
      </c>
      <c r="F507">
        <v>1</v>
      </c>
      <c r="G507" t="s">
        <v>122</v>
      </c>
      <c r="H507" t="s">
        <v>123</v>
      </c>
      <c r="I507" t="s">
        <v>124</v>
      </c>
      <c r="J507" s="15">
        <v>146213.81</v>
      </c>
      <c r="K507" s="15">
        <v>0</v>
      </c>
      <c r="L507" s="15">
        <f t="shared" si="35"/>
        <v>146213.81</v>
      </c>
      <c r="M507" t="s">
        <v>125</v>
      </c>
      <c r="N507" t="s">
        <v>1191</v>
      </c>
      <c r="O507" t="s">
        <v>127</v>
      </c>
      <c r="P507" t="s">
        <v>151</v>
      </c>
      <c r="Q507" t="s">
        <v>150</v>
      </c>
      <c r="R507" s="16">
        <v>45688.833333333299</v>
      </c>
      <c r="S507" t="s">
        <v>130</v>
      </c>
      <c r="V507" t="b">
        <f t="shared" si="36"/>
        <v>0</v>
      </c>
      <c r="W507" t="b">
        <f>AND(OR(WEEKDAY(C507,2)=5,WEEKDAY(C507,2)=6),'01_Parameters'!$C$11="Enabled")</f>
        <v>1</v>
      </c>
      <c r="X507" t="b">
        <f t="shared" si="37"/>
        <v>1</v>
      </c>
      <c r="Y507" t="b">
        <f t="shared" si="38"/>
        <v>1</v>
      </c>
      <c r="Z507" t="b">
        <f t="shared" si="39"/>
        <v>0</v>
      </c>
    </row>
    <row r="508" spans="1:26" ht="15" customHeight="1">
      <c r="A508" t="s">
        <v>1189</v>
      </c>
      <c r="B508" t="s">
        <v>1192</v>
      </c>
      <c r="C508" s="14">
        <v>45688</v>
      </c>
      <c r="D508" s="14">
        <v>45688</v>
      </c>
      <c r="E508">
        <v>2025</v>
      </c>
      <c r="F508">
        <v>1</v>
      </c>
      <c r="G508" t="s">
        <v>132</v>
      </c>
      <c r="H508" t="s">
        <v>133</v>
      </c>
      <c r="I508" t="s">
        <v>134</v>
      </c>
      <c r="J508" s="15">
        <v>0</v>
      </c>
      <c r="K508" s="15">
        <v>146213.81</v>
      </c>
      <c r="L508" s="15">
        <f t="shared" si="35"/>
        <v>-146213.81</v>
      </c>
      <c r="M508" t="s">
        <v>125</v>
      </c>
      <c r="N508" t="s">
        <v>1191</v>
      </c>
      <c r="O508" t="s">
        <v>127</v>
      </c>
      <c r="P508" t="s">
        <v>151</v>
      </c>
      <c r="Q508" t="s">
        <v>150</v>
      </c>
      <c r="R508" s="16">
        <v>45688.833333333299</v>
      </c>
      <c r="S508" t="s">
        <v>130</v>
      </c>
      <c r="V508" t="b">
        <f t="shared" si="36"/>
        <v>0</v>
      </c>
      <c r="W508" t="b">
        <f>AND(OR(WEEKDAY(C508,2)=5,WEEKDAY(C508,2)=6),'01_Parameters'!$C$11="Enabled")</f>
        <v>1</v>
      </c>
      <c r="X508" t="b">
        <f t="shared" si="37"/>
        <v>1</v>
      </c>
      <c r="Y508" t="b">
        <f t="shared" si="38"/>
        <v>1</v>
      </c>
      <c r="Z508" t="b">
        <f t="shared" si="39"/>
        <v>0</v>
      </c>
    </row>
    <row r="509" spans="1:26" ht="15" customHeight="1">
      <c r="A509" t="s">
        <v>1193</v>
      </c>
      <c r="B509" t="s">
        <v>1194</v>
      </c>
      <c r="C509" s="14">
        <v>45769</v>
      </c>
      <c r="D509" s="14">
        <v>45765</v>
      </c>
      <c r="E509">
        <v>2025</v>
      </c>
      <c r="F509">
        <v>4</v>
      </c>
      <c r="G509" t="s">
        <v>158</v>
      </c>
      <c r="H509" t="s">
        <v>159</v>
      </c>
      <c r="I509" t="s">
        <v>124</v>
      </c>
      <c r="J509" s="15">
        <v>30477.79</v>
      </c>
      <c r="K509" s="15">
        <v>0</v>
      </c>
      <c r="L509" s="15">
        <f t="shared" si="35"/>
        <v>30477.79</v>
      </c>
      <c r="M509" t="s">
        <v>160</v>
      </c>
      <c r="N509" t="s">
        <v>1195</v>
      </c>
      <c r="O509" t="s">
        <v>162</v>
      </c>
      <c r="P509" t="s">
        <v>129</v>
      </c>
      <c r="Q509" t="s">
        <v>150</v>
      </c>
      <c r="R509" s="16">
        <v>45769.635416666701</v>
      </c>
      <c r="S509" t="s">
        <v>130</v>
      </c>
      <c r="V509" t="b">
        <f t="shared" si="36"/>
        <v>0</v>
      </c>
      <c r="W509" t="b">
        <f>AND(OR(WEEKDAY(C509,2)=5,WEEKDAY(C509,2)=6),'01_Parameters'!$C$11="Enabled")</f>
        <v>0</v>
      </c>
      <c r="X509" t="b">
        <f t="shared" si="37"/>
        <v>0</v>
      </c>
      <c r="Y509" t="b">
        <f t="shared" si="38"/>
        <v>0</v>
      </c>
      <c r="Z509" t="b">
        <f t="shared" si="39"/>
        <v>0</v>
      </c>
    </row>
    <row r="510" spans="1:26" ht="15" customHeight="1">
      <c r="A510" t="s">
        <v>1193</v>
      </c>
      <c r="B510" t="s">
        <v>1196</v>
      </c>
      <c r="C510" s="14">
        <v>45769</v>
      </c>
      <c r="D510" s="14">
        <v>45765</v>
      </c>
      <c r="E510">
        <v>2025</v>
      </c>
      <c r="F510">
        <v>4</v>
      </c>
      <c r="G510" t="s">
        <v>164</v>
      </c>
      <c r="H510" t="s">
        <v>165</v>
      </c>
      <c r="I510" t="s">
        <v>146</v>
      </c>
      <c r="J510" s="15">
        <v>0</v>
      </c>
      <c r="K510" s="15">
        <v>30477.79</v>
      </c>
      <c r="L510" s="15">
        <f t="shared" si="35"/>
        <v>-30477.79</v>
      </c>
      <c r="M510" t="s">
        <v>160</v>
      </c>
      <c r="N510" t="s">
        <v>1195</v>
      </c>
      <c r="O510" t="s">
        <v>162</v>
      </c>
      <c r="P510" t="s">
        <v>129</v>
      </c>
      <c r="Q510" t="s">
        <v>150</v>
      </c>
      <c r="R510" s="16">
        <v>45769.635416666701</v>
      </c>
      <c r="S510" t="s">
        <v>130</v>
      </c>
      <c r="V510" t="b">
        <f t="shared" si="36"/>
        <v>0</v>
      </c>
      <c r="W510" t="b">
        <f>AND(OR(WEEKDAY(C510,2)=5,WEEKDAY(C510,2)=6),'01_Parameters'!$C$11="Enabled")</f>
        <v>0</v>
      </c>
      <c r="X510" t="b">
        <f t="shared" si="37"/>
        <v>0</v>
      </c>
      <c r="Y510" t="b">
        <f t="shared" si="38"/>
        <v>0</v>
      </c>
      <c r="Z510" t="b">
        <f t="shared" si="39"/>
        <v>0</v>
      </c>
    </row>
    <row r="511" spans="1:26" ht="15" customHeight="1">
      <c r="A511" t="s">
        <v>1197</v>
      </c>
      <c r="B511" t="s">
        <v>1198</v>
      </c>
      <c r="C511" s="14">
        <v>45924</v>
      </c>
      <c r="D511" s="14">
        <v>45922</v>
      </c>
      <c r="E511">
        <v>2025</v>
      </c>
      <c r="F511">
        <v>9</v>
      </c>
      <c r="G511" t="s">
        <v>158</v>
      </c>
      <c r="H511" t="s">
        <v>159</v>
      </c>
      <c r="I511" t="s">
        <v>124</v>
      </c>
      <c r="J511" s="15">
        <v>42055.83</v>
      </c>
      <c r="K511" s="15">
        <v>0</v>
      </c>
      <c r="L511" s="15">
        <f t="shared" si="35"/>
        <v>42055.83</v>
      </c>
      <c r="M511" t="s">
        <v>160</v>
      </c>
      <c r="N511" t="s">
        <v>1199</v>
      </c>
      <c r="O511" t="s">
        <v>162</v>
      </c>
      <c r="P511" t="s">
        <v>175</v>
      </c>
      <c r="Q511" t="s">
        <v>150</v>
      </c>
      <c r="R511" s="16">
        <v>45924.260416666701</v>
      </c>
      <c r="S511" t="s">
        <v>130</v>
      </c>
      <c r="V511" t="b">
        <f t="shared" si="36"/>
        <v>0</v>
      </c>
      <c r="W511" t="b">
        <f>AND(OR(WEEKDAY(C511,2)=5,WEEKDAY(C511,2)=6),'01_Parameters'!$C$11="Enabled")</f>
        <v>0</v>
      </c>
      <c r="X511" t="b">
        <f t="shared" si="37"/>
        <v>1</v>
      </c>
      <c r="Y511" t="b">
        <f t="shared" si="38"/>
        <v>0</v>
      </c>
      <c r="Z511" t="b">
        <f t="shared" si="39"/>
        <v>0</v>
      </c>
    </row>
    <row r="512" spans="1:26" ht="15" customHeight="1">
      <c r="A512" t="s">
        <v>1197</v>
      </c>
      <c r="B512" t="s">
        <v>1200</v>
      </c>
      <c r="C512" s="14">
        <v>45924</v>
      </c>
      <c r="D512" s="14">
        <v>45922</v>
      </c>
      <c r="E512">
        <v>2025</v>
      </c>
      <c r="F512">
        <v>9</v>
      </c>
      <c r="G512" t="s">
        <v>164</v>
      </c>
      <c r="H512" t="s">
        <v>165</v>
      </c>
      <c r="I512" t="s">
        <v>146</v>
      </c>
      <c r="J512" s="15">
        <v>0</v>
      </c>
      <c r="K512" s="15">
        <v>42055.83</v>
      </c>
      <c r="L512" s="15">
        <f t="shared" si="35"/>
        <v>-42055.83</v>
      </c>
      <c r="M512" t="s">
        <v>160</v>
      </c>
      <c r="N512" t="s">
        <v>1199</v>
      </c>
      <c r="O512" t="s">
        <v>162</v>
      </c>
      <c r="P512" t="s">
        <v>175</v>
      </c>
      <c r="Q512" t="s">
        <v>150</v>
      </c>
      <c r="R512" s="16">
        <v>45924.260416666701</v>
      </c>
      <c r="S512" t="s">
        <v>130</v>
      </c>
      <c r="V512" t="b">
        <f t="shared" si="36"/>
        <v>0</v>
      </c>
      <c r="W512" t="b">
        <f>AND(OR(WEEKDAY(C512,2)=5,WEEKDAY(C512,2)=6),'01_Parameters'!$C$11="Enabled")</f>
        <v>0</v>
      </c>
      <c r="X512" t="b">
        <f t="shared" si="37"/>
        <v>1</v>
      </c>
      <c r="Y512" t="b">
        <f t="shared" si="38"/>
        <v>0</v>
      </c>
      <c r="Z512" t="b">
        <f t="shared" si="39"/>
        <v>0</v>
      </c>
    </row>
    <row r="513" spans="1:26" ht="15" customHeight="1">
      <c r="A513" t="s">
        <v>1201</v>
      </c>
      <c r="B513" t="s">
        <v>1202</v>
      </c>
      <c r="C513" s="14">
        <v>45876</v>
      </c>
      <c r="D513" s="14">
        <v>45873</v>
      </c>
      <c r="E513">
        <v>2025</v>
      </c>
      <c r="F513">
        <v>8</v>
      </c>
      <c r="G513" t="s">
        <v>144</v>
      </c>
      <c r="H513" t="s">
        <v>145</v>
      </c>
      <c r="I513" t="s">
        <v>146</v>
      </c>
      <c r="J513" s="15">
        <v>47491.15</v>
      </c>
      <c r="K513" s="15">
        <v>0</v>
      </c>
      <c r="L513" s="15">
        <f t="shared" si="35"/>
        <v>47491.15</v>
      </c>
      <c r="M513" t="s">
        <v>147</v>
      </c>
      <c r="N513" t="s">
        <v>1203</v>
      </c>
      <c r="O513" t="s">
        <v>149</v>
      </c>
      <c r="P513" t="s">
        <v>175</v>
      </c>
      <c r="Q513" t="s">
        <v>128</v>
      </c>
      <c r="R513" s="16">
        <v>45876.697916666701</v>
      </c>
      <c r="S513" t="s">
        <v>130</v>
      </c>
      <c r="V513" t="b">
        <f t="shared" si="36"/>
        <v>0</v>
      </c>
      <c r="W513" t="b">
        <f>AND(OR(WEEKDAY(C513,2)=5,WEEKDAY(C513,2)=6),'01_Parameters'!$C$11="Enabled")</f>
        <v>0</v>
      </c>
      <c r="X513" t="b">
        <f t="shared" si="37"/>
        <v>0</v>
      </c>
      <c r="Y513" t="b">
        <f t="shared" si="38"/>
        <v>0</v>
      </c>
      <c r="Z513" t="b">
        <f t="shared" si="39"/>
        <v>0</v>
      </c>
    </row>
    <row r="514" spans="1:26" ht="15" customHeight="1">
      <c r="A514" t="s">
        <v>1201</v>
      </c>
      <c r="B514" t="s">
        <v>1204</v>
      </c>
      <c r="C514" s="14">
        <v>45876</v>
      </c>
      <c r="D514" s="14">
        <v>45873</v>
      </c>
      <c r="E514">
        <v>2025</v>
      </c>
      <c r="F514">
        <v>8</v>
      </c>
      <c r="G514" t="s">
        <v>153</v>
      </c>
      <c r="H514" t="s">
        <v>154</v>
      </c>
      <c r="I514" t="s">
        <v>155</v>
      </c>
      <c r="J514" s="15">
        <v>0</v>
      </c>
      <c r="K514" s="15">
        <v>47491.15</v>
      </c>
      <c r="L514" s="15">
        <f t="shared" si="35"/>
        <v>-47491.15</v>
      </c>
      <c r="M514" t="s">
        <v>147</v>
      </c>
      <c r="N514" t="s">
        <v>1203</v>
      </c>
      <c r="O514" t="s">
        <v>149</v>
      </c>
      <c r="P514" t="s">
        <v>175</v>
      </c>
      <c r="Q514" t="s">
        <v>128</v>
      </c>
      <c r="R514" s="16">
        <v>45876.697916666701</v>
      </c>
      <c r="S514" t="s">
        <v>130</v>
      </c>
      <c r="V514" t="b">
        <f t="shared" si="36"/>
        <v>0</v>
      </c>
      <c r="W514" t="b">
        <f>AND(OR(WEEKDAY(C514,2)=5,WEEKDAY(C514,2)=6),'01_Parameters'!$C$11="Enabled")</f>
        <v>0</v>
      </c>
      <c r="X514" t="b">
        <f t="shared" si="37"/>
        <v>0</v>
      </c>
      <c r="Y514" t="b">
        <f t="shared" si="38"/>
        <v>0</v>
      </c>
      <c r="Z514" t="b">
        <f t="shared" si="39"/>
        <v>0</v>
      </c>
    </row>
    <row r="515" spans="1:26" ht="15" customHeight="1">
      <c r="A515" t="s">
        <v>1205</v>
      </c>
      <c r="B515" t="s">
        <v>1206</v>
      </c>
      <c r="C515" s="14">
        <v>45892</v>
      </c>
      <c r="D515" s="14">
        <v>45887</v>
      </c>
      <c r="E515">
        <v>2025</v>
      </c>
      <c r="F515">
        <v>8</v>
      </c>
      <c r="G515" t="s">
        <v>179</v>
      </c>
      <c r="H515" t="s">
        <v>180</v>
      </c>
      <c r="I515" t="s">
        <v>124</v>
      </c>
      <c r="J515" s="15">
        <v>56392.37</v>
      </c>
      <c r="K515" s="15">
        <v>0</v>
      </c>
      <c r="L515" s="15">
        <f t="shared" si="35"/>
        <v>56392.37</v>
      </c>
      <c r="M515" t="s">
        <v>181</v>
      </c>
      <c r="N515" t="s">
        <v>1207</v>
      </c>
      <c r="O515" t="s">
        <v>183</v>
      </c>
      <c r="P515" t="s">
        <v>150</v>
      </c>
      <c r="Q515" t="s">
        <v>140</v>
      </c>
      <c r="R515" s="16">
        <v>45892.552083333299</v>
      </c>
      <c r="S515" t="s">
        <v>130</v>
      </c>
      <c r="V515" t="b">
        <f t="shared" si="36"/>
        <v>0</v>
      </c>
      <c r="W515" t="b">
        <f>AND(OR(WEEKDAY(C515,2)=5,WEEKDAY(C515,2)=6),'01_Parameters'!$C$11="Enabled")</f>
        <v>1</v>
      </c>
      <c r="X515" t="b">
        <f t="shared" si="37"/>
        <v>0</v>
      </c>
      <c r="Y515" t="b">
        <f t="shared" si="38"/>
        <v>0</v>
      </c>
      <c r="Z515" t="b">
        <f t="shared" si="39"/>
        <v>0</v>
      </c>
    </row>
    <row r="516" spans="1:26" ht="15" customHeight="1">
      <c r="A516" t="s">
        <v>1205</v>
      </c>
      <c r="B516" t="s">
        <v>1208</v>
      </c>
      <c r="C516" s="14">
        <v>45892</v>
      </c>
      <c r="D516" s="14">
        <v>45887</v>
      </c>
      <c r="E516">
        <v>2025</v>
      </c>
      <c r="F516">
        <v>8</v>
      </c>
      <c r="G516" t="s">
        <v>185</v>
      </c>
      <c r="H516" t="s">
        <v>186</v>
      </c>
      <c r="I516" t="s">
        <v>134</v>
      </c>
      <c r="J516" s="15">
        <v>0</v>
      </c>
      <c r="K516" s="15">
        <v>56392.37</v>
      </c>
      <c r="L516" s="15">
        <f t="shared" si="35"/>
        <v>-56392.37</v>
      </c>
      <c r="M516" t="s">
        <v>181</v>
      </c>
      <c r="N516" t="s">
        <v>1207</v>
      </c>
      <c r="O516" t="s">
        <v>183</v>
      </c>
      <c r="P516" t="s">
        <v>150</v>
      </c>
      <c r="Q516" t="s">
        <v>140</v>
      </c>
      <c r="R516" s="16">
        <v>45892.552083333299</v>
      </c>
      <c r="S516" t="s">
        <v>130</v>
      </c>
      <c r="V516" t="b">
        <f t="shared" si="36"/>
        <v>0</v>
      </c>
      <c r="W516" t="b">
        <f>AND(OR(WEEKDAY(C516,2)=5,WEEKDAY(C516,2)=6),'01_Parameters'!$C$11="Enabled")</f>
        <v>1</v>
      </c>
      <c r="X516" t="b">
        <f t="shared" si="37"/>
        <v>0</v>
      </c>
      <c r="Y516" t="b">
        <f t="shared" si="38"/>
        <v>0</v>
      </c>
      <c r="Z516" t="b">
        <f t="shared" si="39"/>
        <v>0</v>
      </c>
    </row>
    <row r="517" spans="1:26" ht="15" customHeight="1">
      <c r="A517" t="s">
        <v>1209</v>
      </c>
      <c r="B517" t="s">
        <v>1210</v>
      </c>
      <c r="C517" s="14">
        <v>45667</v>
      </c>
      <c r="D517" s="14">
        <v>45663</v>
      </c>
      <c r="E517">
        <v>2025</v>
      </c>
      <c r="F517">
        <v>1</v>
      </c>
      <c r="G517" t="s">
        <v>193</v>
      </c>
      <c r="H517" t="s">
        <v>194</v>
      </c>
      <c r="I517" t="s">
        <v>124</v>
      </c>
      <c r="J517" s="15">
        <v>66995.570000000007</v>
      </c>
      <c r="K517" s="15">
        <v>0</v>
      </c>
      <c r="L517" s="15">
        <f t="shared" ref="L517:L580" si="40">J517-K517</f>
        <v>66995.570000000007</v>
      </c>
      <c r="M517" t="s">
        <v>195</v>
      </c>
      <c r="N517" t="s">
        <v>1211</v>
      </c>
      <c r="O517" t="s">
        <v>197</v>
      </c>
      <c r="P517" t="s">
        <v>140</v>
      </c>
      <c r="Q517" t="s">
        <v>175</v>
      </c>
      <c r="R517" s="16">
        <v>45667.458333333299</v>
      </c>
      <c r="S517" t="s">
        <v>130</v>
      </c>
      <c r="V517" t="b">
        <f t="shared" ref="V517:V580" si="41">AND(C517&gt;=Year_End_Window_Start,C517&lt;=Year_End_Window_End)</f>
        <v>0</v>
      </c>
      <c r="W517" t="b">
        <f>AND(OR(WEEKDAY(C517,2)=5,WEEKDAY(C517,2)=6),'01_Parameters'!$C$11="Enabled")</f>
        <v>1</v>
      </c>
      <c r="X517" t="b">
        <f t="shared" ref="X517:X580" si="42">AND(HOUR(R517)&lt;Business_Day_Start,HOUR(R517)&gt;=0)+AND(HOUR(R517)&gt;=Business_Day_End,HOUR(R517)&lt;=23)&gt;0</f>
        <v>0</v>
      </c>
      <c r="Y517" t="b">
        <f t="shared" ref="Y517:Y580" si="43">ABS(L517)&gt;High_Value_GL_Threshold</f>
        <v>0</v>
      </c>
      <c r="Z517" t="b">
        <f t="shared" ref="Z517:Z580" si="44">AND(ABS(L517)&gt;=Round_Number_Threshold,MOD(ABS(L517),Round_Number_Threshold)=0)</f>
        <v>0</v>
      </c>
    </row>
    <row r="518" spans="1:26" ht="15" customHeight="1">
      <c r="A518" t="s">
        <v>1209</v>
      </c>
      <c r="B518" t="s">
        <v>1212</v>
      </c>
      <c r="C518" s="14">
        <v>45667</v>
      </c>
      <c r="D518" s="14">
        <v>45663</v>
      </c>
      <c r="E518">
        <v>2025</v>
      </c>
      <c r="F518">
        <v>1</v>
      </c>
      <c r="G518" t="s">
        <v>199</v>
      </c>
      <c r="H518" t="s">
        <v>200</v>
      </c>
      <c r="I518" t="s">
        <v>146</v>
      </c>
      <c r="J518" s="15">
        <v>0</v>
      </c>
      <c r="K518" s="15">
        <v>66995.570000000007</v>
      </c>
      <c r="L518" s="15">
        <f t="shared" si="40"/>
        <v>-66995.570000000007</v>
      </c>
      <c r="M518" t="s">
        <v>195</v>
      </c>
      <c r="N518" t="s">
        <v>1211</v>
      </c>
      <c r="O518" t="s">
        <v>197</v>
      </c>
      <c r="P518" t="s">
        <v>140</v>
      </c>
      <c r="Q518" t="s">
        <v>175</v>
      </c>
      <c r="R518" s="16">
        <v>45667.458333333299</v>
      </c>
      <c r="S518" t="s">
        <v>130</v>
      </c>
      <c r="V518" t="b">
        <f t="shared" si="41"/>
        <v>0</v>
      </c>
      <c r="W518" t="b">
        <f>AND(OR(WEEKDAY(C518,2)=5,WEEKDAY(C518,2)=6),'01_Parameters'!$C$11="Enabled")</f>
        <v>1</v>
      </c>
      <c r="X518" t="b">
        <f t="shared" si="42"/>
        <v>0</v>
      </c>
      <c r="Y518" t="b">
        <f t="shared" si="43"/>
        <v>0</v>
      </c>
      <c r="Z518" t="b">
        <f t="shared" si="44"/>
        <v>0</v>
      </c>
    </row>
    <row r="519" spans="1:26" ht="15" customHeight="1">
      <c r="A519" t="s">
        <v>1213</v>
      </c>
      <c r="B519" t="s">
        <v>1214</v>
      </c>
      <c r="C519" s="14">
        <v>45893</v>
      </c>
      <c r="D519" s="14">
        <v>45890</v>
      </c>
      <c r="E519">
        <v>2025</v>
      </c>
      <c r="F519">
        <v>8</v>
      </c>
      <c r="G519" t="s">
        <v>158</v>
      </c>
      <c r="H519" t="s">
        <v>159</v>
      </c>
      <c r="I519" t="s">
        <v>124</v>
      </c>
      <c r="J519" s="15">
        <v>16259.83</v>
      </c>
      <c r="K519" s="15">
        <v>0</v>
      </c>
      <c r="L519" s="15">
        <f t="shared" si="40"/>
        <v>16259.83</v>
      </c>
      <c r="M519" t="s">
        <v>160</v>
      </c>
      <c r="N519" t="s">
        <v>1215</v>
      </c>
      <c r="O519" t="s">
        <v>162</v>
      </c>
      <c r="P519" t="s">
        <v>140</v>
      </c>
      <c r="Q519" t="s">
        <v>128</v>
      </c>
      <c r="R519" s="16">
        <v>45893.645833333299</v>
      </c>
      <c r="S519" t="s">
        <v>130</v>
      </c>
      <c r="V519" t="b">
        <f t="shared" si="41"/>
        <v>0</v>
      </c>
      <c r="W519" t="b">
        <f>AND(OR(WEEKDAY(C519,2)=5,WEEKDAY(C519,2)=6),'01_Parameters'!$C$11="Enabled")</f>
        <v>0</v>
      </c>
      <c r="X519" t="b">
        <f t="shared" si="42"/>
        <v>0</v>
      </c>
      <c r="Y519" t="b">
        <f t="shared" si="43"/>
        <v>0</v>
      </c>
      <c r="Z519" t="b">
        <f t="shared" si="44"/>
        <v>0</v>
      </c>
    </row>
    <row r="520" spans="1:26" ht="15" customHeight="1">
      <c r="A520" t="s">
        <v>1213</v>
      </c>
      <c r="B520" t="s">
        <v>1216</v>
      </c>
      <c r="C520" s="14">
        <v>45893</v>
      </c>
      <c r="D520" s="14">
        <v>45890</v>
      </c>
      <c r="E520">
        <v>2025</v>
      </c>
      <c r="F520">
        <v>8</v>
      </c>
      <c r="G520" t="s">
        <v>164</v>
      </c>
      <c r="H520" t="s">
        <v>165</v>
      </c>
      <c r="I520" t="s">
        <v>146</v>
      </c>
      <c r="J520" s="15">
        <v>0</v>
      </c>
      <c r="K520" s="15">
        <v>16259.83</v>
      </c>
      <c r="L520" s="15">
        <f t="shared" si="40"/>
        <v>-16259.83</v>
      </c>
      <c r="M520" t="s">
        <v>160</v>
      </c>
      <c r="N520" t="s">
        <v>1215</v>
      </c>
      <c r="O520" t="s">
        <v>162</v>
      </c>
      <c r="P520" t="s">
        <v>140</v>
      </c>
      <c r="Q520" t="s">
        <v>128</v>
      </c>
      <c r="R520" s="16">
        <v>45893.645833333299</v>
      </c>
      <c r="S520" t="s">
        <v>130</v>
      </c>
      <c r="V520" t="b">
        <f t="shared" si="41"/>
        <v>0</v>
      </c>
      <c r="W520" t="b">
        <f>AND(OR(WEEKDAY(C520,2)=5,WEEKDAY(C520,2)=6),'01_Parameters'!$C$11="Enabled")</f>
        <v>0</v>
      </c>
      <c r="X520" t="b">
        <f t="shared" si="42"/>
        <v>0</v>
      </c>
      <c r="Y520" t="b">
        <f t="shared" si="43"/>
        <v>0</v>
      </c>
      <c r="Z520" t="b">
        <f t="shared" si="44"/>
        <v>0</v>
      </c>
    </row>
    <row r="521" spans="1:26" ht="15" customHeight="1">
      <c r="A521" t="s">
        <v>1217</v>
      </c>
      <c r="B521" t="s">
        <v>1218</v>
      </c>
      <c r="C521" s="14">
        <v>45785</v>
      </c>
      <c r="D521" s="14">
        <v>45782</v>
      </c>
      <c r="E521">
        <v>2025</v>
      </c>
      <c r="F521">
        <v>5</v>
      </c>
      <c r="G521" t="s">
        <v>137</v>
      </c>
      <c r="H521" t="s">
        <v>138</v>
      </c>
      <c r="I521" t="s">
        <v>124</v>
      </c>
      <c r="J521" s="15">
        <v>39599.53</v>
      </c>
      <c r="K521" s="15">
        <v>0</v>
      </c>
      <c r="L521" s="15">
        <f t="shared" si="40"/>
        <v>39599.53</v>
      </c>
      <c r="M521" t="s">
        <v>209</v>
      </c>
      <c r="N521" t="s">
        <v>1219</v>
      </c>
      <c r="O521" t="s">
        <v>211</v>
      </c>
      <c r="P521" t="s">
        <v>150</v>
      </c>
      <c r="Q521" t="s">
        <v>129</v>
      </c>
      <c r="R521" s="16">
        <v>45785.9375</v>
      </c>
      <c r="S521" t="s">
        <v>130</v>
      </c>
      <c r="T521" t="s">
        <v>705</v>
      </c>
      <c r="U521" t="s">
        <v>1219</v>
      </c>
      <c r="V521" t="b">
        <f t="shared" si="41"/>
        <v>0</v>
      </c>
      <c r="W521" t="b">
        <f>AND(OR(WEEKDAY(C521,2)=5,WEEKDAY(C521,2)=6),'01_Parameters'!$C$11="Enabled")</f>
        <v>0</v>
      </c>
      <c r="X521" t="b">
        <f t="shared" si="42"/>
        <v>1</v>
      </c>
      <c r="Y521" t="b">
        <f t="shared" si="43"/>
        <v>0</v>
      </c>
      <c r="Z521" t="b">
        <f t="shared" si="44"/>
        <v>0</v>
      </c>
    </row>
    <row r="522" spans="1:26" ht="15" customHeight="1">
      <c r="A522" t="s">
        <v>1217</v>
      </c>
      <c r="B522" t="s">
        <v>1220</v>
      </c>
      <c r="C522" s="14">
        <v>45785</v>
      </c>
      <c r="D522" s="14">
        <v>45782</v>
      </c>
      <c r="E522">
        <v>2025</v>
      </c>
      <c r="F522">
        <v>5</v>
      </c>
      <c r="G522" t="s">
        <v>132</v>
      </c>
      <c r="H522" t="s">
        <v>133</v>
      </c>
      <c r="I522" t="s">
        <v>134</v>
      </c>
      <c r="J522" s="15">
        <v>0</v>
      </c>
      <c r="K522" s="15">
        <v>39599.53</v>
      </c>
      <c r="L522" s="15">
        <f t="shared" si="40"/>
        <v>-39599.53</v>
      </c>
      <c r="M522" t="s">
        <v>209</v>
      </c>
      <c r="N522" t="s">
        <v>1219</v>
      </c>
      <c r="O522" t="s">
        <v>211</v>
      </c>
      <c r="P522" t="s">
        <v>150</v>
      </c>
      <c r="Q522" t="s">
        <v>129</v>
      </c>
      <c r="R522" s="16">
        <v>45785.9375</v>
      </c>
      <c r="S522" t="s">
        <v>130</v>
      </c>
      <c r="T522" t="s">
        <v>705</v>
      </c>
      <c r="U522" t="s">
        <v>1219</v>
      </c>
      <c r="V522" t="b">
        <f t="shared" si="41"/>
        <v>0</v>
      </c>
      <c r="W522" t="b">
        <f>AND(OR(WEEKDAY(C522,2)=5,WEEKDAY(C522,2)=6),'01_Parameters'!$C$11="Enabled")</f>
        <v>0</v>
      </c>
      <c r="X522" t="b">
        <f t="shared" si="42"/>
        <v>1</v>
      </c>
      <c r="Y522" t="b">
        <f t="shared" si="43"/>
        <v>0</v>
      </c>
      <c r="Z522" t="b">
        <f t="shared" si="44"/>
        <v>0</v>
      </c>
    </row>
    <row r="523" spans="1:26" ht="15" customHeight="1">
      <c r="A523" t="s">
        <v>1221</v>
      </c>
      <c r="B523" t="s">
        <v>1222</v>
      </c>
      <c r="C523" s="14">
        <v>45674</v>
      </c>
      <c r="D523" s="14">
        <v>45670</v>
      </c>
      <c r="E523">
        <v>2025</v>
      </c>
      <c r="F523">
        <v>1</v>
      </c>
      <c r="G523" t="s">
        <v>179</v>
      </c>
      <c r="H523" t="s">
        <v>180</v>
      </c>
      <c r="I523" t="s">
        <v>124</v>
      </c>
      <c r="J523" s="15">
        <v>6612.92</v>
      </c>
      <c r="K523" s="15">
        <v>0</v>
      </c>
      <c r="L523" s="15">
        <f t="shared" si="40"/>
        <v>6612.92</v>
      </c>
      <c r="M523" t="s">
        <v>181</v>
      </c>
      <c r="N523" t="s">
        <v>1223</v>
      </c>
      <c r="O523" t="s">
        <v>183</v>
      </c>
      <c r="P523" t="s">
        <v>140</v>
      </c>
      <c r="Q523" t="s">
        <v>129</v>
      </c>
      <c r="R523" s="16">
        <v>45674.4375</v>
      </c>
      <c r="S523" t="s">
        <v>130</v>
      </c>
      <c r="V523" t="b">
        <f t="shared" si="41"/>
        <v>0</v>
      </c>
      <c r="W523" t="b">
        <f>AND(OR(WEEKDAY(C523,2)=5,WEEKDAY(C523,2)=6),'01_Parameters'!$C$11="Enabled")</f>
        <v>1</v>
      </c>
      <c r="X523" t="b">
        <f t="shared" si="42"/>
        <v>0</v>
      </c>
      <c r="Y523" t="b">
        <f t="shared" si="43"/>
        <v>0</v>
      </c>
      <c r="Z523" t="b">
        <f t="shared" si="44"/>
        <v>0</v>
      </c>
    </row>
    <row r="524" spans="1:26" ht="15" customHeight="1">
      <c r="A524" t="s">
        <v>1221</v>
      </c>
      <c r="B524" t="s">
        <v>1224</v>
      </c>
      <c r="C524" s="14">
        <v>45674</v>
      </c>
      <c r="D524" s="14">
        <v>45670</v>
      </c>
      <c r="E524">
        <v>2025</v>
      </c>
      <c r="F524">
        <v>1</v>
      </c>
      <c r="G524" t="s">
        <v>185</v>
      </c>
      <c r="H524" t="s">
        <v>186</v>
      </c>
      <c r="I524" t="s">
        <v>134</v>
      </c>
      <c r="J524" s="15">
        <v>0</v>
      </c>
      <c r="K524" s="15">
        <v>6612.92</v>
      </c>
      <c r="L524" s="15">
        <f t="shared" si="40"/>
        <v>-6612.92</v>
      </c>
      <c r="M524" t="s">
        <v>181</v>
      </c>
      <c r="N524" t="s">
        <v>1223</v>
      </c>
      <c r="O524" t="s">
        <v>183</v>
      </c>
      <c r="P524" t="s">
        <v>140</v>
      </c>
      <c r="Q524" t="s">
        <v>129</v>
      </c>
      <c r="R524" s="16">
        <v>45674.4375</v>
      </c>
      <c r="S524" t="s">
        <v>130</v>
      </c>
      <c r="V524" t="b">
        <f t="shared" si="41"/>
        <v>0</v>
      </c>
      <c r="W524" t="b">
        <f>AND(OR(WEEKDAY(C524,2)=5,WEEKDAY(C524,2)=6),'01_Parameters'!$C$11="Enabled")</f>
        <v>1</v>
      </c>
      <c r="X524" t="b">
        <f t="shared" si="42"/>
        <v>0</v>
      </c>
      <c r="Y524" t="b">
        <f t="shared" si="43"/>
        <v>0</v>
      </c>
      <c r="Z524" t="b">
        <f t="shared" si="44"/>
        <v>0</v>
      </c>
    </row>
    <row r="525" spans="1:26" ht="15" customHeight="1">
      <c r="A525" t="s">
        <v>1225</v>
      </c>
      <c r="B525" t="s">
        <v>1226</v>
      </c>
      <c r="C525" s="14">
        <v>46001</v>
      </c>
      <c r="D525" s="14">
        <v>46000</v>
      </c>
      <c r="E525">
        <v>2025</v>
      </c>
      <c r="F525">
        <v>12</v>
      </c>
      <c r="G525" t="s">
        <v>417</v>
      </c>
      <c r="H525" t="s">
        <v>418</v>
      </c>
      <c r="I525" t="s">
        <v>124</v>
      </c>
      <c r="J525" s="15">
        <v>28826.29</v>
      </c>
      <c r="K525" s="15">
        <v>0</v>
      </c>
      <c r="L525" s="15">
        <f t="shared" si="40"/>
        <v>28826.29</v>
      </c>
      <c r="M525" t="s">
        <v>125</v>
      </c>
      <c r="N525" t="s">
        <v>1227</v>
      </c>
      <c r="O525" t="s">
        <v>127</v>
      </c>
      <c r="P525" t="s">
        <v>128</v>
      </c>
      <c r="Q525" t="s">
        <v>129</v>
      </c>
      <c r="R525" s="16">
        <v>46001.708333333299</v>
      </c>
      <c r="S525" t="s">
        <v>130</v>
      </c>
      <c r="V525" t="b">
        <f t="shared" si="41"/>
        <v>0</v>
      </c>
      <c r="W525" t="b">
        <f>AND(OR(WEEKDAY(C525,2)=5,WEEKDAY(C525,2)=6),'01_Parameters'!$C$11="Enabled")</f>
        <v>0</v>
      </c>
      <c r="X525" t="b">
        <f t="shared" si="42"/>
        <v>0</v>
      </c>
      <c r="Y525" t="b">
        <f t="shared" si="43"/>
        <v>0</v>
      </c>
      <c r="Z525" t="b">
        <f t="shared" si="44"/>
        <v>0</v>
      </c>
    </row>
    <row r="526" spans="1:26" ht="15" customHeight="1">
      <c r="A526" t="s">
        <v>1225</v>
      </c>
      <c r="B526" t="s">
        <v>1228</v>
      </c>
      <c r="C526" s="14">
        <v>46001</v>
      </c>
      <c r="D526" s="14">
        <v>46000</v>
      </c>
      <c r="E526">
        <v>2025</v>
      </c>
      <c r="F526">
        <v>12</v>
      </c>
      <c r="G526" t="s">
        <v>132</v>
      </c>
      <c r="H526" t="s">
        <v>133</v>
      </c>
      <c r="I526" t="s">
        <v>134</v>
      </c>
      <c r="J526" s="15">
        <v>0</v>
      </c>
      <c r="K526" s="15">
        <v>28826.29</v>
      </c>
      <c r="L526" s="15">
        <f t="shared" si="40"/>
        <v>-28826.29</v>
      </c>
      <c r="M526" t="s">
        <v>125</v>
      </c>
      <c r="N526" t="s">
        <v>1227</v>
      </c>
      <c r="O526" t="s">
        <v>127</v>
      </c>
      <c r="P526" t="s">
        <v>128</v>
      </c>
      <c r="Q526" t="s">
        <v>129</v>
      </c>
      <c r="R526" s="16">
        <v>46001.708333333299</v>
      </c>
      <c r="S526" t="s">
        <v>130</v>
      </c>
      <c r="V526" t="b">
        <f t="shared" si="41"/>
        <v>0</v>
      </c>
      <c r="W526" t="b">
        <f>AND(OR(WEEKDAY(C526,2)=5,WEEKDAY(C526,2)=6),'01_Parameters'!$C$11="Enabled")</f>
        <v>0</v>
      </c>
      <c r="X526" t="b">
        <f t="shared" si="42"/>
        <v>0</v>
      </c>
      <c r="Y526" t="b">
        <f t="shared" si="43"/>
        <v>0</v>
      </c>
      <c r="Z526" t="b">
        <f t="shared" si="44"/>
        <v>0</v>
      </c>
    </row>
    <row r="527" spans="1:26" ht="15" customHeight="1">
      <c r="A527" t="s">
        <v>1229</v>
      </c>
      <c r="B527" t="s">
        <v>1230</v>
      </c>
      <c r="C527" s="14">
        <v>45781</v>
      </c>
      <c r="D527" s="14">
        <v>45779</v>
      </c>
      <c r="E527">
        <v>2025</v>
      </c>
      <c r="F527">
        <v>5</v>
      </c>
      <c r="G527" t="s">
        <v>207</v>
      </c>
      <c r="H527" t="s">
        <v>208</v>
      </c>
      <c r="I527" t="s">
        <v>124</v>
      </c>
      <c r="J527" s="15">
        <v>55352.73</v>
      </c>
      <c r="K527" s="15">
        <v>0</v>
      </c>
      <c r="L527" s="15">
        <f t="shared" si="40"/>
        <v>55352.73</v>
      </c>
      <c r="M527" t="s">
        <v>209</v>
      </c>
      <c r="N527" t="s">
        <v>1231</v>
      </c>
      <c r="O527" t="s">
        <v>211</v>
      </c>
      <c r="P527" t="s">
        <v>128</v>
      </c>
      <c r="Q527" t="s">
        <v>150</v>
      </c>
      <c r="R527" s="16">
        <v>45781.760416666701</v>
      </c>
      <c r="S527" t="s">
        <v>130</v>
      </c>
      <c r="T527" t="s">
        <v>440</v>
      </c>
      <c r="U527" t="s">
        <v>1231</v>
      </c>
      <c r="V527" t="b">
        <f t="shared" si="41"/>
        <v>0</v>
      </c>
      <c r="W527" t="b">
        <f>AND(OR(WEEKDAY(C527,2)=5,WEEKDAY(C527,2)=6),'01_Parameters'!$C$11="Enabled")</f>
        <v>0</v>
      </c>
      <c r="X527" t="b">
        <f t="shared" si="42"/>
        <v>1</v>
      </c>
      <c r="Y527" t="b">
        <f t="shared" si="43"/>
        <v>0</v>
      </c>
      <c r="Z527" t="b">
        <f t="shared" si="44"/>
        <v>0</v>
      </c>
    </row>
    <row r="528" spans="1:26" ht="15" customHeight="1">
      <c r="A528" t="s">
        <v>1229</v>
      </c>
      <c r="B528" t="s">
        <v>1232</v>
      </c>
      <c r="C528" s="14">
        <v>45781</v>
      </c>
      <c r="D528" s="14">
        <v>45779</v>
      </c>
      <c r="E528">
        <v>2025</v>
      </c>
      <c r="F528">
        <v>5</v>
      </c>
      <c r="G528" t="s">
        <v>132</v>
      </c>
      <c r="H528" t="s">
        <v>133</v>
      </c>
      <c r="I528" t="s">
        <v>134</v>
      </c>
      <c r="J528" s="15">
        <v>0</v>
      </c>
      <c r="K528" s="15">
        <v>55352.73</v>
      </c>
      <c r="L528" s="15">
        <f t="shared" si="40"/>
        <v>-55352.73</v>
      </c>
      <c r="M528" t="s">
        <v>209</v>
      </c>
      <c r="N528" t="s">
        <v>1231</v>
      </c>
      <c r="O528" t="s">
        <v>211</v>
      </c>
      <c r="P528" t="s">
        <v>128</v>
      </c>
      <c r="Q528" t="s">
        <v>150</v>
      </c>
      <c r="R528" s="16">
        <v>45781.760416666701</v>
      </c>
      <c r="S528" t="s">
        <v>130</v>
      </c>
      <c r="T528" t="s">
        <v>440</v>
      </c>
      <c r="U528" t="s">
        <v>1231</v>
      </c>
      <c r="V528" t="b">
        <f t="shared" si="41"/>
        <v>0</v>
      </c>
      <c r="W528" t="b">
        <f>AND(OR(WEEKDAY(C528,2)=5,WEEKDAY(C528,2)=6),'01_Parameters'!$C$11="Enabled")</f>
        <v>0</v>
      </c>
      <c r="X528" t="b">
        <f t="shared" si="42"/>
        <v>1</v>
      </c>
      <c r="Y528" t="b">
        <f t="shared" si="43"/>
        <v>0</v>
      </c>
      <c r="Z528" t="b">
        <f t="shared" si="44"/>
        <v>0</v>
      </c>
    </row>
    <row r="529" spans="1:26" ht="15" customHeight="1">
      <c r="A529" t="s">
        <v>1233</v>
      </c>
      <c r="B529" t="s">
        <v>1234</v>
      </c>
      <c r="C529" s="14">
        <v>45971</v>
      </c>
      <c r="D529" s="14">
        <v>45969</v>
      </c>
      <c r="E529">
        <v>2025</v>
      </c>
      <c r="F529">
        <v>11</v>
      </c>
      <c r="G529" t="s">
        <v>144</v>
      </c>
      <c r="H529" t="s">
        <v>145</v>
      </c>
      <c r="I529" t="s">
        <v>146</v>
      </c>
      <c r="J529" s="15">
        <v>32458.93</v>
      </c>
      <c r="K529" s="15">
        <v>0</v>
      </c>
      <c r="L529" s="15">
        <f t="shared" si="40"/>
        <v>32458.93</v>
      </c>
      <c r="M529" t="s">
        <v>147</v>
      </c>
      <c r="N529" t="s">
        <v>1235</v>
      </c>
      <c r="O529" t="s">
        <v>149</v>
      </c>
      <c r="P529" t="s">
        <v>150</v>
      </c>
      <c r="Q529" t="s">
        <v>140</v>
      </c>
      <c r="R529" s="16">
        <v>45971.885416666701</v>
      </c>
      <c r="S529" t="s">
        <v>288</v>
      </c>
      <c r="V529" t="b">
        <f t="shared" si="41"/>
        <v>0</v>
      </c>
      <c r="W529" t="b">
        <f>AND(OR(WEEKDAY(C529,2)=5,WEEKDAY(C529,2)=6),'01_Parameters'!$C$11="Enabled")</f>
        <v>0</v>
      </c>
      <c r="X529" t="b">
        <f t="shared" si="42"/>
        <v>1</v>
      </c>
      <c r="Y529" t="b">
        <f t="shared" si="43"/>
        <v>0</v>
      </c>
      <c r="Z529" t="b">
        <f t="shared" si="44"/>
        <v>0</v>
      </c>
    </row>
    <row r="530" spans="1:26" ht="15" customHeight="1">
      <c r="A530" t="s">
        <v>1233</v>
      </c>
      <c r="B530" t="s">
        <v>1236</v>
      </c>
      <c r="C530" s="14">
        <v>45971</v>
      </c>
      <c r="D530" s="14">
        <v>45969</v>
      </c>
      <c r="E530">
        <v>2025</v>
      </c>
      <c r="F530">
        <v>11</v>
      </c>
      <c r="G530" t="s">
        <v>153</v>
      </c>
      <c r="H530" t="s">
        <v>154</v>
      </c>
      <c r="I530" t="s">
        <v>155</v>
      </c>
      <c r="J530" s="15">
        <v>0</v>
      </c>
      <c r="K530" s="15">
        <v>32458.93</v>
      </c>
      <c r="L530" s="15">
        <f t="shared" si="40"/>
        <v>-32458.93</v>
      </c>
      <c r="M530" t="s">
        <v>147</v>
      </c>
      <c r="N530" t="s">
        <v>1235</v>
      </c>
      <c r="O530" t="s">
        <v>149</v>
      </c>
      <c r="P530" t="s">
        <v>150</v>
      </c>
      <c r="Q530" t="s">
        <v>140</v>
      </c>
      <c r="R530" s="16">
        <v>45971.885416666701</v>
      </c>
      <c r="S530" t="s">
        <v>288</v>
      </c>
      <c r="V530" t="b">
        <f t="shared" si="41"/>
        <v>0</v>
      </c>
      <c r="W530" t="b">
        <f>AND(OR(WEEKDAY(C530,2)=5,WEEKDAY(C530,2)=6),'01_Parameters'!$C$11="Enabled")</f>
        <v>0</v>
      </c>
      <c r="X530" t="b">
        <f t="shared" si="42"/>
        <v>1</v>
      </c>
      <c r="Y530" t="b">
        <f t="shared" si="43"/>
        <v>0</v>
      </c>
      <c r="Z530" t="b">
        <f t="shared" si="44"/>
        <v>0</v>
      </c>
    </row>
    <row r="531" spans="1:26" ht="15" customHeight="1">
      <c r="A531" t="s">
        <v>1237</v>
      </c>
      <c r="B531" t="s">
        <v>1238</v>
      </c>
      <c r="C531" s="14">
        <v>45786</v>
      </c>
      <c r="D531" s="14">
        <v>45786</v>
      </c>
      <c r="E531">
        <v>2025</v>
      </c>
      <c r="F531">
        <v>5</v>
      </c>
      <c r="G531" t="s">
        <v>158</v>
      </c>
      <c r="H531" t="s">
        <v>159</v>
      </c>
      <c r="I531" t="s">
        <v>124</v>
      </c>
      <c r="J531" s="15">
        <v>60503.03</v>
      </c>
      <c r="K531" s="15">
        <v>0</v>
      </c>
      <c r="L531" s="15">
        <f t="shared" si="40"/>
        <v>60503.03</v>
      </c>
      <c r="M531" t="s">
        <v>160</v>
      </c>
      <c r="N531" t="s">
        <v>1239</v>
      </c>
      <c r="O531" t="s">
        <v>162</v>
      </c>
      <c r="P531" t="s">
        <v>151</v>
      </c>
      <c r="Q531" t="s">
        <v>175</v>
      </c>
      <c r="R531" s="16">
        <v>45786.479166666701</v>
      </c>
      <c r="S531" t="s">
        <v>130</v>
      </c>
      <c r="V531" t="b">
        <f t="shared" si="41"/>
        <v>0</v>
      </c>
      <c r="W531" t="b">
        <f>AND(OR(WEEKDAY(C531,2)=5,WEEKDAY(C531,2)=6),'01_Parameters'!$C$11="Enabled")</f>
        <v>1</v>
      </c>
      <c r="X531" t="b">
        <f t="shared" si="42"/>
        <v>0</v>
      </c>
      <c r="Y531" t="b">
        <f t="shared" si="43"/>
        <v>0</v>
      </c>
      <c r="Z531" t="b">
        <f t="shared" si="44"/>
        <v>0</v>
      </c>
    </row>
    <row r="532" spans="1:26" ht="15" customHeight="1">
      <c r="A532" t="s">
        <v>1237</v>
      </c>
      <c r="B532" t="s">
        <v>1240</v>
      </c>
      <c r="C532" s="14">
        <v>45786</v>
      </c>
      <c r="D532" s="14">
        <v>45786</v>
      </c>
      <c r="E532">
        <v>2025</v>
      </c>
      <c r="F532">
        <v>5</v>
      </c>
      <c r="G532" t="s">
        <v>164</v>
      </c>
      <c r="H532" t="s">
        <v>165</v>
      </c>
      <c r="I532" t="s">
        <v>146</v>
      </c>
      <c r="J532" s="15">
        <v>0</v>
      </c>
      <c r="K532" s="15">
        <v>60503.03</v>
      </c>
      <c r="L532" s="15">
        <f t="shared" si="40"/>
        <v>-60503.03</v>
      </c>
      <c r="M532" t="s">
        <v>160</v>
      </c>
      <c r="N532" t="s">
        <v>1239</v>
      </c>
      <c r="O532" t="s">
        <v>162</v>
      </c>
      <c r="P532" t="s">
        <v>151</v>
      </c>
      <c r="Q532" t="s">
        <v>175</v>
      </c>
      <c r="R532" s="16">
        <v>45786.479166666701</v>
      </c>
      <c r="S532" t="s">
        <v>130</v>
      </c>
      <c r="V532" t="b">
        <f t="shared" si="41"/>
        <v>0</v>
      </c>
      <c r="W532" t="b">
        <f>AND(OR(WEEKDAY(C532,2)=5,WEEKDAY(C532,2)=6),'01_Parameters'!$C$11="Enabled")</f>
        <v>1</v>
      </c>
      <c r="X532" t="b">
        <f t="shared" si="42"/>
        <v>0</v>
      </c>
      <c r="Y532" t="b">
        <f t="shared" si="43"/>
        <v>0</v>
      </c>
      <c r="Z532" t="b">
        <f t="shared" si="44"/>
        <v>0</v>
      </c>
    </row>
    <row r="533" spans="1:26" ht="15" customHeight="1">
      <c r="A533" t="s">
        <v>1241</v>
      </c>
      <c r="B533" t="s">
        <v>1242</v>
      </c>
      <c r="C533" s="14">
        <v>45948</v>
      </c>
      <c r="D533" s="14">
        <v>45945</v>
      </c>
      <c r="E533">
        <v>2025</v>
      </c>
      <c r="F533">
        <v>10</v>
      </c>
      <c r="G533" t="s">
        <v>179</v>
      </c>
      <c r="H533" t="s">
        <v>180</v>
      </c>
      <c r="I533" t="s">
        <v>124</v>
      </c>
      <c r="J533" s="15">
        <v>70582.63</v>
      </c>
      <c r="K533" s="15">
        <v>0</v>
      </c>
      <c r="L533" s="15">
        <f t="shared" si="40"/>
        <v>70582.63</v>
      </c>
      <c r="M533" t="s">
        <v>181</v>
      </c>
      <c r="N533" t="s">
        <v>1243</v>
      </c>
      <c r="O533" t="s">
        <v>183</v>
      </c>
      <c r="P533" t="s">
        <v>140</v>
      </c>
      <c r="Q533" t="s">
        <v>175</v>
      </c>
      <c r="R533" s="16">
        <v>45948.947916666701</v>
      </c>
      <c r="S533" t="s">
        <v>130</v>
      </c>
      <c r="V533" t="b">
        <f t="shared" si="41"/>
        <v>0</v>
      </c>
      <c r="W533" t="b">
        <f>AND(OR(WEEKDAY(C533,2)=5,WEEKDAY(C533,2)=6),'01_Parameters'!$C$11="Enabled")</f>
        <v>1</v>
      </c>
      <c r="X533" t="b">
        <f t="shared" si="42"/>
        <v>1</v>
      </c>
      <c r="Y533" t="b">
        <f t="shared" si="43"/>
        <v>0</v>
      </c>
      <c r="Z533" t="b">
        <f t="shared" si="44"/>
        <v>0</v>
      </c>
    </row>
    <row r="534" spans="1:26" ht="15" customHeight="1">
      <c r="A534" t="s">
        <v>1241</v>
      </c>
      <c r="B534" t="s">
        <v>1244</v>
      </c>
      <c r="C534" s="14">
        <v>45948</v>
      </c>
      <c r="D534" s="14">
        <v>45945</v>
      </c>
      <c r="E534">
        <v>2025</v>
      </c>
      <c r="F534">
        <v>10</v>
      </c>
      <c r="G534" t="s">
        <v>185</v>
      </c>
      <c r="H534" t="s">
        <v>186</v>
      </c>
      <c r="I534" t="s">
        <v>134</v>
      </c>
      <c r="J534" s="15">
        <v>0</v>
      </c>
      <c r="K534" s="15">
        <v>70582.63</v>
      </c>
      <c r="L534" s="15">
        <f t="shared" si="40"/>
        <v>-70582.63</v>
      </c>
      <c r="M534" t="s">
        <v>181</v>
      </c>
      <c r="N534" t="s">
        <v>1243</v>
      </c>
      <c r="O534" t="s">
        <v>183</v>
      </c>
      <c r="P534" t="s">
        <v>140</v>
      </c>
      <c r="Q534" t="s">
        <v>175</v>
      </c>
      <c r="R534" s="16">
        <v>45948.947916666701</v>
      </c>
      <c r="S534" t="s">
        <v>130</v>
      </c>
      <c r="V534" t="b">
        <f t="shared" si="41"/>
        <v>0</v>
      </c>
      <c r="W534" t="b">
        <f>AND(OR(WEEKDAY(C534,2)=5,WEEKDAY(C534,2)=6),'01_Parameters'!$C$11="Enabled")</f>
        <v>1</v>
      </c>
      <c r="X534" t="b">
        <f t="shared" si="42"/>
        <v>1</v>
      </c>
      <c r="Y534" t="b">
        <f t="shared" si="43"/>
        <v>0</v>
      </c>
      <c r="Z534" t="b">
        <f t="shared" si="44"/>
        <v>0</v>
      </c>
    </row>
    <row r="535" spans="1:26" ht="15" customHeight="1">
      <c r="A535" t="s">
        <v>1245</v>
      </c>
      <c r="B535" t="s">
        <v>1246</v>
      </c>
      <c r="C535" s="14">
        <v>45725</v>
      </c>
      <c r="D535" s="14">
        <v>45722</v>
      </c>
      <c r="E535">
        <v>2025</v>
      </c>
      <c r="F535">
        <v>3</v>
      </c>
      <c r="G535" t="s">
        <v>144</v>
      </c>
      <c r="H535" t="s">
        <v>145</v>
      </c>
      <c r="I535" t="s">
        <v>146</v>
      </c>
      <c r="J535" s="15">
        <v>54884.23</v>
      </c>
      <c r="K535" s="15">
        <v>0</v>
      </c>
      <c r="L535" s="15">
        <f t="shared" si="40"/>
        <v>54884.23</v>
      </c>
      <c r="M535" t="s">
        <v>147</v>
      </c>
      <c r="N535" t="s">
        <v>1247</v>
      </c>
      <c r="O535" t="s">
        <v>149</v>
      </c>
      <c r="P535" t="s">
        <v>175</v>
      </c>
      <c r="Q535" t="s">
        <v>129</v>
      </c>
      <c r="R535" s="16">
        <v>45725.6875</v>
      </c>
      <c r="S535" t="s">
        <v>130</v>
      </c>
      <c r="V535" t="b">
        <f t="shared" si="41"/>
        <v>0</v>
      </c>
      <c r="W535" t="b">
        <f>AND(OR(WEEKDAY(C535,2)=5,WEEKDAY(C535,2)=6),'01_Parameters'!$C$11="Enabled")</f>
        <v>0</v>
      </c>
      <c r="X535" t="b">
        <f t="shared" si="42"/>
        <v>0</v>
      </c>
      <c r="Y535" t="b">
        <f t="shared" si="43"/>
        <v>0</v>
      </c>
      <c r="Z535" t="b">
        <f t="shared" si="44"/>
        <v>0</v>
      </c>
    </row>
    <row r="536" spans="1:26" ht="15" customHeight="1">
      <c r="A536" t="s">
        <v>1245</v>
      </c>
      <c r="B536" t="s">
        <v>1248</v>
      </c>
      <c r="C536" s="14">
        <v>45725</v>
      </c>
      <c r="D536" s="14">
        <v>45722</v>
      </c>
      <c r="E536">
        <v>2025</v>
      </c>
      <c r="F536">
        <v>3</v>
      </c>
      <c r="G536" t="s">
        <v>153</v>
      </c>
      <c r="H536" t="s">
        <v>154</v>
      </c>
      <c r="I536" t="s">
        <v>155</v>
      </c>
      <c r="J536" s="15">
        <v>0</v>
      </c>
      <c r="K536" s="15">
        <v>54884.23</v>
      </c>
      <c r="L536" s="15">
        <f t="shared" si="40"/>
        <v>-54884.23</v>
      </c>
      <c r="M536" t="s">
        <v>147</v>
      </c>
      <c r="N536" t="s">
        <v>1247</v>
      </c>
      <c r="O536" t="s">
        <v>149</v>
      </c>
      <c r="P536" t="s">
        <v>175</v>
      </c>
      <c r="Q536" t="s">
        <v>129</v>
      </c>
      <c r="R536" s="16">
        <v>45725.6875</v>
      </c>
      <c r="S536" t="s">
        <v>130</v>
      </c>
      <c r="V536" t="b">
        <f t="shared" si="41"/>
        <v>0</v>
      </c>
      <c r="W536" t="b">
        <f>AND(OR(WEEKDAY(C536,2)=5,WEEKDAY(C536,2)=6),'01_Parameters'!$C$11="Enabled")</f>
        <v>0</v>
      </c>
      <c r="X536" t="b">
        <f t="shared" si="42"/>
        <v>0</v>
      </c>
      <c r="Y536" t="b">
        <f t="shared" si="43"/>
        <v>0</v>
      </c>
      <c r="Z536" t="b">
        <f t="shared" si="44"/>
        <v>0</v>
      </c>
    </row>
    <row r="537" spans="1:26" ht="15" customHeight="1">
      <c r="A537" t="s">
        <v>1249</v>
      </c>
      <c r="B537" t="s">
        <v>1250</v>
      </c>
      <c r="C537" s="14">
        <v>45709</v>
      </c>
      <c r="D537" s="14">
        <v>45707</v>
      </c>
      <c r="E537">
        <v>2025</v>
      </c>
      <c r="F537">
        <v>2</v>
      </c>
      <c r="G537" t="s">
        <v>179</v>
      </c>
      <c r="H537" t="s">
        <v>180</v>
      </c>
      <c r="I537" t="s">
        <v>124</v>
      </c>
      <c r="J537" s="15">
        <v>25319.52</v>
      </c>
      <c r="K537" s="15">
        <v>0</v>
      </c>
      <c r="L537" s="15">
        <f t="shared" si="40"/>
        <v>25319.52</v>
      </c>
      <c r="M537" t="s">
        <v>181</v>
      </c>
      <c r="N537" t="s">
        <v>1251</v>
      </c>
      <c r="O537" t="s">
        <v>183</v>
      </c>
      <c r="P537" t="s">
        <v>151</v>
      </c>
      <c r="Q537" t="s">
        <v>128</v>
      </c>
      <c r="R537" s="16">
        <v>45709.729166666701</v>
      </c>
      <c r="S537" t="s">
        <v>130</v>
      </c>
      <c r="V537" t="b">
        <f t="shared" si="41"/>
        <v>0</v>
      </c>
      <c r="W537" t="b">
        <f>AND(OR(WEEKDAY(C537,2)=5,WEEKDAY(C537,2)=6),'01_Parameters'!$C$11="Enabled")</f>
        <v>1</v>
      </c>
      <c r="X537" t="b">
        <f t="shared" si="42"/>
        <v>0</v>
      </c>
      <c r="Y537" t="b">
        <f t="shared" si="43"/>
        <v>0</v>
      </c>
      <c r="Z537" t="b">
        <f t="shared" si="44"/>
        <v>0</v>
      </c>
    </row>
    <row r="538" spans="1:26" ht="15" customHeight="1">
      <c r="A538" t="s">
        <v>1249</v>
      </c>
      <c r="B538" t="s">
        <v>1252</v>
      </c>
      <c r="C538" s="14">
        <v>45709</v>
      </c>
      <c r="D538" s="14">
        <v>45707</v>
      </c>
      <c r="E538">
        <v>2025</v>
      </c>
      <c r="F538">
        <v>2</v>
      </c>
      <c r="G538" t="s">
        <v>185</v>
      </c>
      <c r="H538" t="s">
        <v>186</v>
      </c>
      <c r="I538" t="s">
        <v>134</v>
      </c>
      <c r="J538" s="15">
        <v>0</v>
      </c>
      <c r="K538" s="15">
        <v>25319.52</v>
      </c>
      <c r="L538" s="15">
        <f t="shared" si="40"/>
        <v>-25319.52</v>
      </c>
      <c r="M538" t="s">
        <v>181</v>
      </c>
      <c r="N538" t="s">
        <v>1251</v>
      </c>
      <c r="O538" t="s">
        <v>183</v>
      </c>
      <c r="P538" t="s">
        <v>151</v>
      </c>
      <c r="Q538" t="s">
        <v>128</v>
      </c>
      <c r="R538" s="16">
        <v>45709.729166666701</v>
      </c>
      <c r="S538" t="s">
        <v>130</v>
      </c>
      <c r="V538" t="b">
        <f t="shared" si="41"/>
        <v>0</v>
      </c>
      <c r="W538" t="b">
        <f>AND(OR(WEEKDAY(C538,2)=5,WEEKDAY(C538,2)=6),'01_Parameters'!$C$11="Enabled")</f>
        <v>1</v>
      </c>
      <c r="X538" t="b">
        <f t="shared" si="42"/>
        <v>0</v>
      </c>
      <c r="Y538" t="b">
        <f t="shared" si="43"/>
        <v>0</v>
      </c>
      <c r="Z538" t="b">
        <f t="shared" si="44"/>
        <v>0</v>
      </c>
    </row>
    <row r="539" spans="1:26" ht="15" customHeight="1">
      <c r="A539" t="s">
        <v>1253</v>
      </c>
      <c r="B539" t="s">
        <v>1254</v>
      </c>
      <c r="C539" s="14">
        <v>46012</v>
      </c>
      <c r="D539" s="14">
        <v>46007</v>
      </c>
      <c r="E539">
        <v>2025</v>
      </c>
      <c r="F539">
        <v>12</v>
      </c>
      <c r="G539" t="s">
        <v>193</v>
      </c>
      <c r="H539" t="s">
        <v>194</v>
      </c>
      <c r="I539" t="s">
        <v>124</v>
      </c>
      <c r="J539" s="15">
        <v>54409.02</v>
      </c>
      <c r="K539" s="15">
        <v>0</v>
      </c>
      <c r="L539" s="15">
        <f t="shared" si="40"/>
        <v>54409.02</v>
      </c>
      <c r="M539" t="s">
        <v>195</v>
      </c>
      <c r="N539" t="s">
        <v>1255</v>
      </c>
      <c r="O539" t="s">
        <v>197</v>
      </c>
      <c r="P539" t="s">
        <v>129</v>
      </c>
      <c r="Q539" t="s">
        <v>151</v>
      </c>
      <c r="R539" s="16">
        <v>46012.59375</v>
      </c>
      <c r="S539" t="s">
        <v>130</v>
      </c>
      <c r="V539" t="b">
        <f t="shared" si="41"/>
        <v>1</v>
      </c>
      <c r="W539" t="b">
        <f>AND(OR(WEEKDAY(C539,2)=5,WEEKDAY(C539,2)=6),'01_Parameters'!$C$11="Enabled")</f>
        <v>0</v>
      </c>
      <c r="X539" t="b">
        <f t="shared" si="42"/>
        <v>0</v>
      </c>
      <c r="Y539" t="b">
        <f t="shared" si="43"/>
        <v>0</v>
      </c>
      <c r="Z539" t="b">
        <f t="shared" si="44"/>
        <v>0</v>
      </c>
    </row>
    <row r="540" spans="1:26" ht="15" customHeight="1">
      <c r="A540" t="s">
        <v>1253</v>
      </c>
      <c r="B540" t="s">
        <v>1256</v>
      </c>
      <c r="C540" s="14">
        <v>46012</v>
      </c>
      <c r="D540" s="14">
        <v>46007</v>
      </c>
      <c r="E540">
        <v>2025</v>
      </c>
      <c r="F540">
        <v>12</v>
      </c>
      <c r="G540" t="s">
        <v>199</v>
      </c>
      <c r="H540" t="s">
        <v>200</v>
      </c>
      <c r="I540" t="s">
        <v>146</v>
      </c>
      <c r="J540" s="15">
        <v>0</v>
      </c>
      <c r="K540" s="15">
        <v>54409.02</v>
      </c>
      <c r="L540" s="15">
        <f t="shared" si="40"/>
        <v>-54409.02</v>
      </c>
      <c r="M540" t="s">
        <v>195</v>
      </c>
      <c r="N540" t="s">
        <v>1255</v>
      </c>
      <c r="O540" t="s">
        <v>197</v>
      </c>
      <c r="P540" t="s">
        <v>129</v>
      </c>
      <c r="Q540" t="s">
        <v>151</v>
      </c>
      <c r="R540" s="16">
        <v>46012.59375</v>
      </c>
      <c r="S540" t="s">
        <v>130</v>
      </c>
      <c r="V540" t="b">
        <f t="shared" si="41"/>
        <v>1</v>
      </c>
      <c r="W540" t="b">
        <f>AND(OR(WEEKDAY(C540,2)=5,WEEKDAY(C540,2)=6),'01_Parameters'!$C$11="Enabled")</f>
        <v>0</v>
      </c>
      <c r="X540" t="b">
        <f t="shared" si="42"/>
        <v>0</v>
      </c>
      <c r="Y540" t="b">
        <f t="shared" si="43"/>
        <v>0</v>
      </c>
      <c r="Z540" t="b">
        <f t="shared" si="44"/>
        <v>0</v>
      </c>
    </row>
    <row r="541" spans="1:26" ht="15" customHeight="1">
      <c r="A541" t="s">
        <v>1257</v>
      </c>
      <c r="B541" t="s">
        <v>1258</v>
      </c>
      <c r="C541" s="14">
        <v>45983</v>
      </c>
      <c r="D541" s="14">
        <v>45979</v>
      </c>
      <c r="E541">
        <v>2025</v>
      </c>
      <c r="F541">
        <v>11</v>
      </c>
      <c r="G541" t="s">
        <v>179</v>
      </c>
      <c r="H541" t="s">
        <v>180</v>
      </c>
      <c r="I541" t="s">
        <v>124</v>
      </c>
      <c r="J541" s="15">
        <v>10308.02</v>
      </c>
      <c r="K541" s="15">
        <v>0</v>
      </c>
      <c r="L541" s="15">
        <f t="shared" si="40"/>
        <v>10308.02</v>
      </c>
      <c r="M541" t="s">
        <v>181</v>
      </c>
      <c r="N541" t="s">
        <v>1259</v>
      </c>
      <c r="O541" t="s">
        <v>183</v>
      </c>
      <c r="P541" t="s">
        <v>151</v>
      </c>
      <c r="Q541" t="s">
        <v>140</v>
      </c>
      <c r="R541" s="16">
        <v>45983.479166666701</v>
      </c>
      <c r="S541" t="s">
        <v>130</v>
      </c>
      <c r="V541" t="b">
        <f t="shared" si="41"/>
        <v>0</v>
      </c>
      <c r="W541" t="b">
        <f>AND(OR(WEEKDAY(C541,2)=5,WEEKDAY(C541,2)=6),'01_Parameters'!$C$11="Enabled")</f>
        <v>1</v>
      </c>
      <c r="X541" t="b">
        <f t="shared" si="42"/>
        <v>0</v>
      </c>
      <c r="Y541" t="b">
        <f t="shared" si="43"/>
        <v>0</v>
      </c>
      <c r="Z541" t="b">
        <f t="shared" si="44"/>
        <v>0</v>
      </c>
    </row>
    <row r="542" spans="1:26" ht="15" customHeight="1">
      <c r="A542" t="s">
        <v>1257</v>
      </c>
      <c r="B542" t="s">
        <v>1260</v>
      </c>
      <c r="C542" s="14">
        <v>45983</v>
      </c>
      <c r="D542" s="14">
        <v>45979</v>
      </c>
      <c r="E542">
        <v>2025</v>
      </c>
      <c r="F542">
        <v>11</v>
      </c>
      <c r="G542" t="s">
        <v>185</v>
      </c>
      <c r="H542" t="s">
        <v>186</v>
      </c>
      <c r="I542" t="s">
        <v>134</v>
      </c>
      <c r="J542" s="15">
        <v>0</v>
      </c>
      <c r="K542" s="15">
        <v>10308.02</v>
      </c>
      <c r="L542" s="15">
        <f t="shared" si="40"/>
        <v>-10308.02</v>
      </c>
      <c r="M542" t="s">
        <v>181</v>
      </c>
      <c r="N542" t="s">
        <v>1259</v>
      </c>
      <c r="O542" t="s">
        <v>183</v>
      </c>
      <c r="P542" t="s">
        <v>151</v>
      </c>
      <c r="Q542" t="s">
        <v>140</v>
      </c>
      <c r="R542" s="16">
        <v>45983.479166666701</v>
      </c>
      <c r="S542" t="s">
        <v>130</v>
      </c>
      <c r="V542" t="b">
        <f t="shared" si="41"/>
        <v>0</v>
      </c>
      <c r="W542" t="b">
        <f>AND(OR(WEEKDAY(C542,2)=5,WEEKDAY(C542,2)=6),'01_Parameters'!$C$11="Enabled")</f>
        <v>1</v>
      </c>
      <c r="X542" t="b">
        <f t="shared" si="42"/>
        <v>0</v>
      </c>
      <c r="Y542" t="b">
        <f t="shared" si="43"/>
        <v>0</v>
      </c>
      <c r="Z542" t="b">
        <f t="shared" si="44"/>
        <v>0</v>
      </c>
    </row>
    <row r="543" spans="1:26" ht="15" customHeight="1">
      <c r="A543" t="s">
        <v>1261</v>
      </c>
      <c r="B543" t="s">
        <v>1262</v>
      </c>
      <c r="C543" s="14">
        <v>45959</v>
      </c>
      <c r="D543" s="14">
        <v>45957</v>
      </c>
      <c r="E543">
        <v>2025</v>
      </c>
      <c r="F543">
        <v>10</v>
      </c>
      <c r="G543" t="s">
        <v>122</v>
      </c>
      <c r="H543" t="s">
        <v>123</v>
      </c>
      <c r="I543" t="s">
        <v>124</v>
      </c>
      <c r="J543" s="15">
        <v>65226.1</v>
      </c>
      <c r="K543" s="15">
        <v>0</v>
      </c>
      <c r="L543" s="15">
        <f t="shared" si="40"/>
        <v>65226.1</v>
      </c>
      <c r="M543" t="s">
        <v>209</v>
      </c>
      <c r="N543" t="s">
        <v>1263</v>
      </c>
      <c r="O543" t="s">
        <v>211</v>
      </c>
      <c r="P543" t="s">
        <v>128</v>
      </c>
      <c r="Q543" t="s">
        <v>129</v>
      </c>
      <c r="R543" s="16">
        <v>45959.354166666701</v>
      </c>
      <c r="S543" t="s">
        <v>130</v>
      </c>
      <c r="T543" t="s">
        <v>322</v>
      </c>
      <c r="U543" t="s">
        <v>1263</v>
      </c>
      <c r="V543" t="b">
        <f t="shared" si="41"/>
        <v>0</v>
      </c>
      <c r="W543" t="b">
        <f>AND(OR(WEEKDAY(C543,2)=5,WEEKDAY(C543,2)=6),'01_Parameters'!$C$11="Enabled")</f>
        <v>0</v>
      </c>
      <c r="X543" t="b">
        <f t="shared" si="42"/>
        <v>0</v>
      </c>
      <c r="Y543" t="b">
        <f t="shared" si="43"/>
        <v>0</v>
      </c>
      <c r="Z543" t="b">
        <f t="shared" si="44"/>
        <v>0</v>
      </c>
    </row>
    <row r="544" spans="1:26" ht="15" customHeight="1">
      <c r="A544" t="s">
        <v>1261</v>
      </c>
      <c r="B544" t="s">
        <v>1264</v>
      </c>
      <c r="C544" s="14">
        <v>45959</v>
      </c>
      <c r="D544" s="14">
        <v>45957</v>
      </c>
      <c r="E544">
        <v>2025</v>
      </c>
      <c r="F544">
        <v>10</v>
      </c>
      <c r="G544" t="s">
        <v>132</v>
      </c>
      <c r="H544" t="s">
        <v>133</v>
      </c>
      <c r="I544" t="s">
        <v>134</v>
      </c>
      <c r="J544" s="15">
        <v>0</v>
      </c>
      <c r="K544" s="15">
        <v>65226.1</v>
      </c>
      <c r="L544" s="15">
        <f t="shared" si="40"/>
        <v>-65226.1</v>
      </c>
      <c r="M544" t="s">
        <v>209</v>
      </c>
      <c r="N544" t="s">
        <v>1263</v>
      </c>
      <c r="O544" t="s">
        <v>211</v>
      </c>
      <c r="P544" t="s">
        <v>128</v>
      </c>
      <c r="Q544" t="s">
        <v>129</v>
      </c>
      <c r="R544" s="16">
        <v>45959.354166666701</v>
      </c>
      <c r="S544" t="s">
        <v>130</v>
      </c>
      <c r="T544" t="s">
        <v>322</v>
      </c>
      <c r="U544" t="s">
        <v>1263</v>
      </c>
      <c r="V544" t="b">
        <f t="shared" si="41"/>
        <v>0</v>
      </c>
      <c r="W544" t="b">
        <f>AND(OR(WEEKDAY(C544,2)=5,WEEKDAY(C544,2)=6),'01_Parameters'!$C$11="Enabled")</f>
        <v>0</v>
      </c>
      <c r="X544" t="b">
        <f t="shared" si="42"/>
        <v>0</v>
      </c>
      <c r="Y544" t="b">
        <f t="shared" si="43"/>
        <v>0</v>
      </c>
      <c r="Z544" t="b">
        <f t="shared" si="44"/>
        <v>0</v>
      </c>
    </row>
    <row r="545" spans="1:26" ht="15" customHeight="1">
      <c r="A545" t="s">
        <v>1265</v>
      </c>
      <c r="B545" t="s">
        <v>1266</v>
      </c>
      <c r="C545" s="14">
        <v>45916</v>
      </c>
      <c r="D545" s="14">
        <v>45916</v>
      </c>
      <c r="E545">
        <v>2025</v>
      </c>
      <c r="F545">
        <v>9</v>
      </c>
      <c r="G545" t="s">
        <v>144</v>
      </c>
      <c r="H545" t="s">
        <v>145</v>
      </c>
      <c r="I545" t="s">
        <v>146</v>
      </c>
      <c r="J545" s="15">
        <v>11775.18</v>
      </c>
      <c r="K545" s="15">
        <v>0</v>
      </c>
      <c r="L545" s="15">
        <f t="shared" si="40"/>
        <v>11775.18</v>
      </c>
      <c r="M545" t="s">
        <v>147</v>
      </c>
      <c r="N545" t="s">
        <v>1267</v>
      </c>
      <c r="O545" t="s">
        <v>149</v>
      </c>
      <c r="P545" t="s">
        <v>151</v>
      </c>
      <c r="Q545" t="s">
        <v>128</v>
      </c>
      <c r="R545" s="16">
        <v>45916.5</v>
      </c>
      <c r="S545" t="s">
        <v>130</v>
      </c>
      <c r="V545" t="b">
        <f t="shared" si="41"/>
        <v>0</v>
      </c>
      <c r="W545" t="b">
        <f>AND(OR(WEEKDAY(C545,2)=5,WEEKDAY(C545,2)=6),'01_Parameters'!$C$11="Enabled")</f>
        <v>0</v>
      </c>
      <c r="X545" t="b">
        <f t="shared" si="42"/>
        <v>0</v>
      </c>
      <c r="Y545" t="b">
        <f t="shared" si="43"/>
        <v>0</v>
      </c>
      <c r="Z545" t="b">
        <f t="shared" si="44"/>
        <v>0</v>
      </c>
    </row>
    <row r="546" spans="1:26" ht="15" customHeight="1">
      <c r="A546" t="s">
        <v>1265</v>
      </c>
      <c r="B546" t="s">
        <v>1268</v>
      </c>
      <c r="C546" s="14">
        <v>45916</v>
      </c>
      <c r="D546" s="14">
        <v>45916</v>
      </c>
      <c r="E546">
        <v>2025</v>
      </c>
      <c r="F546">
        <v>9</v>
      </c>
      <c r="G546" t="s">
        <v>153</v>
      </c>
      <c r="H546" t="s">
        <v>154</v>
      </c>
      <c r="I546" t="s">
        <v>155</v>
      </c>
      <c r="J546" s="15">
        <v>0</v>
      </c>
      <c r="K546" s="15">
        <v>11775.18</v>
      </c>
      <c r="L546" s="15">
        <f t="shared" si="40"/>
        <v>-11775.18</v>
      </c>
      <c r="M546" t="s">
        <v>147</v>
      </c>
      <c r="N546" t="s">
        <v>1267</v>
      </c>
      <c r="O546" t="s">
        <v>149</v>
      </c>
      <c r="P546" t="s">
        <v>151</v>
      </c>
      <c r="Q546" t="s">
        <v>128</v>
      </c>
      <c r="R546" s="16">
        <v>45916.5</v>
      </c>
      <c r="S546" t="s">
        <v>130</v>
      </c>
      <c r="V546" t="b">
        <f t="shared" si="41"/>
        <v>0</v>
      </c>
      <c r="W546" t="b">
        <f>AND(OR(WEEKDAY(C546,2)=5,WEEKDAY(C546,2)=6),'01_Parameters'!$C$11="Enabled")</f>
        <v>0</v>
      </c>
      <c r="X546" t="b">
        <f t="shared" si="42"/>
        <v>0</v>
      </c>
      <c r="Y546" t="b">
        <f t="shared" si="43"/>
        <v>0</v>
      </c>
      <c r="Z546" t="b">
        <f t="shared" si="44"/>
        <v>0</v>
      </c>
    </row>
    <row r="547" spans="1:26" ht="15" customHeight="1">
      <c r="A547" t="s">
        <v>1269</v>
      </c>
      <c r="B547" t="s">
        <v>1270</v>
      </c>
      <c r="C547" s="14">
        <v>45930</v>
      </c>
      <c r="D547" s="14">
        <v>45930</v>
      </c>
      <c r="E547">
        <v>2025</v>
      </c>
      <c r="F547">
        <v>9</v>
      </c>
      <c r="G547" t="s">
        <v>122</v>
      </c>
      <c r="H547" t="s">
        <v>123</v>
      </c>
      <c r="I547" t="s">
        <v>124</v>
      </c>
      <c r="J547" s="15">
        <v>9013.1</v>
      </c>
      <c r="K547" s="15">
        <v>0</v>
      </c>
      <c r="L547" s="15">
        <f t="shared" si="40"/>
        <v>9013.1</v>
      </c>
      <c r="M547" t="s">
        <v>209</v>
      </c>
      <c r="N547" t="s">
        <v>1271</v>
      </c>
      <c r="O547" t="s">
        <v>211</v>
      </c>
      <c r="P547" t="s">
        <v>128</v>
      </c>
      <c r="Q547" t="s">
        <v>175</v>
      </c>
      <c r="R547" s="16">
        <v>45930.416666666701</v>
      </c>
      <c r="S547" t="s">
        <v>130</v>
      </c>
      <c r="T547" t="s">
        <v>349</v>
      </c>
      <c r="U547" t="s">
        <v>1271</v>
      </c>
      <c r="V547" t="b">
        <f t="shared" si="41"/>
        <v>0</v>
      </c>
      <c r="W547" t="b">
        <f>AND(OR(WEEKDAY(C547,2)=5,WEEKDAY(C547,2)=6),'01_Parameters'!$C$11="Enabled")</f>
        <v>0</v>
      </c>
      <c r="X547" t="b">
        <f t="shared" si="42"/>
        <v>0</v>
      </c>
      <c r="Y547" t="b">
        <f t="shared" si="43"/>
        <v>0</v>
      </c>
      <c r="Z547" t="b">
        <f t="shared" si="44"/>
        <v>0</v>
      </c>
    </row>
    <row r="548" spans="1:26" ht="15" customHeight="1">
      <c r="A548" t="s">
        <v>1269</v>
      </c>
      <c r="B548" t="s">
        <v>1272</v>
      </c>
      <c r="C548" s="14">
        <v>45930</v>
      </c>
      <c r="D548" s="14">
        <v>45930</v>
      </c>
      <c r="E548">
        <v>2025</v>
      </c>
      <c r="F548">
        <v>9</v>
      </c>
      <c r="G548" t="s">
        <v>132</v>
      </c>
      <c r="H548" t="s">
        <v>133</v>
      </c>
      <c r="I548" t="s">
        <v>134</v>
      </c>
      <c r="J548" s="15">
        <v>0</v>
      </c>
      <c r="K548" s="15">
        <v>9013.1</v>
      </c>
      <c r="L548" s="15">
        <f t="shared" si="40"/>
        <v>-9013.1</v>
      </c>
      <c r="M548" t="s">
        <v>209</v>
      </c>
      <c r="N548" t="s">
        <v>1271</v>
      </c>
      <c r="O548" t="s">
        <v>211</v>
      </c>
      <c r="P548" t="s">
        <v>128</v>
      </c>
      <c r="Q548" t="s">
        <v>175</v>
      </c>
      <c r="R548" s="16">
        <v>45930.416666666701</v>
      </c>
      <c r="S548" t="s">
        <v>130</v>
      </c>
      <c r="T548" t="s">
        <v>349</v>
      </c>
      <c r="U548" t="s">
        <v>1271</v>
      </c>
      <c r="V548" t="b">
        <f t="shared" si="41"/>
        <v>0</v>
      </c>
      <c r="W548" t="b">
        <f>AND(OR(WEEKDAY(C548,2)=5,WEEKDAY(C548,2)=6),'01_Parameters'!$C$11="Enabled")</f>
        <v>0</v>
      </c>
      <c r="X548" t="b">
        <f t="shared" si="42"/>
        <v>0</v>
      </c>
      <c r="Y548" t="b">
        <f t="shared" si="43"/>
        <v>0</v>
      </c>
      <c r="Z548" t="b">
        <f t="shared" si="44"/>
        <v>0</v>
      </c>
    </row>
    <row r="549" spans="1:26" ht="15" customHeight="1">
      <c r="A549" t="s">
        <v>1273</v>
      </c>
      <c r="B549" t="s">
        <v>1274</v>
      </c>
      <c r="C549" s="14">
        <v>45931</v>
      </c>
      <c r="D549" s="14">
        <v>45927</v>
      </c>
      <c r="E549">
        <v>2025</v>
      </c>
      <c r="F549">
        <v>10</v>
      </c>
      <c r="G549" t="s">
        <v>179</v>
      </c>
      <c r="H549" t="s">
        <v>180</v>
      </c>
      <c r="I549" t="s">
        <v>124</v>
      </c>
      <c r="J549" s="15">
        <v>57254.91</v>
      </c>
      <c r="K549" s="15">
        <v>0</v>
      </c>
      <c r="L549" s="15">
        <f t="shared" si="40"/>
        <v>57254.91</v>
      </c>
      <c r="M549" t="s">
        <v>181</v>
      </c>
      <c r="N549" t="s">
        <v>1275</v>
      </c>
      <c r="O549" t="s">
        <v>183</v>
      </c>
      <c r="P549" t="s">
        <v>175</v>
      </c>
      <c r="Q549" t="s">
        <v>150</v>
      </c>
      <c r="R549" s="16">
        <v>45931.260416666701</v>
      </c>
      <c r="S549" t="s">
        <v>130</v>
      </c>
      <c r="V549" t="b">
        <f t="shared" si="41"/>
        <v>0</v>
      </c>
      <c r="W549" t="b">
        <f>AND(OR(WEEKDAY(C549,2)=5,WEEKDAY(C549,2)=6),'01_Parameters'!$C$11="Enabled")</f>
        <v>0</v>
      </c>
      <c r="X549" t="b">
        <f t="shared" si="42"/>
        <v>1</v>
      </c>
      <c r="Y549" t="b">
        <f t="shared" si="43"/>
        <v>0</v>
      </c>
      <c r="Z549" t="b">
        <f t="shared" si="44"/>
        <v>0</v>
      </c>
    </row>
    <row r="550" spans="1:26" ht="15" customHeight="1">
      <c r="A550" t="s">
        <v>1273</v>
      </c>
      <c r="B550" t="s">
        <v>1276</v>
      </c>
      <c r="C550" s="14">
        <v>45931</v>
      </c>
      <c r="D550" s="14">
        <v>45927</v>
      </c>
      <c r="E550">
        <v>2025</v>
      </c>
      <c r="F550">
        <v>10</v>
      </c>
      <c r="G550" t="s">
        <v>185</v>
      </c>
      <c r="H550" t="s">
        <v>186</v>
      </c>
      <c r="I550" t="s">
        <v>134</v>
      </c>
      <c r="J550" s="15">
        <v>0</v>
      </c>
      <c r="K550" s="15">
        <v>57254.91</v>
      </c>
      <c r="L550" s="15">
        <f t="shared" si="40"/>
        <v>-57254.91</v>
      </c>
      <c r="M550" t="s">
        <v>181</v>
      </c>
      <c r="N550" t="s">
        <v>1275</v>
      </c>
      <c r="O550" t="s">
        <v>183</v>
      </c>
      <c r="P550" t="s">
        <v>175</v>
      </c>
      <c r="Q550" t="s">
        <v>150</v>
      </c>
      <c r="R550" s="16">
        <v>45931.260416666701</v>
      </c>
      <c r="S550" t="s">
        <v>130</v>
      </c>
      <c r="V550" t="b">
        <f t="shared" si="41"/>
        <v>0</v>
      </c>
      <c r="W550" t="b">
        <f>AND(OR(WEEKDAY(C550,2)=5,WEEKDAY(C550,2)=6),'01_Parameters'!$C$11="Enabled")</f>
        <v>0</v>
      </c>
      <c r="X550" t="b">
        <f t="shared" si="42"/>
        <v>1</v>
      </c>
      <c r="Y550" t="b">
        <f t="shared" si="43"/>
        <v>0</v>
      </c>
      <c r="Z550" t="b">
        <f t="shared" si="44"/>
        <v>0</v>
      </c>
    </row>
    <row r="551" spans="1:26" ht="15" customHeight="1">
      <c r="A551" t="s">
        <v>1277</v>
      </c>
      <c r="B551" t="s">
        <v>1278</v>
      </c>
      <c r="C551" s="14">
        <v>45693</v>
      </c>
      <c r="D551" s="14">
        <v>45693</v>
      </c>
      <c r="E551">
        <v>2025</v>
      </c>
      <c r="F551">
        <v>2</v>
      </c>
      <c r="G551" t="s">
        <v>137</v>
      </c>
      <c r="H551" t="s">
        <v>138</v>
      </c>
      <c r="I551" t="s">
        <v>124</v>
      </c>
      <c r="J551" s="15">
        <v>108097.32</v>
      </c>
      <c r="K551" s="15">
        <v>0</v>
      </c>
      <c r="L551" s="15">
        <f t="shared" si="40"/>
        <v>108097.32</v>
      </c>
      <c r="M551" t="s">
        <v>125</v>
      </c>
      <c r="N551" t="s">
        <v>1279</v>
      </c>
      <c r="O551" t="s">
        <v>127</v>
      </c>
      <c r="P551" t="s">
        <v>128</v>
      </c>
      <c r="Q551" t="s">
        <v>150</v>
      </c>
      <c r="R551" s="16">
        <v>45693.739583333299</v>
      </c>
      <c r="S551" t="s">
        <v>130</v>
      </c>
      <c r="V551" t="b">
        <f t="shared" si="41"/>
        <v>0</v>
      </c>
      <c r="W551" t="b">
        <f>AND(OR(WEEKDAY(C551,2)=5,WEEKDAY(C551,2)=6),'01_Parameters'!$C$11="Enabled")</f>
        <v>0</v>
      </c>
      <c r="X551" t="b">
        <f t="shared" si="42"/>
        <v>0</v>
      </c>
      <c r="Y551" t="b">
        <f t="shared" si="43"/>
        <v>1</v>
      </c>
      <c r="Z551" t="b">
        <f t="shared" si="44"/>
        <v>0</v>
      </c>
    </row>
    <row r="552" spans="1:26" ht="15" customHeight="1">
      <c r="A552" t="s">
        <v>1277</v>
      </c>
      <c r="B552" t="s">
        <v>1280</v>
      </c>
      <c r="C552" s="14">
        <v>45693</v>
      </c>
      <c r="D552" s="14">
        <v>45693</v>
      </c>
      <c r="E552">
        <v>2025</v>
      </c>
      <c r="F552">
        <v>2</v>
      </c>
      <c r="G552" t="s">
        <v>132</v>
      </c>
      <c r="H552" t="s">
        <v>133</v>
      </c>
      <c r="I552" t="s">
        <v>134</v>
      </c>
      <c r="J552" s="15">
        <v>0</v>
      </c>
      <c r="K552" s="15">
        <v>108097.32</v>
      </c>
      <c r="L552" s="15">
        <f t="shared" si="40"/>
        <v>-108097.32</v>
      </c>
      <c r="M552" t="s">
        <v>125</v>
      </c>
      <c r="N552" t="s">
        <v>1279</v>
      </c>
      <c r="O552" t="s">
        <v>127</v>
      </c>
      <c r="P552" t="s">
        <v>128</v>
      </c>
      <c r="Q552" t="s">
        <v>150</v>
      </c>
      <c r="R552" s="16">
        <v>45693.739583333299</v>
      </c>
      <c r="S552" t="s">
        <v>130</v>
      </c>
      <c r="V552" t="b">
        <f t="shared" si="41"/>
        <v>0</v>
      </c>
      <c r="W552" t="b">
        <f>AND(OR(WEEKDAY(C552,2)=5,WEEKDAY(C552,2)=6),'01_Parameters'!$C$11="Enabled")</f>
        <v>0</v>
      </c>
      <c r="X552" t="b">
        <f t="shared" si="42"/>
        <v>0</v>
      </c>
      <c r="Y552" t="b">
        <f t="shared" si="43"/>
        <v>1</v>
      </c>
      <c r="Z552" t="b">
        <f t="shared" si="44"/>
        <v>0</v>
      </c>
    </row>
    <row r="553" spans="1:26" ht="15" customHeight="1">
      <c r="A553" t="s">
        <v>1281</v>
      </c>
      <c r="B553" t="s">
        <v>1282</v>
      </c>
      <c r="C553" s="14">
        <v>45978</v>
      </c>
      <c r="D553" s="14">
        <v>45973</v>
      </c>
      <c r="E553">
        <v>2025</v>
      </c>
      <c r="F553">
        <v>11</v>
      </c>
      <c r="G553" t="s">
        <v>334</v>
      </c>
      <c r="H553" t="s">
        <v>335</v>
      </c>
      <c r="I553" t="s">
        <v>124</v>
      </c>
      <c r="J553" s="15">
        <v>77009.52</v>
      </c>
      <c r="K553" s="15">
        <v>0</v>
      </c>
      <c r="L553" s="15">
        <f t="shared" si="40"/>
        <v>77009.52</v>
      </c>
      <c r="M553" t="s">
        <v>125</v>
      </c>
      <c r="N553" t="s">
        <v>1283</v>
      </c>
      <c r="O553" t="s">
        <v>127</v>
      </c>
      <c r="P553" t="s">
        <v>175</v>
      </c>
      <c r="Q553" t="s">
        <v>128</v>
      </c>
      <c r="R553" s="16">
        <v>45978.3125</v>
      </c>
      <c r="S553" t="s">
        <v>130</v>
      </c>
      <c r="V553" t="b">
        <f t="shared" si="41"/>
        <v>0</v>
      </c>
      <c r="W553" t="b">
        <f>AND(OR(WEEKDAY(C553,2)=5,WEEKDAY(C553,2)=6),'01_Parameters'!$C$11="Enabled")</f>
        <v>0</v>
      </c>
      <c r="X553" t="b">
        <f t="shared" si="42"/>
        <v>1</v>
      </c>
      <c r="Y553" t="b">
        <f t="shared" si="43"/>
        <v>0</v>
      </c>
      <c r="Z553" t="b">
        <f t="shared" si="44"/>
        <v>0</v>
      </c>
    </row>
    <row r="554" spans="1:26" ht="15" customHeight="1">
      <c r="A554" t="s">
        <v>1281</v>
      </c>
      <c r="B554" t="s">
        <v>1284</v>
      </c>
      <c r="C554" s="14">
        <v>45978</v>
      </c>
      <c r="D554" s="14">
        <v>45973</v>
      </c>
      <c r="E554">
        <v>2025</v>
      </c>
      <c r="F554">
        <v>11</v>
      </c>
      <c r="G554" t="s">
        <v>132</v>
      </c>
      <c r="H554" t="s">
        <v>133</v>
      </c>
      <c r="I554" t="s">
        <v>134</v>
      </c>
      <c r="J554" s="15">
        <v>0</v>
      </c>
      <c r="K554" s="15">
        <v>77009.52</v>
      </c>
      <c r="L554" s="15">
        <f t="shared" si="40"/>
        <v>-77009.52</v>
      </c>
      <c r="M554" t="s">
        <v>125</v>
      </c>
      <c r="N554" t="s">
        <v>1283</v>
      </c>
      <c r="O554" t="s">
        <v>127</v>
      </c>
      <c r="P554" t="s">
        <v>175</v>
      </c>
      <c r="Q554" t="s">
        <v>128</v>
      </c>
      <c r="R554" s="16">
        <v>45978.3125</v>
      </c>
      <c r="S554" t="s">
        <v>130</v>
      </c>
      <c r="V554" t="b">
        <f t="shared" si="41"/>
        <v>0</v>
      </c>
      <c r="W554" t="b">
        <f>AND(OR(WEEKDAY(C554,2)=5,WEEKDAY(C554,2)=6),'01_Parameters'!$C$11="Enabled")</f>
        <v>0</v>
      </c>
      <c r="X554" t="b">
        <f t="shared" si="42"/>
        <v>1</v>
      </c>
      <c r="Y554" t="b">
        <f t="shared" si="43"/>
        <v>0</v>
      </c>
      <c r="Z554" t="b">
        <f t="shared" si="44"/>
        <v>0</v>
      </c>
    </row>
    <row r="555" spans="1:26" ht="15" customHeight="1">
      <c r="A555" t="s">
        <v>1285</v>
      </c>
      <c r="B555" t="s">
        <v>1286</v>
      </c>
      <c r="C555" s="14">
        <v>45673</v>
      </c>
      <c r="D555" s="14">
        <v>45672</v>
      </c>
      <c r="E555">
        <v>2025</v>
      </c>
      <c r="F555">
        <v>1</v>
      </c>
      <c r="G555" t="s">
        <v>172</v>
      </c>
      <c r="H555" t="s">
        <v>173</v>
      </c>
      <c r="I555" t="s">
        <v>124</v>
      </c>
      <c r="J555" s="15">
        <v>63200.62</v>
      </c>
      <c r="K555" s="15">
        <v>0</v>
      </c>
      <c r="L555" s="15">
        <f t="shared" si="40"/>
        <v>63200.62</v>
      </c>
      <c r="M555" t="s">
        <v>209</v>
      </c>
      <c r="N555" t="s">
        <v>1287</v>
      </c>
      <c r="O555" t="s">
        <v>211</v>
      </c>
      <c r="P555" t="s">
        <v>128</v>
      </c>
      <c r="Q555" t="s">
        <v>140</v>
      </c>
      <c r="R555" s="16">
        <v>45673.416666666701</v>
      </c>
      <c r="S555" t="s">
        <v>130</v>
      </c>
      <c r="T555" t="s">
        <v>212</v>
      </c>
      <c r="U555" t="s">
        <v>1287</v>
      </c>
      <c r="V555" t="b">
        <f t="shared" si="41"/>
        <v>0</v>
      </c>
      <c r="W555" t="b">
        <f>AND(OR(WEEKDAY(C555,2)=5,WEEKDAY(C555,2)=6),'01_Parameters'!$C$11="Enabled")</f>
        <v>0</v>
      </c>
      <c r="X555" t="b">
        <f t="shared" si="42"/>
        <v>0</v>
      </c>
      <c r="Y555" t="b">
        <f t="shared" si="43"/>
        <v>0</v>
      </c>
      <c r="Z555" t="b">
        <f t="shared" si="44"/>
        <v>0</v>
      </c>
    </row>
    <row r="556" spans="1:26" ht="15" customHeight="1">
      <c r="A556" t="s">
        <v>1285</v>
      </c>
      <c r="B556" t="s">
        <v>1288</v>
      </c>
      <c r="C556" s="14">
        <v>45673</v>
      </c>
      <c r="D556" s="14">
        <v>45672</v>
      </c>
      <c r="E556">
        <v>2025</v>
      </c>
      <c r="F556">
        <v>1</v>
      </c>
      <c r="G556" t="s">
        <v>132</v>
      </c>
      <c r="H556" t="s">
        <v>133</v>
      </c>
      <c r="I556" t="s">
        <v>134</v>
      </c>
      <c r="J556" s="15">
        <v>0</v>
      </c>
      <c r="K556" s="15">
        <v>63200.62</v>
      </c>
      <c r="L556" s="15">
        <f t="shared" si="40"/>
        <v>-63200.62</v>
      </c>
      <c r="M556" t="s">
        <v>209</v>
      </c>
      <c r="N556" t="s">
        <v>1287</v>
      </c>
      <c r="O556" t="s">
        <v>211</v>
      </c>
      <c r="P556" t="s">
        <v>128</v>
      </c>
      <c r="Q556" t="s">
        <v>140</v>
      </c>
      <c r="R556" s="16">
        <v>45673.416666666701</v>
      </c>
      <c r="S556" t="s">
        <v>130</v>
      </c>
      <c r="T556" t="s">
        <v>212</v>
      </c>
      <c r="U556" t="s">
        <v>1287</v>
      </c>
      <c r="V556" t="b">
        <f t="shared" si="41"/>
        <v>0</v>
      </c>
      <c r="W556" t="b">
        <f>AND(OR(WEEKDAY(C556,2)=5,WEEKDAY(C556,2)=6),'01_Parameters'!$C$11="Enabled")</f>
        <v>0</v>
      </c>
      <c r="X556" t="b">
        <f t="shared" si="42"/>
        <v>0</v>
      </c>
      <c r="Y556" t="b">
        <f t="shared" si="43"/>
        <v>0</v>
      </c>
      <c r="Z556" t="b">
        <f t="shared" si="44"/>
        <v>0</v>
      </c>
    </row>
    <row r="557" spans="1:26" ht="15" customHeight="1">
      <c r="A557" t="s">
        <v>1289</v>
      </c>
      <c r="B557" t="s">
        <v>1290</v>
      </c>
      <c r="C557" s="14">
        <v>45765</v>
      </c>
      <c r="D557" s="14">
        <v>45765</v>
      </c>
      <c r="E557">
        <v>2025</v>
      </c>
      <c r="F557">
        <v>4</v>
      </c>
      <c r="G557" t="s">
        <v>122</v>
      </c>
      <c r="H557" t="s">
        <v>123</v>
      </c>
      <c r="I557" t="s">
        <v>124</v>
      </c>
      <c r="J557" s="15">
        <v>70465.710000000006</v>
      </c>
      <c r="K557" s="15">
        <v>0</v>
      </c>
      <c r="L557" s="15">
        <f t="shared" si="40"/>
        <v>70465.710000000006</v>
      </c>
      <c r="M557" t="s">
        <v>209</v>
      </c>
      <c r="N557" t="s">
        <v>1291</v>
      </c>
      <c r="O557" t="s">
        <v>211</v>
      </c>
      <c r="P557" t="s">
        <v>128</v>
      </c>
      <c r="Q557" t="s">
        <v>151</v>
      </c>
      <c r="R557" s="16">
        <v>45765.5625</v>
      </c>
      <c r="S557" t="s">
        <v>130</v>
      </c>
      <c r="T557" t="s">
        <v>887</v>
      </c>
      <c r="U557" t="s">
        <v>1291</v>
      </c>
      <c r="V557" t="b">
        <f t="shared" si="41"/>
        <v>0</v>
      </c>
      <c r="W557" t="b">
        <f>AND(OR(WEEKDAY(C557,2)=5,WEEKDAY(C557,2)=6),'01_Parameters'!$C$11="Enabled")</f>
        <v>1</v>
      </c>
      <c r="X557" t="b">
        <f t="shared" si="42"/>
        <v>0</v>
      </c>
      <c r="Y557" t="b">
        <f t="shared" si="43"/>
        <v>0</v>
      </c>
      <c r="Z557" t="b">
        <f t="shared" si="44"/>
        <v>0</v>
      </c>
    </row>
    <row r="558" spans="1:26" ht="15" customHeight="1">
      <c r="A558" t="s">
        <v>1289</v>
      </c>
      <c r="B558" t="s">
        <v>1292</v>
      </c>
      <c r="C558" s="14">
        <v>45765</v>
      </c>
      <c r="D558" s="14">
        <v>45765</v>
      </c>
      <c r="E558">
        <v>2025</v>
      </c>
      <c r="F558">
        <v>4</v>
      </c>
      <c r="G558" t="s">
        <v>132</v>
      </c>
      <c r="H558" t="s">
        <v>133</v>
      </c>
      <c r="I558" t="s">
        <v>134</v>
      </c>
      <c r="J558" s="15">
        <v>0</v>
      </c>
      <c r="K558" s="15">
        <v>70465.710000000006</v>
      </c>
      <c r="L558" s="15">
        <f t="shared" si="40"/>
        <v>-70465.710000000006</v>
      </c>
      <c r="M558" t="s">
        <v>209</v>
      </c>
      <c r="N558" t="s">
        <v>1291</v>
      </c>
      <c r="O558" t="s">
        <v>211</v>
      </c>
      <c r="P558" t="s">
        <v>128</v>
      </c>
      <c r="Q558" t="s">
        <v>151</v>
      </c>
      <c r="R558" s="16">
        <v>45765.5625</v>
      </c>
      <c r="S558" t="s">
        <v>130</v>
      </c>
      <c r="T558" t="s">
        <v>887</v>
      </c>
      <c r="U558" t="s">
        <v>1291</v>
      </c>
      <c r="V558" t="b">
        <f t="shared" si="41"/>
        <v>0</v>
      </c>
      <c r="W558" t="b">
        <f>AND(OR(WEEKDAY(C558,2)=5,WEEKDAY(C558,2)=6),'01_Parameters'!$C$11="Enabled")</f>
        <v>1</v>
      </c>
      <c r="X558" t="b">
        <f t="shared" si="42"/>
        <v>0</v>
      </c>
      <c r="Y558" t="b">
        <f t="shared" si="43"/>
        <v>0</v>
      </c>
      <c r="Z558" t="b">
        <f t="shared" si="44"/>
        <v>0</v>
      </c>
    </row>
    <row r="559" spans="1:26" ht="15" customHeight="1">
      <c r="A559" t="s">
        <v>1293</v>
      </c>
      <c r="B559" t="s">
        <v>1294</v>
      </c>
      <c r="C559" s="14">
        <v>45781</v>
      </c>
      <c r="D559" s="14">
        <v>45781</v>
      </c>
      <c r="E559">
        <v>2025</v>
      </c>
      <c r="F559">
        <v>5</v>
      </c>
      <c r="G559" t="s">
        <v>158</v>
      </c>
      <c r="H559" t="s">
        <v>159</v>
      </c>
      <c r="I559" t="s">
        <v>124</v>
      </c>
      <c r="J559" s="15">
        <v>45599.88</v>
      </c>
      <c r="K559" s="15">
        <v>0</v>
      </c>
      <c r="L559" s="15">
        <f t="shared" si="40"/>
        <v>45599.88</v>
      </c>
      <c r="M559" t="s">
        <v>160</v>
      </c>
      <c r="N559" t="s">
        <v>1295</v>
      </c>
      <c r="O559" t="s">
        <v>162</v>
      </c>
      <c r="P559" t="s">
        <v>150</v>
      </c>
      <c r="Q559" t="s">
        <v>140</v>
      </c>
      <c r="R559" s="16">
        <v>45781.375</v>
      </c>
      <c r="S559" t="s">
        <v>130</v>
      </c>
      <c r="V559" t="b">
        <f t="shared" si="41"/>
        <v>0</v>
      </c>
      <c r="W559" t="b">
        <f>AND(OR(WEEKDAY(C559,2)=5,WEEKDAY(C559,2)=6),'01_Parameters'!$C$11="Enabled")</f>
        <v>0</v>
      </c>
      <c r="X559" t="b">
        <f t="shared" si="42"/>
        <v>0</v>
      </c>
      <c r="Y559" t="b">
        <f t="shared" si="43"/>
        <v>0</v>
      </c>
      <c r="Z559" t="b">
        <f t="shared" si="44"/>
        <v>0</v>
      </c>
    </row>
    <row r="560" spans="1:26" ht="15" customHeight="1">
      <c r="A560" t="s">
        <v>1293</v>
      </c>
      <c r="B560" t="s">
        <v>1296</v>
      </c>
      <c r="C560" s="14">
        <v>45781</v>
      </c>
      <c r="D560" s="14">
        <v>45781</v>
      </c>
      <c r="E560">
        <v>2025</v>
      </c>
      <c r="F560">
        <v>5</v>
      </c>
      <c r="G560" t="s">
        <v>164</v>
      </c>
      <c r="H560" t="s">
        <v>165</v>
      </c>
      <c r="I560" t="s">
        <v>146</v>
      </c>
      <c r="J560" s="15">
        <v>0</v>
      </c>
      <c r="K560" s="15">
        <v>45599.88</v>
      </c>
      <c r="L560" s="15">
        <f t="shared" si="40"/>
        <v>-45599.88</v>
      </c>
      <c r="M560" t="s">
        <v>160</v>
      </c>
      <c r="N560" t="s">
        <v>1295</v>
      </c>
      <c r="O560" t="s">
        <v>162</v>
      </c>
      <c r="P560" t="s">
        <v>150</v>
      </c>
      <c r="Q560" t="s">
        <v>140</v>
      </c>
      <c r="R560" s="16">
        <v>45781.375</v>
      </c>
      <c r="S560" t="s">
        <v>130</v>
      </c>
      <c r="V560" t="b">
        <f t="shared" si="41"/>
        <v>0</v>
      </c>
      <c r="W560" t="b">
        <f>AND(OR(WEEKDAY(C560,2)=5,WEEKDAY(C560,2)=6),'01_Parameters'!$C$11="Enabled")</f>
        <v>0</v>
      </c>
      <c r="X560" t="b">
        <f t="shared" si="42"/>
        <v>0</v>
      </c>
      <c r="Y560" t="b">
        <f t="shared" si="43"/>
        <v>0</v>
      </c>
      <c r="Z560" t="b">
        <f t="shared" si="44"/>
        <v>0</v>
      </c>
    </row>
    <row r="561" spans="1:26" ht="15" customHeight="1">
      <c r="A561" t="s">
        <v>1297</v>
      </c>
      <c r="B561" t="s">
        <v>1298</v>
      </c>
      <c r="C561" s="14">
        <v>46012</v>
      </c>
      <c r="D561" s="14">
        <v>46009</v>
      </c>
      <c r="E561">
        <v>2025</v>
      </c>
      <c r="F561">
        <v>12</v>
      </c>
      <c r="G561" t="s">
        <v>144</v>
      </c>
      <c r="H561" t="s">
        <v>145</v>
      </c>
      <c r="I561" t="s">
        <v>146</v>
      </c>
      <c r="J561" s="15">
        <v>48083.51</v>
      </c>
      <c r="K561" s="15">
        <v>0</v>
      </c>
      <c r="L561" s="15">
        <f t="shared" si="40"/>
        <v>48083.51</v>
      </c>
      <c r="M561" t="s">
        <v>147</v>
      </c>
      <c r="N561" t="s">
        <v>1299</v>
      </c>
      <c r="O561" t="s">
        <v>149</v>
      </c>
      <c r="P561" t="s">
        <v>150</v>
      </c>
      <c r="Q561" t="s">
        <v>175</v>
      </c>
      <c r="R561" s="16">
        <v>46012.34375</v>
      </c>
      <c r="S561" t="s">
        <v>130</v>
      </c>
      <c r="V561" t="b">
        <f t="shared" si="41"/>
        <v>1</v>
      </c>
      <c r="W561" t="b">
        <f>AND(OR(WEEKDAY(C561,2)=5,WEEKDAY(C561,2)=6),'01_Parameters'!$C$11="Enabled")</f>
        <v>0</v>
      </c>
      <c r="X561" t="b">
        <f t="shared" si="42"/>
        <v>0</v>
      </c>
      <c r="Y561" t="b">
        <f t="shared" si="43"/>
        <v>0</v>
      </c>
      <c r="Z561" t="b">
        <f t="shared" si="44"/>
        <v>0</v>
      </c>
    </row>
    <row r="562" spans="1:26" ht="15" customHeight="1">
      <c r="A562" t="s">
        <v>1297</v>
      </c>
      <c r="B562" t="s">
        <v>1300</v>
      </c>
      <c r="C562" s="14">
        <v>46012</v>
      </c>
      <c r="D562" s="14">
        <v>46009</v>
      </c>
      <c r="E562">
        <v>2025</v>
      </c>
      <c r="F562">
        <v>12</v>
      </c>
      <c r="G562" t="s">
        <v>153</v>
      </c>
      <c r="H562" t="s">
        <v>154</v>
      </c>
      <c r="I562" t="s">
        <v>155</v>
      </c>
      <c r="J562" s="15">
        <v>0</v>
      </c>
      <c r="K562" s="15">
        <v>48083.51</v>
      </c>
      <c r="L562" s="15">
        <f t="shared" si="40"/>
        <v>-48083.51</v>
      </c>
      <c r="M562" t="s">
        <v>147</v>
      </c>
      <c r="N562" t="s">
        <v>1299</v>
      </c>
      <c r="O562" t="s">
        <v>149</v>
      </c>
      <c r="P562" t="s">
        <v>150</v>
      </c>
      <c r="Q562" t="s">
        <v>175</v>
      </c>
      <c r="R562" s="16">
        <v>46012.34375</v>
      </c>
      <c r="S562" t="s">
        <v>130</v>
      </c>
      <c r="V562" t="b">
        <f t="shared" si="41"/>
        <v>1</v>
      </c>
      <c r="W562" t="b">
        <f>AND(OR(WEEKDAY(C562,2)=5,WEEKDAY(C562,2)=6),'01_Parameters'!$C$11="Enabled")</f>
        <v>0</v>
      </c>
      <c r="X562" t="b">
        <f t="shared" si="42"/>
        <v>0</v>
      </c>
      <c r="Y562" t="b">
        <f t="shared" si="43"/>
        <v>0</v>
      </c>
      <c r="Z562" t="b">
        <f t="shared" si="44"/>
        <v>0</v>
      </c>
    </row>
    <row r="563" spans="1:26" ht="15" customHeight="1">
      <c r="A563" t="s">
        <v>1301</v>
      </c>
      <c r="B563" t="s">
        <v>1302</v>
      </c>
      <c r="C563" s="14">
        <v>45746</v>
      </c>
      <c r="D563" s="14">
        <v>45744</v>
      </c>
      <c r="E563">
        <v>2025</v>
      </c>
      <c r="F563">
        <v>3</v>
      </c>
      <c r="G563" t="s">
        <v>193</v>
      </c>
      <c r="H563" t="s">
        <v>194</v>
      </c>
      <c r="I563" t="s">
        <v>124</v>
      </c>
      <c r="J563" s="15">
        <v>1728.57</v>
      </c>
      <c r="K563" s="15">
        <v>0</v>
      </c>
      <c r="L563" s="15">
        <f t="shared" si="40"/>
        <v>1728.57</v>
      </c>
      <c r="M563" t="s">
        <v>195</v>
      </c>
      <c r="N563" t="s">
        <v>1303</v>
      </c>
      <c r="O563" t="s">
        <v>197</v>
      </c>
      <c r="P563" t="s">
        <v>151</v>
      </c>
      <c r="Q563" t="s">
        <v>175</v>
      </c>
      <c r="R563" s="16">
        <v>45746.822916666701</v>
      </c>
      <c r="S563" t="s">
        <v>130</v>
      </c>
      <c r="V563" t="b">
        <f t="shared" si="41"/>
        <v>0</v>
      </c>
      <c r="W563" t="b">
        <f>AND(OR(WEEKDAY(C563,2)=5,WEEKDAY(C563,2)=6),'01_Parameters'!$C$11="Enabled")</f>
        <v>0</v>
      </c>
      <c r="X563" t="b">
        <f t="shared" si="42"/>
        <v>1</v>
      </c>
      <c r="Y563" t="b">
        <f t="shared" si="43"/>
        <v>0</v>
      </c>
      <c r="Z563" t="b">
        <f t="shared" si="44"/>
        <v>0</v>
      </c>
    </row>
    <row r="564" spans="1:26" ht="15" customHeight="1">
      <c r="A564" t="s">
        <v>1301</v>
      </c>
      <c r="B564" t="s">
        <v>1304</v>
      </c>
      <c r="C564" s="14">
        <v>45746</v>
      </c>
      <c r="D564" s="14">
        <v>45744</v>
      </c>
      <c r="E564">
        <v>2025</v>
      </c>
      <c r="F564">
        <v>3</v>
      </c>
      <c r="G564" t="s">
        <v>199</v>
      </c>
      <c r="H564" t="s">
        <v>200</v>
      </c>
      <c r="I564" t="s">
        <v>146</v>
      </c>
      <c r="J564" s="15">
        <v>0</v>
      </c>
      <c r="K564" s="15">
        <v>1728.57</v>
      </c>
      <c r="L564" s="15">
        <f t="shared" si="40"/>
        <v>-1728.57</v>
      </c>
      <c r="M564" t="s">
        <v>195</v>
      </c>
      <c r="N564" t="s">
        <v>1303</v>
      </c>
      <c r="O564" t="s">
        <v>197</v>
      </c>
      <c r="P564" t="s">
        <v>151</v>
      </c>
      <c r="Q564" t="s">
        <v>175</v>
      </c>
      <c r="R564" s="16">
        <v>45746.822916666701</v>
      </c>
      <c r="S564" t="s">
        <v>130</v>
      </c>
      <c r="V564" t="b">
        <f t="shared" si="41"/>
        <v>0</v>
      </c>
      <c r="W564" t="b">
        <f>AND(OR(WEEKDAY(C564,2)=5,WEEKDAY(C564,2)=6),'01_Parameters'!$C$11="Enabled")</f>
        <v>0</v>
      </c>
      <c r="X564" t="b">
        <f t="shared" si="42"/>
        <v>1</v>
      </c>
      <c r="Y564" t="b">
        <f t="shared" si="43"/>
        <v>0</v>
      </c>
      <c r="Z564" t="b">
        <f t="shared" si="44"/>
        <v>0</v>
      </c>
    </row>
    <row r="565" spans="1:26" ht="15" customHeight="1">
      <c r="A565" t="s">
        <v>1305</v>
      </c>
      <c r="B565" t="s">
        <v>1306</v>
      </c>
      <c r="C565" s="14">
        <v>45822</v>
      </c>
      <c r="D565" s="14">
        <v>45818</v>
      </c>
      <c r="E565">
        <v>2025</v>
      </c>
      <c r="F565">
        <v>6</v>
      </c>
      <c r="G565" t="s">
        <v>207</v>
      </c>
      <c r="H565" t="s">
        <v>208</v>
      </c>
      <c r="I565" t="s">
        <v>124</v>
      </c>
      <c r="J565" s="15">
        <v>56877.39</v>
      </c>
      <c r="K565" s="15">
        <v>0</v>
      </c>
      <c r="L565" s="15">
        <f t="shared" si="40"/>
        <v>56877.39</v>
      </c>
      <c r="M565" t="s">
        <v>209</v>
      </c>
      <c r="N565" t="s">
        <v>1307</v>
      </c>
      <c r="O565" t="s">
        <v>211</v>
      </c>
      <c r="P565" t="s">
        <v>140</v>
      </c>
      <c r="Q565" t="s">
        <v>150</v>
      </c>
      <c r="R565" s="16">
        <v>45822.291666666701</v>
      </c>
      <c r="S565" t="s">
        <v>130</v>
      </c>
      <c r="T565" t="s">
        <v>887</v>
      </c>
      <c r="U565" t="s">
        <v>1307</v>
      </c>
      <c r="V565" t="b">
        <f t="shared" si="41"/>
        <v>0</v>
      </c>
      <c r="W565" t="b">
        <f>AND(OR(WEEKDAY(C565,2)=5,WEEKDAY(C565,2)=6),'01_Parameters'!$C$11="Enabled")</f>
        <v>1</v>
      </c>
      <c r="X565" t="b">
        <f t="shared" si="42"/>
        <v>1</v>
      </c>
      <c r="Y565" t="b">
        <f t="shared" si="43"/>
        <v>0</v>
      </c>
      <c r="Z565" t="b">
        <f t="shared" si="44"/>
        <v>0</v>
      </c>
    </row>
    <row r="566" spans="1:26" ht="15" customHeight="1">
      <c r="A566" t="s">
        <v>1305</v>
      </c>
      <c r="B566" t="s">
        <v>1308</v>
      </c>
      <c r="C566" s="14">
        <v>45822</v>
      </c>
      <c r="D566" s="14">
        <v>45818</v>
      </c>
      <c r="E566">
        <v>2025</v>
      </c>
      <c r="F566">
        <v>6</v>
      </c>
      <c r="G566" t="s">
        <v>132</v>
      </c>
      <c r="H566" t="s">
        <v>133</v>
      </c>
      <c r="I566" t="s">
        <v>134</v>
      </c>
      <c r="J566" s="15">
        <v>0</v>
      </c>
      <c r="K566" s="15">
        <v>56877.39</v>
      </c>
      <c r="L566" s="15">
        <f t="shared" si="40"/>
        <v>-56877.39</v>
      </c>
      <c r="M566" t="s">
        <v>209</v>
      </c>
      <c r="N566" t="s">
        <v>1307</v>
      </c>
      <c r="O566" t="s">
        <v>211</v>
      </c>
      <c r="P566" t="s">
        <v>140</v>
      </c>
      <c r="Q566" t="s">
        <v>150</v>
      </c>
      <c r="R566" s="16">
        <v>45822.291666666701</v>
      </c>
      <c r="S566" t="s">
        <v>130</v>
      </c>
      <c r="T566" t="s">
        <v>887</v>
      </c>
      <c r="U566" t="s">
        <v>1307</v>
      </c>
      <c r="V566" t="b">
        <f t="shared" si="41"/>
        <v>0</v>
      </c>
      <c r="W566" t="b">
        <f>AND(OR(WEEKDAY(C566,2)=5,WEEKDAY(C566,2)=6),'01_Parameters'!$C$11="Enabled")</f>
        <v>1</v>
      </c>
      <c r="X566" t="b">
        <f t="shared" si="42"/>
        <v>1</v>
      </c>
      <c r="Y566" t="b">
        <f t="shared" si="43"/>
        <v>0</v>
      </c>
      <c r="Z566" t="b">
        <f t="shared" si="44"/>
        <v>0</v>
      </c>
    </row>
    <row r="567" spans="1:26" ht="15" customHeight="1">
      <c r="A567" t="s">
        <v>1309</v>
      </c>
      <c r="B567" t="s">
        <v>1310</v>
      </c>
      <c r="C567" s="14">
        <v>45904</v>
      </c>
      <c r="D567" s="14">
        <v>45903</v>
      </c>
      <c r="E567">
        <v>2025</v>
      </c>
      <c r="F567">
        <v>9</v>
      </c>
      <c r="G567" t="s">
        <v>334</v>
      </c>
      <c r="H567" t="s">
        <v>335</v>
      </c>
      <c r="I567" t="s">
        <v>124</v>
      </c>
      <c r="J567" s="15">
        <v>44336.71</v>
      </c>
      <c r="K567" s="15">
        <v>0</v>
      </c>
      <c r="L567" s="15">
        <f t="shared" si="40"/>
        <v>44336.71</v>
      </c>
      <c r="M567" t="s">
        <v>125</v>
      </c>
      <c r="N567" t="s">
        <v>1311</v>
      </c>
      <c r="O567" t="s">
        <v>127</v>
      </c>
      <c r="P567" t="s">
        <v>175</v>
      </c>
      <c r="Q567" t="s">
        <v>140</v>
      </c>
      <c r="R567" s="16">
        <v>45904.416666666701</v>
      </c>
      <c r="S567" t="s">
        <v>130</v>
      </c>
      <c r="V567" t="b">
        <f t="shared" si="41"/>
        <v>0</v>
      </c>
      <c r="W567" t="b">
        <f>AND(OR(WEEKDAY(C567,2)=5,WEEKDAY(C567,2)=6),'01_Parameters'!$C$11="Enabled")</f>
        <v>0</v>
      </c>
      <c r="X567" t="b">
        <f t="shared" si="42"/>
        <v>0</v>
      </c>
      <c r="Y567" t="b">
        <f t="shared" si="43"/>
        <v>0</v>
      </c>
      <c r="Z567" t="b">
        <f t="shared" si="44"/>
        <v>0</v>
      </c>
    </row>
    <row r="568" spans="1:26" ht="15" customHeight="1">
      <c r="A568" t="s">
        <v>1309</v>
      </c>
      <c r="B568" t="s">
        <v>1312</v>
      </c>
      <c r="C568" s="14">
        <v>45904</v>
      </c>
      <c r="D568" s="14">
        <v>45903</v>
      </c>
      <c r="E568">
        <v>2025</v>
      </c>
      <c r="F568">
        <v>9</v>
      </c>
      <c r="G568" t="s">
        <v>132</v>
      </c>
      <c r="H568" t="s">
        <v>133</v>
      </c>
      <c r="I568" t="s">
        <v>134</v>
      </c>
      <c r="J568" s="15">
        <v>0</v>
      </c>
      <c r="K568" s="15">
        <v>44336.71</v>
      </c>
      <c r="L568" s="15">
        <f t="shared" si="40"/>
        <v>-44336.71</v>
      </c>
      <c r="M568" t="s">
        <v>125</v>
      </c>
      <c r="N568" t="s">
        <v>1311</v>
      </c>
      <c r="O568" t="s">
        <v>127</v>
      </c>
      <c r="P568" t="s">
        <v>175</v>
      </c>
      <c r="Q568" t="s">
        <v>140</v>
      </c>
      <c r="R568" s="16">
        <v>45904.416666666701</v>
      </c>
      <c r="S568" t="s">
        <v>130</v>
      </c>
      <c r="V568" t="b">
        <f t="shared" si="41"/>
        <v>0</v>
      </c>
      <c r="W568" t="b">
        <f>AND(OR(WEEKDAY(C568,2)=5,WEEKDAY(C568,2)=6),'01_Parameters'!$C$11="Enabled")</f>
        <v>0</v>
      </c>
      <c r="X568" t="b">
        <f t="shared" si="42"/>
        <v>0</v>
      </c>
      <c r="Y568" t="b">
        <f t="shared" si="43"/>
        <v>0</v>
      </c>
      <c r="Z568" t="b">
        <f t="shared" si="44"/>
        <v>0</v>
      </c>
    </row>
    <row r="569" spans="1:26" ht="15" customHeight="1">
      <c r="A569" t="s">
        <v>1313</v>
      </c>
      <c r="B569" t="s">
        <v>1314</v>
      </c>
      <c r="C569" s="14">
        <v>45782</v>
      </c>
      <c r="D569" s="14">
        <v>45780</v>
      </c>
      <c r="E569">
        <v>2025</v>
      </c>
      <c r="F569">
        <v>5</v>
      </c>
      <c r="G569" t="s">
        <v>172</v>
      </c>
      <c r="H569" t="s">
        <v>173</v>
      </c>
      <c r="I569" t="s">
        <v>124</v>
      </c>
      <c r="J569" s="15">
        <v>37698.269999999997</v>
      </c>
      <c r="K569" s="15">
        <v>0</v>
      </c>
      <c r="L569" s="15">
        <f t="shared" si="40"/>
        <v>37698.269999999997</v>
      </c>
      <c r="M569" t="s">
        <v>209</v>
      </c>
      <c r="N569" t="s">
        <v>1315</v>
      </c>
      <c r="O569" t="s">
        <v>211</v>
      </c>
      <c r="P569" t="s">
        <v>175</v>
      </c>
      <c r="Q569" t="s">
        <v>140</v>
      </c>
      <c r="R569" s="16">
        <v>45782.541666666701</v>
      </c>
      <c r="S569" t="s">
        <v>130</v>
      </c>
      <c r="T569" t="s">
        <v>229</v>
      </c>
      <c r="U569" t="s">
        <v>1315</v>
      </c>
      <c r="V569" t="b">
        <f t="shared" si="41"/>
        <v>0</v>
      </c>
      <c r="W569" t="b">
        <f>AND(OR(WEEKDAY(C569,2)=5,WEEKDAY(C569,2)=6),'01_Parameters'!$C$11="Enabled")</f>
        <v>0</v>
      </c>
      <c r="X569" t="b">
        <f t="shared" si="42"/>
        <v>0</v>
      </c>
      <c r="Y569" t="b">
        <f t="shared" si="43"/>
        <v>0</v>
      </c>
      <c r="Z569" t="b">
        <f t="shared" si="44"/>
        <v>0</v>
      </c>
    </row>
    <row r="570" spans="1:26" ht="15" customHeight="1">
      <c r="A570" t="s">
        <v>1313</v>
      </c>
      <c r="B570" t="s">
        <v>1316</v>
      </c>
      <c r="C570" s="14">
        <v>45782</v>
      </c>
      <c r="D570" s="14">
        <v>45780</v>
      </c>
      <c r="E570">
        <v>2025</v>
      </c>
      <c r="F570">
        <v>5</v>
      </c>
      <c r="G570" t="s">
        <v>132</v>
      </c>
      <c r="H570" t="s">
        <v>133</v>
      </c>
      <c r="I570" t="s">
        <v>134</v>
      </c>
      <c r="J570" s="15">
        <v>0</v>
      </c>
      <c r="K570" s="15">
        <v>37698.269999999997</v>
      </c>
      <c r="L570" s="15">
        <f t="shared" si="40"/>
        <v>-37698.269999999997</v>
      </c>
      <c r="M570" t="s">
        <v>209</v>
      </c>
      <c r="N570" t="s">
        <v>1315</v>
      </c>
      <c r="O570" t="s">
        <v>211</v>
      </c>
      <c r="P570" t="s">
        <v>175</v>
      </c>
      <c r="Q570" t="s">
        <v>140</v>
      </c>
      <c r="R570" s="16">
        <v>45782.541666666701</v>
      </c>
      <c r="S570" t="s">
        <v>130</v>
      </c>
      <c r="T570" t="s">
        <v>229</v>
      </c>
      <c r="U570" t="s">
        <v>1315</v>
      </c>
      <c r="V570" t="b">
        <f t="shared" si="41"/>
        <v>0</v>
      </c>
      <c r="W570" t="b">
        <f>AND(OR(WEEKDAY(C570,2)=5,WEEKDAY(C570,2)=6),'01_Parameters'!$C$11="Enabled")</f>
        <v>0</v>
      </c>
      <c r="X570" t="b">
        <f t="shared" si="42"/>
        <v>0</v>
      </c>
      <c r="Y570" t="b">
        <f t="shared" si="43"/>
        <v>0</v>
      </c>
      <c r="Z570" t="b">
        <f t="shared" si="44"/>
        <v>0</v>
      </c>
    </row>
    <row r="571" spans="1:26" ht="15" customHeight="1">
      <c r="A571" t="s">
        <v>1317</v>
      </c>
      <c r="B571" t="s">
        <v>1318</v>
      </c>
      <c r="C571" s="14">
        <v>45805</v>
      </c>
      <c r="D571" s="14">
        <v>45800</v>
      </c>
      <c r="E571">
        <v>2025</v>
      </c>
      <c r="F571">
        <v>5</v>
      </c>
      <c r="G571" t="s">
        <v>179</v>
      </c>
      <c r="H571" t="s">
        <v>180</v>
      </c>
      <c r="I571" t="s">
        <v>124</v>
      </c>
      <c r="J571" s="15">
        <v>81519.34</v>
      </c>
      <c r="K571" s="15">
        <v>0</v>
      </c>
      <c r="L571" s="15">
        <f t="shared" si="40"/>
        <v>81519.34</v>
      </c>
      <c r="M571" t="s">
        <v>181</v>
      </c>
      <c r="N571" t="s">
        <v>1319</v>
      </c>
      <c r="O571" t="s">
        <v>183</v>
      </c>
      <c r="P571" t="s">
        <v>128</v>
      </c>
      <c r="Q571" t="s">
        <v>175</v>
      </c>
      <c r="R571" s="16">
        <v>45805.71875</v>
      </c>
      <c r="S571" t="s">
        <v>130</v>
      </c>
      <c r="V571" t="b">
        <f t="shared" si="41"/>
        <v>0</v>
      </c>
      <c r="W571" t="b">
        <f>AND(OR(WEEKDAY(C571,2)=5,WEEKDAY(C571,2)=6),'01_Parameters'!$C$11="Enabled")</f>
        <v>0</v>
      </c>
      <c r="X571" t="b">
        <f t="shared" si="42"/>
        <v>0</v>
      </c>
      <c r="Y571" t="b">
        <f t="shared" si="43"/>
        <v>0</v>
      </c>
      <c r="Z571" t="b">
        <f t="shared" si="44"/>
        <v>0</v>
      </c>
    </row>
    <row r="572" spans="1:26" ht="15" customHeight="1">
      <c r="A572" t="s">
        <v>1317</v>
      </c>
      <c r="B572" t="s">
        <v>1320</v>
      </c>
      <c r="C572" s="14">
        <v>45805</v>
      </c>
      <c r="D572" s="14">
        <v>45800</v>
      </c>
      <c r="E572">
        <v>2025</v>
      </c>
      <c r="F572">
        <v>5</v>
      </c>
      <c r="G572" t="s">
        <v>185</v>
      </c>
      <c r="H572" t="s">
        <v>186</v>
      </c>
      <c r="I572" t="s">
        <v>134</v>
      </c>
      <c r="J572" s="15">
        <v>0</v>
      </c>
      <c r="K572" s="15">
        <v>81519.34</v>
      </c>
      <c r="L572" s="15">
        <f t="shared" si="40"/>
        <v>-81519.34</v>
      </c>
      <c r="M572" t="s">
        <v>181</v>
      </c>
      <c r="N572" t="s">
        <v>1319</v>
      </c>
      <c r="O572" t="s">
        <v>183</v>
      </c>
      <c r="P572" t="s">
        <v>128</v>
      </c>
      <c r="Q572" t="s">
        <v>175</v>
      </c>
      <c r="R572" s="16">
        <v>45805.71875</v>
      </c>
      <c r="S572" t="s">
        <v>130</v>
      </c>
      <c r="V572" t="b">
        <f t="shared" si="41"/>
        <v>0</v>
      </c>
      <c r="W572" t="b">
        <f>AND(OR(WEEKDAY(C572,2)=5,WEEKDAY(C572,2)=6),'01_Parameters'!$C$11="Enabled")</f>
        <v>0</v>
      </c>
      <c r="X572" t="b">
        <f t="shared" si="42"/>
        <v>0</v>
      </c>
      <c r="Y572" t="b">
        <f t="shared" si="43"/>
        <v>0</v>
      </c>
      <c r="Z572" t="b">
        <f t="shared" si="44"/>
        <v>0</v>
      </c>
    </row>
    <row r="573" spans="1:26" ht="15" customHeight="1">
      <c r="A573" t="s">
        <v>1321</v>
      </c>
      <c r="B573" t="s">
        <v>1322</v>
      </c>
      <c r="C573" s="14">
        <v>45737</v>
      </c>
      <c r="D573" s="14">
        <v>45733</v>
      </c>
      <c r="E573">
        <v>2025</v>
      </c>
      <c r="F573">
        <v>3</v>
      </c>
      <c r="G573" t="s">
        <v>122</v>
      </c>
      <c r="H573" t="s">
        <v>123</v>
      </c>
      <c r="I573" t="s">
        <v>124</v>
      </c>
      <c r="J573" s="15">
        <v>6973.27</v>
      </c>
      <c r="K573" s="15">
        <v>0</v>
      </c>
      <c r="L573" s="15">
        <f t="shared" si="40"/>
        <v>6973.27</v>
      </c>
      <c r="M573" t="s">
        <v>209</v>
      </c>
      <c r="N573" t="s">
        <v>1323</v>
      </c>
      <c r="O573" t="s">
        <v>211</v>
      </c>
      <c r="P573" t="s">
        <v>129</v>
      </c>
      <c r="Q573" t="s">
        <v>151</v>
      </c>
      <c r="R573" s="16">
        <v>45737.666666666701</v>
      </c>
      <c r="S573" t="s">
        <v>130</v>
      </c>
      <c r="T573" t="s">
        <v>782</v>
      </c>
      <c r="U573" t="s">
        <v>1323</v>
      </c>
      <c r="V573" t="b">
        <f t="shared" si="41"/>
        <v>0</v>
      </c>
      <c r="W573" t="b">
        <f>AND(OR(WEEKDAY(C573,2)=5,WEEKDAY(C573,2)=6),'01_Parameters'!$C$11="Enabled")</f>
        <v>1</v>
      </c>
      <c r="X573" t="b">
        <f t="shared" si="42"/>
        <v>0</v>
      </c>
      <c r="Y573" t="b">
        <f t="shared" si="43"/>
        <v>0</v>
      </c>
      <c r="Z573" t="b">
        <f t="shared" si="44"/>
        <v>0</v>
      </c>
    </row>
    <row r="574" spans="1:26" ht="15" customHeight="1">
      <c r="A574" t="s">
        <v>1321</v>
      </c>
      <c r="B574" t="s">
        <v>1324</v>
      </c>
      <c r="C574" s="14">
        <v>45737</v>
      </c>
      <c r="D574" s="14">
        <v>45733</v>
      </c>
      <c r="E574">
        <v>2025</v>
      </c>
      <c r="F574">
        <v>3</v>
      </c>
      <c r="G574" t="s">
        <v>132</v>
      </c>
      <c r="H574" t="s">
        <v>133</v>
      </c>
      <c r="I574" t="s">
        <v>134</v>
      </c>
      <c r="J574" s="15">
        <v>0</v>
      </c>
      <c r="K574" s="15">
        <v>6973.27</v>
      </c>
      <c r="L574" s="15">
        <f t="shared" si="40"/>
        <v>-6973.27</v>
      </c>
      <c r="M574" t="s">
        <v>209</v>
      </c>
      <c r="N574" t="s">
        <v>1323</v>
      </c>
      <c r="O574" t="s">
        <v>211</v>
      </c>
      <c r="P574" t="s">
        <v>129</v>
      </c>
      <c r="Q574" t="s">
        <v>151</v>
      </c>
      <c r="R574" s="16">
        <v>45737.666666666701</v>
      </c>
      <c r="S574" t="s">
        <v>130</v>
      </c>
      <c r="T574" t="s">
        <v>782</v>
      </c>
      <c r="U574" t="s">
        <v>1323</v>
      </c>
      <c r="V574" t="b">
        <f t="shared" si="41"/>
        <v>0</v>
      </c>
      <c r="W574" t="b">
        <f>AND(OR(WEEKDAY(C574,2)=5,WEEKDAY(C574,2)=6),'01_Parameters'!$C$11="Enabled")</f>
        <v>1</v>
      </c>
      <c r="X574" t="b">
        <f t="shared" si="42"/>
        <v>0</v>
      </c>
      <c r="Y574" t="b">
        <f t="shared" si="43"/>
        <v>0</v>
      </c>
      <c r="Z574" t="b">
        <f t="shared" si="44"/>
        <v>0</v>
      </c>
    </row>
    <row r="575" spans="1:26" ht="15" customHeight="1">
      <c r="A575" t="s">
        <v>1325</v>
      </c>
      <c r="B575" t="s">
        <v>1326</v>
      </c>
      <c r="C575" s="14">
        <v>45687</v>
      </c>
      <c r="D575" s="14">
        <v>45686</v>
      </c>
      <c r="E575">
        <v>2025</v>
      </c>
      <c r="F575">
        <v>1</v>
      </c>
      <c r="G575" t="s">
        <v>172</v>
      </c>
      <c r="H575" t="s">
        <v>173</v>
      </c>
      <c r="I575" t="s">
        <v>124</v>
      </c>
      <c r="J575" s="15">
        <v>171734.91</v>
      </c>
      <c r="K575" s="15">
        <v>0</v>
      </c>
      <c r="L575" s="15">
        <f t="shared" si="40"/>
        <v>171734.91</v>
      </c>
      <c r="M575" t="s">
        <v>125</v>
      </c>
      <c r="N575" t="s">
        <v>1327</v>
      </c>
      <c r="O575" t="s">
        <v>127</v>
      </c>
      <c r="P575" t="s">
        <v>151</v>
      </c>
      <c r="Q575" t="s">
        <v>128</v>
      </c>
      <c r="R575" s="16">
        <v>45687.583333333299</v>
      </c>
      <c r="S575" t="s">
        <v>130</v>
      </c>
      <c r="V575" t="b">
        <f t="shared" si="41"/>
        <v>0</v>
      </c>
      <c r="W575" t="b">
        <f>AND(OR(WEEKDAY(C575,2)=5,WEEKDAY(C575,2)=6),'01_Parameters'!$C$11="Enabled")</f>
        <v>0</v>
      </c>
      <c r="X575" t="b">
        <f t="shared" si="42"/>
        <v>0</v>
      </c>
      <c r="Y575" t="b">
        <f t="shared" si="43"/>
        <v>1</v>
      </c>
      <c r="Z575" t="b">
        <f t="shared" si="44"/>
        <v>0</v>
      </c>
    </row>
    <row r="576" spans="1:26" ht="15" customHeight="1">
      <c r="A576" t="s">
        <v>1325</v>
      </c>
      <c r="B576" t="s">
        <v>1328</v>
      </c>
      <c r="C576" s="14">
        <v>45687</v>
      </c>
      <c r="D576" s="14">
        <v>45686</v>
      </c>
      <c r="E576">
        <v>2025</v>
      </c>
      <c r="F576">
        <v>1</v>
      </c>
      <c r="G576" t="s">
        <v>132</v>
      </c>
      <c r="H576" t="s">
        <v>133</v>
      </c>
      <c r="I576" t="s">
        <v>134</v>
      </c>
      <c r="J576" s="15">
        <v>0</v>
      </c>
      <c r="K576" s="15">
        <v>171734.91</v>
      </c>
      <c r="L576" s="15">
        <f t="shared" si="40"/>
        <v>-171734.91</v>
      </c>
      <c r="M576" t="s">
        <v>125</v>
      </c>
      <c r="N576" t="s">
        <v>1327</v>
      </c>
      <c r="O576" t="s">
        <v>127</v>
      </c>
      <c r="P576" t="s">
        <v>151</v>
      </c>
      <c r="Q576" t="s">
        <v>128</v>
      </c>
      <c r="R576" s="16">
        <v>45687.583333333299</v>
      </c>
      <c r="S576" t="s">
        <v>130</v>
      </c>
      <c r="V576" t="b">
        <f t="shared" si="41"/>
        <v>0</v>
      </c>
      <c r="W576" t="b">
        <f>AND(OR(WEEKDAY(C576,2)=5,WEEKDAY(C576,2)=6),'01_Parameters'!$C$11="Enabled")</f>
        <v>0</v>
      </c>
      <c r="X576" t="b">
        <f t="shared" si="42"/>
        <v>0</v>
      </c>
      <c r="Y576" t="b">
        <f t="shared" si="43"/>
        <v>1</v>
      </c>
      <c r="Z576" t="b">
        <f t="shared" si="44"/>
        <v>0</v>
      </c>
    </row>
    <row r="577" spans="1:26" ht="15" customHeight="1">
      <c r="A577" t="s">
        <v>1329</v>
      </c>
      <c r="B577" t="s">
        <v>1330</v>
      </c>
      <c r="C577" s="14">
        <v>45733</v>
      </c>
      <c r="D577" s="14">
        <v>45733</v>
      </c>
      <c r="E577">
        <v>2025</v>
      </c>
      <c r="F577">
        <v>3</v>
      </c>
      <c r="G577" t="s">
        <v>172</v>
      </c>
      <c r="H577" t="s">
        <v>173</v>
      </c>
      <c r="I577" t="s">
        <v>124</v>
      </c>
      <c r="J577" s="15">
        <v>67724.63</v>
      </c>
      <c r="K577" s="15">
        <v>0</v>
      </c>
      <c r="L577" s="15">
        <f t="shared" si="40"/>
        <v>67724.63</v>
      </c>
      <c r="M577" t="s">
        <v>209</v>
      </c>
      <c r="N577" t="s">
        <v>1331</v>
      </c>
      <c r="O577" t="s">
        <v>211</v>
      </c>
      <c r="P577" t="s">
        <v>129</v>
      </c>
      <c r="Q577" t="s">
        <v>140</v>
      </c>
      <c r="R577" s="16">
        <v>45733.677083333299</v>
      </c>
      <c r="S577" t="s">
        <v>130</v>
      </c>
      <c r="T577" t="s">
        <v>251</v>
      </c>
      <c r="U577" t="s">
        <v>1331</v>
      </c>
      <c r="V577" t="b">
        <f t="shared" si="41"/>
        <v>0</v>
      </c>
      <c r="W577" t="b">
        <f>AND(OR(WEEKDAY(C577,2)=5,WEEKDAY(C577,2)=6),'01_Parameters'!$C$11="Enabled")</f>
        <v>0</v>
      </c>
      <c r="X577" t="b">
        <f t="shared" si="42"/>
        <v>0</v>
      </c>
      <c r="Y577" t="b">
        <f t="shared" si="43"/>
        <v>0</v>
      </c>
      <c r="Z577" t="b">
        <f t="shared" si="44"/>
        <v>0</v>
      </c>
    </row>
    <row r="578" spans="1:26" ht="15" customHeight="1">
      <c r="A578" t="s">
        <v>1329</v>
      </c>
      <c r="B578" t="s">
        <v>1332</v>
      </c>
      <c r="C578" s="14">
        <v>45733</v>
      </c>
      <c r="D578" s="14">
        <v>45733</v>
      </c>
      <c r="E578">
        <v>2025</v>
      </c>
      <c r="F578">
        <v>3</v>
      </c>
      <c r="G578" t="s">
        <v>132</v>
      </c>
      <c r="H578" t="s">
        <v>133</v>
      </c>
      <c r="I578" t="s">
        <v>134</v>
      </c>
      <c r="J578" s="15">
        <v>0</v>
      </c>
      <c r="K578" s="15">
        <v>67724.63</v>
      </c>
      <c r="L578" s="15">
        <f t="shared" si="40"/>
        <v>-67724.63</v>
      </c>
      <c r="M578" t="s">
        <v>209</v>
      </c>
      <c r="N578" t="s">
        <v>1331</v>
      </c>
      <c r="O578" t="s">
        <v>211</v>
      </c>
      <c r="P578" t="s">
        <v>129</v>
      </c>
      <c r="Q578" t="s">
        <v>140</v>
      </c>
      <c r="R578" s="16">
        <v>45733.677083333299</v>
      </c>
      <c r="S578" t="s">
        <v>130</v>
      </c>
      <c r="T578" t="s">
        <v>251</v>
      </c>
      <c r="U578" t="s">
        <v>1331</v>
      </c>
      <c r="V578" t="b">
        <f t="shared" si="41"/>
        <v>0</v>
      </c>
      <c r="W578" t="b">
        <f>AND(OR(WEEKDAY(C578,2)=5,WEEKDAY(C578,2)=6),'01_Parameters'!$C$11="Enabled")</f>
        <v>0</v>
      </c>
      <c r="X578" t="b">
        <f t="shared" si="42"/>
        <v>0</v>
      </c>
      <c r="Y578" t="b">
        <f t="shared" si="43"/>
        <v>0</v>
      </c>
      <c r="Z578" t="b">
        <f t="shared" si="44"/>
        <v>0</v>
      </c>
    </row>
    <row r="579" spans="1:26" ht="15" customHeight="1">
      <c r="A579" t="s">
        <v>1333</v>
      </c>
      <c r="B579" t="s">
        <v>1334</v>
      </c>
      <c r="C579" s="14">
        <v>45679</v>
      </c>
      <c r="D579" s="14">
        <v>45674</v>
      </c>
      <c r="E579">
        <v>2025</v>
      </c>
      <c r="F579">
        <v>1</v>
      </c>
      <c r="G579" t="s">
        <v>179</v>
      </c>
      <c r="H579" t="s">
        <v>180</v>
      </c>
      <c r="I579" t="s">
        <v>124</v>
      </c>
      <c r="J579" s="15">
        <v>3395.78</v>
      </c>
      <c r="K579" s="15">
        <v>0</v>
      </c>
      <c r="L579" s="15">
        <f t="shared" si="40"/>
        <v>3395.78</v>
      </c>
      <c r="M579" t="s">
        <v>181</v>
      </c>
      <c r="N579" t="s">
        <v>1335</v>
      </c>
      <c r="O579" t="s">
        <v>183</v>
      </c>
      <c r="P579" t="s">
        <v>128</v>
      </c>
      <c r="Q579" t="s">
        <v>150</v>
      </c>
      <c r="R579" s="16">
        <v>45679.520833333299</v>
      </c>
      <c r="S579" t="s">
        <v>130</v>
      </c>
      <c r="V579" t="b">
        <f t="shared" si="41"/>
        <v>0</v>
      </c>
      <c r="W579" t="b">
        <f>AND(OR(WEEKDAY(C579,2)=5,WEEKDAY(C579,2)=6),'01_Parameters'!$C$11="Enabled")</f>
        <v>0</v>
      </c>
      <c r="X579" t="b">
        <f t="shared" si="42"/>
        <v>0</v>
      </c>
      <c r="Y579" t="b">
        <f t="shared" si="43"/>
        <v>0</v>
      </c>
      <c r="Z579" t="b">
        <f t="shared" si="44"/>
        <v>0</v>
      </c>
    </row>
    <row r="580" spans="1:26" ht="15" customHeight="1">
      <c r="A580" t="s">
        <v>1333</v>
      </c>
      <c r="B580" t="s">
        <v>1336</v>
      </c>
      <c r="C580" s="14">
        <v>45679</v>
      </c>
      <c r="D580" s="14">
        <v>45674</v>
      </c>
      <c r="E580">
        <v>2025</v>
      </c>
      <c r="F580">
        <v>1</v>
      </c>
      <c r="G580" t="s">
        <v>185</v>
      </c>
      <c r="H580" t="s">
        <v>186</v>
      </c>
      <c r="I580" t="s">
        <v>134</v>
      </c>
      <c r="J580" s="15">
        <v>0</v>
      </c>
      <c r="K580" s="15">
        <v>3395.78</v>
      </c>
      <c r="L580" s="15">
        <f t="shared" si="40"/>
        <v>-3395.78</v>
      </c>
      <c r="M580" t="s">
        <v>181</v>
      </c>
      <c r="N580" t="s">
        <v>1335</v>
      </c>
      <c r="O580" t="s">
        <v>183</v>
      </c>
      <c r="P580" t="s">
        <v>128</v>
      </c>
      <c r="Q580" t="s">
        <v>150</v>
      </c>
      <c r="R580" s="16">
        <v>45679.520833333299</v>
      </c>
      <c r="S580" t="s">
        <v>130</v>
      </c>
      <c r="V580" t="b">
        <f t="shared" si="41"/>
        <v>0</v>
      </c>
      <c r="W580" t="b">
        <f>AND(OR(WEEKDAY(C580,2)=5,WEEKDAY(C580,2)=6),'01_Parameters'!$C$11="Enabled")</f>
        <v>0</v>
      </c>
      <c r="X580" t="b">
        <f t="shared" si="42"/>
        <v>0</v>
      </c>
      <c r="Y580" t="b">
        <f t="shared" si="43"/>
        <v>0</v>
      </c>
      <c r="Z580" t="b">
        <f t="shared" si="44"/>
        <v>0</v>
      </c>
    </row>
    <row r="581" spans="1:26" ht="15" customHeight="1">
      <c r="A581" t="s">
        <v>1337</v>
      </c>
      <c r="B581" t="s">
        <v>1338</v>
      </c>
      <c r="C581" s="14">
        <v>45879</v>
      </c>
      <c r="D581" s="14">
        <v>45879</v>
      </c>
      <c r="E581">
        <v>2025</v>
      </c>
      <c r="F581">
        <v>8</v>
      </c>
      <c r="G581" t="s">
        <v>179</v>
      </c>
      <c r="H581" t="s">
        <v>180</v>
      </c>
      <c r="I581" t="s">
        <v>124</v>
      </c>
      <c r="J581" s="15">
        <v>6251.99</v>
      </c>
      <c r="K581" s="15">
        <v>0</v>
      </c>
      <c r="L581" s="15">
        <f t="shared" ref="L581:L644" si="45">J581-K581</f>
        <v>6251.99</v>
      </c>
      <c r="M581" t="s">
        <v>181</v>
      </c>
      <c r="N581" t="s">
        <v>1339</v>
      </c>
      <c r="O581" t="s">
        <v>183</v>
      </c>
      <c r="P581" t="s">
        <v>140</v>
      </c>
      <c r="Q581" t="s">
        <v>175</v>
      </c>
      <c r="R581" s="16">
        <v>45879.302083333299</v>
      </c>
      <c r="S581" t="s">
        <v>130</v>
      </c>
      <c r="V581" t="b">
        <f t="shared" ref="V581:V644" si="46">AND(C581&gt;=Year_End_Window_Start,C581&lt;=Year_End_Window_End)</f>
        <v>0</v>
      </c>
      <c r="W581" t="b">
        <f>AND(OR(WEEKDAY(C581,2)=5,WEEKDAY(C581,2)=6),'01_Parameters'!$C$11="Enabled")</f>
        <v>0</v>
      </c>
      <c r="X581" t="b">
        <f t="shared" ref="X581:X644" si="47">AND(HOUR(R581)&lt;Business_Day_Start,HOUR(R581)&gt;=0)+AND(HOUR(R581)&gt;=Business_Day_End,HOUR(R581)&lt;=23)&gt;0</f>
        <v>1</v>
      </c>
      <c r="Y581" t="b">
        <f t="shared" ref="Y581:Y644" si="48">ABS(L581)&gt;High_Value_GL_Threshold</f>
        <v>0</v>
      </c>
      <c r="Z581" t="b">
        <f t="shared" ref="Z581:Z644" si="49">AND(ABS(L581)&gt;=Round_Number_Threshold,MOD(ABS(L581),Round_Number_Threshold)=0)</f>
        <v>0</v>
      </c>
    </row>
    <row r="582" spans="1:26" ht="15" customHeight="1">
      <c r="A582" t="s">
        <v>1337</v>
      </c>
      <c r="B582" t="s">
        <v>1340</v>
      </c>
      <c r="C582" s="14">
        <v>45879</v>
      </c>
      <c r="D582" s="14">
        <v>45879</v>
      </c>
      <c r="E582">
        <v>2025</v>
      </c>
      <c r="F582">
        <v>8</v>
      </c>
      <c r="G582" t="s">
        <v>185</v>
      </c>
      <c r="H582" t="s">
        <v>186</v>
      </c>
      <c r="I582" t="s">
        <v>134</v>
      </c>
      <c r="J582" s="15">
        <v>0</v>
      </c>
      <c r="K582" s="15">
        <v>6251.99</v>
      </c>
      <c r="L582" s="15">
        <f t="shared" si="45"/>
        <v>-6251.99</v>
      </c>
      <c r="M582" t="s">
        <v>181</v>
      </c>
      <c r="N582" t="s">
        <v>1339</v>
      </c>
      <c r="O582" t="s">
        <v>183</v>
      </c>
      <c r="P582" t="s">
        <v>140</v>
      </c>
      <c r="Q582" t="s">
        <v>175</v>
      </c>
      <c r="R582" s="16">
        <v>45879.302083333299</v>
      </c>
      <c r="S582" t="s">
        <v>130</v>
      </c>
      <c r="V582" t="b">
        <f t="shared" si="46"/>
        <v>0</v>
      </c>
      <c r="W582" t="b">
        <f>AND(OR(WEEKDAY(C582,2)=5,WEEKDAY(C582,2)=6),'01_Parameters'!$C$11="Enabled")</f>
        <v>0</v>
      </c>
      <c r="X582" t="b">
        <f t="shared" si="47"/>
        <v>1</v>
      </c>
      <c r="Y582" t="b">
        <f t="shared" si="48"/>
        <v>0</v>
      </c>
      <c r="Z582" t="b">
        <f t="shared" si="49"/>
        <v>0</v>
      </c>
    </row>
    <row r="583" spans="1:26" ht="15" customHeight="1">
      <c r="A583" t="s">
        <v>1341</v>
      </c>
      <c r="B583" t="s">
        <v>1342</v>
      </c>
      <c r="C583" s="14">
        <v>45935</v>
      </c>
      <c r="D583" s="14">
        <v>45930</v>
      </c>
      <c r="E583">
        <v>2025</v>
      </c>
      <c r="F583">
        <v>10</v>
      </c>
      <c r="G583" t="s">
        <v>179</v>
      </c>
      <c r="H583" t="s">
        <v>180</v>
      </c>
      <c r="I583" t="s">
        <v>124</v>
      </c>
      <c r="J583" s="15">
        <v>78792.63</v>
      </c>
      <c r="K583" s="15">
        <v>0</v>
      </c>
      <c r="L583" s="15">
        <f t="shared" si="45"/>
        <v>78792.63</v>
      </c>
      <c r="M583" t="s">
        <v>181</v>
      </c>
      <c r="N583" t="s">
        <v>1343</v>
      </c>
      <c r="O583" t="s">
        <v>183</v>
      </c>
      <c r="P583" t="s">
        <v>140</v>
      </c>
      <c r="Q583" t="s">
        <v>150</v>
      </c>
      <c r="R583" s="16">
        <v>45935.916666666701</v>
      </c>
      <c r="S583" t="s">
        <v>130</v>
      </c>
      <c r="V583" t="b">
        <f t="shared" si="46"/>
        <v>0</v>
      </c>
      <c r="W583" t="b">
        <f>AND(OR(WEEKDAY(C583,2)=5,WEEKDAY(C583,2)=6),'01_Parameters'!$C$11="Enabled")</f>
        <v>0</v>
      </c>
      <c r="X583" t="b">
        <f t="shared" si="47"/>
        <v>1</v>
      </c>
      <c r="Y583" t="b">
        <f t="shared" si="48"/>
        <v>0</v>
      </c>
      <c r="Z583" t="b">
        <f t="shared" si="49"/>
        <v>0</v>
      </c>
    </row>
    <row r="584" spans="1:26" ht="15" customHeight="1">
      <c r="A584" t="s">
        <v>1341</v>
      </c>
      <c r="B584" t="s">
        <v>1344</v>
      </c>
      <c r="C584" s="14">
        <v>45935</v>
      </c>
      <c r="D584" s="14">
        <v>45930</v>
      </c>
      <c r="E584">
        <v>2025</v>
      </c>
      <c r="F584">
        <v>10</v>
      </c>
      <c r="G584" t="s">
        <v>185</v>
      </c>
      <c r="H584" t="s">
        <v>186</v>
      </c>
      <c r="I584" t="s">
        <v>134</v>
      </c>
      <c r="J584" s="15">
        <v>0</v>
      </c>
      <c r="K584" s="15">
        <v>78792.63</v>
      </c>
      <c r="L584" s="15">
        <f t="shared" si="45"/>
        <v>-78792.63</v>
      </c>
      <c r="M584" t="s">
        <v>181</v>
      </c>
      <c r="N584" t="s">
        <v>1343</v>
      </c>
      <c r="O584" t="s">
        <v>183</v>
      </c>
      <c r="P584" t="s">
        <v>140</v>
      </c>
      <c r="Q584" t="s">
        <v>150</v>
      </c>
      <c r="R584" s="16">
        <v>45935.916666666701</v>
      </c>
      <c r="S584" t="s">
        <v>130</v>
      </c>
      <c r="V584" t="b">
        <f t="shared" si="46"/>
        <v>0</v>
      </c>
      <c r="W584" t="b">
        <f>AND(OR(WEEKDAY(C584,2)=5,WEEKDAY(C584,2)=6),'01_Parameters'!$C$11="Enabled")</f>
        <v>0</v>
      </c>
      <c r="X584" t="b">
        <f t="shared" si="47"/>
        <v>1</v>
      </c>
      <c r="Y584" t="b">
        <f t="shared" si="48"/>
        <v>0</v>
      </c>
      <c r="Z584" t="b">
        <f t="shared" si="49"/>
        <v>0</v>
      </c>
    </row>
    <row r="585" spans="1:26" ht="15" customHeight="1">
      <c r="A585" t="s">
        <v>1345</v>
      </c>
      <c r="B585" t="s">
        <v>1346</v>
      </c>
      <c r="C585" s="14">
        <v>45731</v>
      </c>
      <c r="D585" s="14">
        <v>45730</v>
      </c>
      <c r="E585">
        <v>2025</v>
      </c>
      <c r="F585">
        <v>3</v>
      </c>
      <c r="G585" t="s">
        <v>207</v>
      </c>
      <c r="H585" t="s">
        <v>208</v>
      </c>
      <c r="I585" t="s">
        <v>124</v>
      </c>
      <c r="J585" s="15">
        <v>75162.759999999995</v>
      </c>
      <c r="K585" s="15">
        <v>0</v>
      </c>
      <c r="L585" s="15">
        <f t="shared" si="45"/>
        <v>75162.759999999995</v>
      </c>
      <c r="M585" t="s">
        <v>209</v>
      </c>
      <c r="N585" t="s">
        <v>1347</v>
      </c>
      <c r="O585" t="s">
        <v>211</v>
      </c>
      <c r="P585" t="s">
        <v>129</v>
      </c>
      <c r="Q585" t="s">
        <v>140</v>
      </c>
      <c r="R585" s="16">
        <v>45731.875</v>
      </c>
      <c r="S585" t="s">
        <v>130</v>
      </c>
      <c r="T585" t="s">
        <v>705</v>
      </c>
      <c r="U585" t="s">
        <v>1347</v>
      </c>
      <c r="V585" t="b">
        <f t="shared" si="46"/>
        <v>0</v>
      </c>
      <c r="W585" t="b">
        <f>AND(OR(WEEKDAY(C585,2)=5,WEEKDAY(C585,2)=6),'01_Parameters'!$C$11="Enabled")</f>
        <v>1</v>
      </c>
      <c r="X585" t="b">
        <f t="shared" si="47"/>
        <v>1</v>
      </c>
      <c r="Y585" t="b">
        <f t="shared" si="48"/>
        <v>0</v>
      </c>
      <c r="Z585" t="b">
        <f t="shared" si="49"/>
        <v>0</v>
      </c>
    </row>
    <row r="586" spans="1:26" ht="15" customHeight="1">
      <c r="A586" t="s">
        <v>1345</v>
      </c>
      <c r="B586" t="s">
        <v>1348</v>
      </c>
      <c r="C586" s="14">
        <v>45731</v>
      </c>
      <c r="D586" s="14">
        <v>45730</v>
      </c>
      <c r="E586">
        <v>2025</v>
      </c>
      <c r="F586">
        <v>3</v>
      </c>
      <c r="G586" t="s">
        <v>132</v>
      </c>
      <c r="H586" t="s">
        <v>133</v>
      </c>
      <c r="I586" t="s">
        <v>134</v>
      </c>
      <c r="J586" s="15">
        <v>0</v>
      </c>
      <c r="K586" s="15">
        <v>75162.759999999995</v>
      </c>
      <c r="L586" s="15">
        <f t="shared" si="45"/>
        <v>-75162.759999999995</v>
      </c>
      <c r="M586" t="s">
        <v>209</v>
      </c>
      <c r="N586" t="s">
        <v>1347</v>
      </c>
      <c r="O586" t="s">
        <v>211</v>
      </c>
      <c r="P586" t="s">
        <v>129</v>
      </c>
      <c r="Q586" t="s">
        <v>140</v>
      </c>
      <c r="R586" s="16">
        <v>45731.875</v>
      </c>
      <c r="S586" t="s">
        <v>130</v>
      </c>
      <c r="T586" t="s">
        <v>705</v>
      </c>
      <c r="U586" t="s">
        <v>1347</v>
      </c>
      <c r="V586" t="b">
        <f t="shared" si="46"/>
        <v>0</v>
      </c>
      <c r="W586" t="b">
        <f>AND(OR(WEEKDAY(C586,2)=5,WEEKDAY(C586,2)=6),'01_Parameters'!$C$11="Enabled")</f>
        <v>1</v>
      </c>
      <c r="X586" t="b">
        <f t="shared" si="47"/>
        <v>1</v>
      </c>
      <c r="Y586" t="b">
        <f t="shared" si="48"/>
        <v>0</v>
      </c>
      <c r="Z586" t="b">
        <f t="shared" si="49"/>
        <v>0</v>
      </c>
    </row>
    <row r="587" spans="1:26" ht="15" customHeight="1">
      <c r="A587" t="s">
        <v>1349</v>
      </c>
      <c r="B587" t="s">
        <v>1350</v>
      </c>
      <c r="C587" s="14">
        <v>45846</v>
      </c>
      <c r="D587" s="14">
        <v>45842</v>
      </c>
      <c r="E587">
        <v>2025</v>
      </c>
      <c r="F587">
        <v>7</v>
      </c>
      <c r="G587" t="s">
        <v>193</v>
      </c>
      <c r="H587" t="s">
        <v>194</v>
      </c>
      <c r="I587" t="s">
        <v>124</v>
      </c>
      <c r="J587" s="15">
        <v>27687.360000000001</v>
      </c>
      <c r="K587" s="15">
        <v>0</v>
      </c>
      <c r="L587" s="15">
        <f t="shared" si="45"/>
        <v>27687.360000000001</v>
      </c>
      <c r="M587" t="s">
        <v>195</v>
      </c>
      <c r="N587" t="s">
        <v>1351</v>
      </c>
      <c r="O587" t="s">
        <v>197</v>
      </c>
      <c r="P587" t="s">
        <v>175</v>
      </c>
      <c r="Q587" t="s">
        <v>151</v>
      </c>
      <c r="R587" s="16">
        <v>45846.489583333299</v>
      </c>
      <c r="S587" t="s">
        <v>130</v>
      </c>
      <c r="V587" t="b">
        <f t="shared" si="46"/>
        <v>0</v>
      </c>
      <c r="W587" t="b">
        <f>AND(OR(WEEKDAY(C587,2)=5,WEEKDAY(C587,2)=6),'01_Parameters'!$C$11="Enabled")</f>
        <v>0</v>
      </c>
      <c r="X587" t="b">
        <f t="shared" si="47"/>
        <v>0</v>
      </c>
      <c r="Y587" t="b">
        <f t="shared" si="48"/>
        <v>0</v>
      </c>
      <c r="Z587" t="b">
        <f t="shared" si="49"/>
        <v>0</v>
      </c>
    </row>
    <row r="588" spans="1:26" ht="15" customHeight="1">
      <c r="A588" t="s">
        <v>1349</v>
      </c>
      <c r="B588" t="s">
        <v>1352</v>
      </c>
      <c r="C588" s="14">
        <v>45846</v>
      </c>
      <c r="D588" s="14">
        <v>45842</v>
      </c>
      <c r="E588">
        <v>2025</v>
      </c>
      <c r="F588">
        <v>7</v>
      </c>
      <c r="G588" t="s">
        <v>199</v>
      </c>
      <c r="H588" t="s">
        <v>200</v>
      </c>
      <c r="I588" t="s">
        <v>146</v>
      </c>
      <c r="J588" s="15">
        <v>0</v>
      </c>
      <c r="K588" s="15">
        <v>27687.360000000001</v>
      </c>
      <c r="L588" s="15">
        <f t="shared" si="45"/>
        <v>-27687.360000000001</v>
      </c>
      <c r="M588" t="s">
        <v>195</v>
      </c>
      <c r="N588" t="s">
        <v>1351</v>
      </c>
      <c r="O588" t="s">
        <v>197</v>
      </c>
      <c r="P588" t="s">
        <v>175</v>
      </c>
      <c r="Q588" t="s">
        <v>151</v>
      </c>
      <c r="R588" s="16">
        <v>45846.489583333299</v>
      </c>
      <c r="S588" t="s">
        <v>130</v>
      </c>
      <c r="V588" t="b">
        <f t="shared" si="46"/>
        <v>0</v>
      </c>
      <c r="W588" t="b">
        <f>AND(OR(WEEKDAY(C588,2)=5,WEEKDAY(C588,2)=6),'01_Parameters'!$C$11="Enabled")</f>
        <v>0</v>
      </c>
      <c r="X588" t="b">
        <f t="shared" si="47"/>
        <v>0</v>
      </c>
      <c r="Y588" t="b">
        <f t="shared" si="48"/>
        <v>0</v>
      </c>
      <c r="Z588" t="b">
        <f t="shared" si="49"/>
        <v>0</v>
      </c>
    </row>
    <row r="589" spans="1:26" ht="15" customHeight="1">
      <c r="A589" t="s">
        <v>1353</v>
      </c>
      <c r="B589" t="s">
        <v>1354</v>
      </c>
      <c r="C589" s="14">
        <v>45698</v>
      </c>
      <c r="D589" s="14">
        <v>45698</v>
      </c>
      <c r="E589">
        <v>2025</v>
      </c>
      <c r="F589">
        <v>2</v>
      </c>
      <c r="G589" t="s">
        <v>193</v>
      </c>
      <c r="H589" t="s">
        <v>194</v>
      </c>
      <c r="I589" t="s">
        <v>124</v>
      </c>
      <c r="J589" s="15">
        <v>29644.02</v>
      </c>
      <c r="K589" s="15">
        <v>0</v>
      </c>
      <c r="L589" s="15">
        <f t="shared" si="45"/>
        <v>29644.02</v>
      </c>
      <c r="M589" t="s">
        <v>195</v>
      </c>
      <c r="N589" t="s">
        <v>1355</v>
      </c>
      <c r="O589" t="s">
        <v>197</v>
      </c>
      <c r="P589" t="s">
        <v>128</v>
      </c>
      <c r="Q589" t="s">
        <v>175</v>
      </c>
      <c r="R589" s="16">
        <v>45698.635416666701</v>
      </c>
      <c r="S589" t="s">
        <v>130</v>
      </c>
      <c r="V589" t="b">
        <f t="shared" si="46"/>
        <v>0</v>
      </c>
      <c r="W589" t="b">
        <f>AND(OR(WEEKDAY(C589,2)=5,WEEKDAY(C589,2)=6),'01_Parameters'!$C$11="Enabled")</f>
        <v>0</v>
      </c>
      <c r="X589" t="b">
        <f t="shared" si="47"/>
        <v>0</v>
      </c>
      <c r="Y589" t="b">
        <f t="shared" si="48"/>
        <v>0</v>
      </c>
      <c r="Z589" t="b">
        <f t="shared" si="49"/>
        <v>0</v>
      </c>
    </row>
    <row r="590" spans="1:26" ht="15" customHeight="1">
      <c r="A590" t="s">
        <v>1353</v>
      </c>
      <c r="B590" t="s">
        <v>1356</v>
      </c>
      <c r="C590" s="14">
        <v>45698</v>
      </c>
      <c r="D590" s="14">
        <v>45698</v>
      </c>
      <c r="E590">
        <v>2025</v>
      </c>
      <c r="F590">
        <v>2</v>
      </c>
      <c r="G590" t="s">
        <v>199</v>
      </c>
      <c r="H590" t="s">
        <v>200</v>
      </c>
      <c r="I590" t="s">
        <v>146</v>
      </c>
      <c r="J590" s="15">
        <v>0</v>
      </c>
      <c r="K590" s="15">
        <v>29644.02</v>
      </c>
      <c r="L590" s="15">
        <f t="shared" si="45"/>
        <v>-29644.02</v>
      </c>
      <c r="M590" t="s">
        <v>195</v>
      </c>
      <c r="N590" t="s">
        <v>1355</v>
      </c>
      <c r="O590" t="s">
        <v>197</v>
      </c>
      <c r="P590" t="s">
        <v>128</v>
      </c>
      <c r="Q590" t="s">
        <v>175</v>
      </c>
      <c r="R590" s="16">
        <v>45698.635416666701</v>
      </c>
      <c r="S590" t="s">
        <v>130</v>
      </c>
      <c r="V590" t="b">
        <f t="shared" si="46"/>
        <v>0</v>
      </c>
      <c r="W590" t="b">
        <f>AND(OR(WEEKDAY(C590,2)=5,WEEKDAY(C590,2)=6),'01_Parameters'!$C$11="Enabled")</f>
        <v>0</v>
      </c>
      <c r="X590" t="b">
        <f t="shared" si="47"/>
        <v>0</v>
      </c>
      <c r="Y590" t="b">
        <f t="shared" si="48"/>
        <v>0</v>
      </c>
      <c r="Z590" t="b">
        <f t="shared" si="49"/>
        <v>0</v>
      </c>
    </row>
    <row r="591" spans="1:26" ht="15" customHeight="1">
      <c r="A591" t="s">
        <v>1357</v>
      </c>
      <c r="B591" t="s">
        <v>1358</v>
      </c>
      <c r="C591" s="14">
        <v>45993</v>
      </c>
      <c r="D591" s="14">
        <v>45988</v>
      </c>
      <c r="E591">
        <v>2025</v>
      </c>
      <c r="F591">
        <v>12</v>
      </c>
      <c r="G591" t="s">
        <v>193</v>
      </c>
      <c r="H591" t="s">
        <v>194</v>
      </c>
      <c r="I591" t="s">
        <v>124</v>
      </c>
      <c r="J591" s="15">
        <v>12954.39</v>
      </c>
      <c r="K591" s="15">
        <v>0</v>
      </c>
      <c r="L591" s="15">
        <f t="shared" si="45"/>
        <v>12954.39</v>
      </c>
      <c r="M591" t="s">
        <v>195</v>
      </c>
      <c r="N591" t="s">
        <v>1359</v>
      </c>
      <c r="O591" t="s">
        <v>197</v>
      </c>
      <c r="P591" t="s">
        <v>129</v>
      </c>
      <c r="Q591" t="s">
        <v>175</v>
      </c>
      <c r="R591" s="16">
        <v>45993.479166666701</v>
      </c>
      <c r="S591" t="s">
        <v>130</v>
      </c>
      <c r="V591" t="b">
        <f t="shared" si="46"/>
        <v>0</v>
      </c>
      <c r="W591" t="b">
        <f>AND(OR(WEEKDAY(C591,2)=5,WEEKDAY(C591,2)=6),'01_Parameters'!$C$11="Enabled")</f>
        <v>0</v>
      </c>
      <c r="X591" t="b">
        <f t="shared" si="47"/>
        <v>0</v>
      </c>
      <c r="Y591" t="b">
        <f t="shared" si="48"/>
        <v>0</v>
      </c>
      <c r="Z591" t="b">
        <f t="shared" si="49"/>
        <v>0</v>
      </c>
    </row>
    <row r="592" spans="1:26" ht="15" customHeight="1">
      <c r="A592" t="s">
        <v>1357</v>
      </c>
      <c r="B592" t="s">
        <v>1360</v>
      </c>
      <c r="C592" s="14">
        <v>45993</v>
      </c>
      <c r="D592" s="14">
        <v>45988</v>
      </c>
      <c r="E592">
        <v>2025</v>
      </c>
      <c r="F592">
        <v>12</v>
      </c>
      <c r="G592" t="s">
        <v>199</v>
      </c>
      <c r="H592" t="s">
        <v>200</v>
      </c>
      <c r="I592" t="s">
        <v>146</v>
      </c>
      <c r="J592" s="15">
        <v>0</v>
      </c>
      <c r="K592" s="15">
        <v>12954.39</v>
      </c>
      <c r="L592" s="15">
        <f t="shared" si="45"/>
        <v>-12954.39</v>
      </c>
      <c r="M592" t="s">
        <v>195</v>
      </c>
      <c r="N592" t="s">
        <v>1359</v>
      </c>
      <c r="O592" t="s">
        <v>197</v>
      </c>
      <c r="P592" t="s">
        <v>129</v>
      </c>
      <c r="Q592" t="s">
        <v>175</v>
      </c>
      <c r="R592" s="16">
        <v>45993.479166666701</v>
      </c>
      <c r="S592" t="s">
        <v>130</v>
      </c>
      <c r="V592" t="b">
        <f t="shared" si="46"/>
        <v>0</v>
      </c>
      <c r="W592" t="b">
        <f>AND(OR(WEEKDAY(C592,2)=5,WEEKDAY(C592,2)=6),'01_Parameters'!$C$11="Enabled")</f>
        <v>0</v>
      </c>
      <c r="X592" t="b">
        <f t="shared" si="47"/>
        <v>0</v>
      </c>
      <c r="Y592" t="b">
        <f t="shared" si="48"/>
        <v>0</v>
      </c>
      <c r="Z592" t="b">
        <f t="shared" si="49"/>
        <v>0</v>
      </c>
    </row>
    <row r="593" spans="1:26" ht="15" customHeight="1">
      <c r="A593" t="s">
        <v>1361</v>
      </c>
      <c r="B593" t="s">
        <v>1362</v>
      </c>
      <c r="C593" s="14">
        <v>45857</v>
      </c>
      <c r="D593" s="14">
        <v>45857</v>
      </c>
      <c r="E593">
        <v>2025</v>
      </c>
      <c r="F593">
        <v>7</v>
      </c>
      <c r="G593" t="s">
        <v>172</v>
      </c>
      <c r="H593" t="s">
        <v>173</v>
      </c>
      <c r="I593" t="s">
        <v>124</v>
      </c>
      <c r="J593" s="15">
        <v>83029.39</v>
      </c>
      <c r="K593" s="15">
        <v>0</v>
      </c>
      <c r="L593" s="15">
        <f t="shared" si="45"/>
        <v>83029.39</v>
      </c>
      <c r="M593" t="s">
        <v>209</v>
      </c>
      <c r="N593" t="s">
        <v>1363</v>
      </c>
      <c r="O593" t="s">
        <v>211</v>
      </c>
      <c r="P593" t="s">
        <v>128</v>
      </c>
      <c r="Q593" t="s">
        <v>129</v>
      </c>
      <c r="R593" s="16">
        <v>45857.260416666701</v>
      </c>
      <c r="S593" t="s">
        <v>130</v>
      </c>
      <c r="T593" t="s">
        <v>782</v>
      </c>
      <c r="U593" t="s">
        <v>1363</v>
      </c>
      <c r="V593" t="b">
        <f t="shared" si="46"/>
        <v>0</v>
      </c>
      <c r="W593" t="b">
        <f>AND(OR(WEEKDAY(C593,2)=5,WEEKDAY(C593,2)=6),'01_Parameters'!$C$11="Enabled")</f>
        <v>1</v>
      </c>
      <c r="X593" t="b">
        <f t="shared" si="47"/>
        <v>1</v>
      </c>
      <c r="Y593" t="b">
        <f t="shared" si="48"/>
        <v>0</v>
      </c>
      <c r="Z593" t="b">
        <f t="shared" si="49"/>
        <v>0</v>
      </c>
    </row>
    <row r="594" spans="1:26" ht="15" customHeight="1">
      <c r="A594" t="s">
        <v>1361</v>
      </c>
      <c r="B594" t="s">
        <v>1364</v>
      </c>
      <c r="C594" s="14">
        <v>45857</v>
      </c>
      <c r="D594" s="14">
        <v>45857</v>
      </c>
      <c r="E594">
        <v>2025</v>
      </c>
      <c r="F594">
        <v>7</v>
      </c>
      <c r="G594" t="s">
        <v>132</v>
      </c>
      <c r="H594" t="s">
        <v>133</v>
      </c>
      <c r="I594" t="s">
        <v>134</v>
      </c>
      <c r="J594" s="15">
        <v>0</v>
      </c>
      <c r="K594" s="15">
        <v>83029.39</v>
      </c>
      <c r="L594" s="15">
        <f t="shared" si="45"/>
        <v>-83029.39</v>
      </c>
      <c r="M594" t="s">
        <v>209</v>
      </c>
      <c r="N594" t="s">
        <v>1363</v>
      </c>
      <c r="O594" t="s">
        <v>211</v>
      </c>
      <c r="P594" t="s">
        <v>128</v>
      </c>
      <c r="Q594" t="s">
        <v>129</v>
      </c>
      <c r="R594" s="16">
        <v>45857.260416666701</v>
      </c>
      <c r="S594" t="s">
        <v>130</v>
      </c>
      <c r="T594" t="s">
        <v>782</v>
      </c>
      <c r="U594" t="s">
        <v>1363</v>
      </c>
      <c r="V594" t="b">
        <f t="shared" si="46"/>
        <v>0</v>
      </c>
      <c r="W594" t="b">
        <f>AND(OR(WEEKDAY(C594,2)=5,WEEKDAY(C594,2)=6),'01_Parameters'!$C$11="Enabled")</f>
        <v>1</v>
      </c>
      <c r="X594" t="b">
        <f t="shared" si="47"/>
        <v>1</v>
      </c>
      <c r="Y594" t="b">
        <f t="shared" si="48"/>
        <v>0</v>
      </c>
      <c r="Z594" t="b">
        <f t="shared" si="49"/>
        <v>0</v>
      </c>
    </row>
    <row r="595" spans="1:26" ht="15" customHeight="1">
      <c r="A595" t="s">
        <v>1365</v>
      </c>
      <c r="B595" t="s">
        <v>1366</v>
      </c>
      <c r="C595" s="14">
        <v>45858</v>
      </c>
      <c r="D595" s="14">
        <v>45856</v>
      </c>
      <c r="E595">
        <v>2025</v>
      </c>
      <c r="F595">
        <v>7</v>
      </c>
      <c r="G595" t="s">
        <v>193</v>
      </c>
      <c r="H595" t="s">
        <v>194</v>
      </c>
      <c r="I595" t="s">
        <v>124</v>
      </c>
      <c r="J595" s="15">
        <v>67725.27</v>
      </c>
      <c r="K595" s="15">
        <v>0</v>
      </c>
      <c r="L595" s="15">
        <f t="shared" si="45"/>
        <v>67725.27</v>
      </c>
      <c r="M595" t="s">
        <v>195</v>
      </c>
      <c r="N595" t="s">
        <v>1367</v>
      </c>
      <c r="O595" t="s">
        <v>197</v>
      </c>
      <c r="P595" t="s">
        <v>129</v>
      </c>
      <c r="Q595" t="s">
        <v>150</v>
      </c>
      <c r="R595" s="16">
        <v>45858.770833333299</v>
      </c>
      <c r="S595" t="s">
        <v>130</v>
      </c>
      <c r="V595" t="b">
        <f t="shared" si="46"/>
        <v>0</v>
      </c>
      <c r="W595" t="b">
        <f>AND(OR(WEEKDAY(C595,2)=5,WEEKDAY(C595,2)=6),'01_Parameters'!$C$11="Enabled")</f>
        <v>0</v>
      </c>
      <c r="X595" t="b">
        <f t="shared" si="47"/>
        <v>1</v>
      </c>
      <c r="Y595" t="b">
        <f t="shared" si="48"/>
        <v>0</v>
      </c>
      <c r="Z595" t="b">
        <f t="shared" si="49"/>
        <v>0</v>
      </c>
    </row>
    <row r="596" spans="1:26" ht="15" customHeight="1">
      <c r="A596" t="s">
        <v>1365</v>
      </c>
      <c r="B596" t="s">
        <v>1368</v>
      </c>
      <c r="C596" s="14">
        <v>45858</v>
      </c>
      <c r="D596" s="14">
        <v>45856</v>
      </c>
      <c r="E596">
        <v>2025</v>
      </c>
      <c r="F596">
        <v>7</v>
      </c>
      <c r="G596" t="s">
        <v>199</v>
      </c>
      <c r="H596" t="s">
        <v>200</v>
      </c>
      <c r="I596" t="s">
        <v>146</v>
      </c>
      <c r="J596" s="15">
        <v>0</v>
      </c>
      <c r="K596" s="15">
        <v>67725.27</v>
      </c>
      <c r="L596" s="15">
        <f t="shared" si="45"/>
        <v>-67725.27</v>
      </c>
      <c r="M596" t="s">
        <v>195</v>
      </c>
      <c r="N596" t="s">
        <v>1367</v>
      </c>
      <c r="O596" t="s">
        <v>197</v>
      </c>
      <c r="P596" t="s">
        <v>129</v>
      </c>
      <c r="Q596" t="s">
        <v>150</v>
      </c>
      <c r="R596" s="16">
        <v>45858.770833333299</v>
      </c>
      <c r="S596" t="s">
        <v>130</v>
      </c>
      <c r="V596" t="b">
        <f t="shared" si="46"/>
        <v>0</v>
      </c>
      <c r="W596" t="b">
        <f>AND(OR(WEEKDAY(C596,2)=5,WEEKDAY(C596,2)=6),'01_Parameters'!$C$11="Enabled")</f>
        <v>0</v>
      </c>
      <c r="X596" t="b">
        <f t="shared" si="47"/>
        <v>1</v>
      </c>
      <c r="Y596" t="b">
        <f t="shared" si="48"/>
        <v>0</v>
      </c>
      <c r="Z596" t="b">
        <f t="shared" si="49"/>
        <v>0</v>
      </c>
    </row>
    <row r="597" spans="1:26" ht="15" customHeight="1">
      <c r="A597" t="s">
        <v>1369</v>
      </c>
      <c r="B597" t="s">
        <v>1370</v>
      </c>
      <c r="C597" s="14">
        <v>45961</v>
      </c>
      <c r="D597" s="14">
        <v>45957</v>
      </c>
      <c r="E597">
        <v>2025</v>
      </c>
      <c r="F597">
        <v>10</v>
      </c>
      <c r="G597" t="s">
        <v>122</v>
      </c>
      <c r="H597" t="s">
        <v>123</v>
      </c>
      <c r="I597" t="s">
        <v>124</v>
      </c>
      <c r="J597" s="15">
        <v>77514.570000000007</v>
      </c>
      <c r="K597" s="15">
        <v>0</v>
      </c>
      <c r="L597" s="15">
        <f t="shared" si="45"/>
        <v>77514.570000000007</v>
      </c>
      <c r="M597" t="s">
        <v>209</v>
      </c>
      <c r="N597" t="s">
        <v>1371</v>
      </c>
      <c r="O597" t="s">
        <v>211</v>
      </c>
      <c r="P597" t="s">
        <v>140</v>
      </c>
      <c r="Q597" t="s">
        <v>128</v>
      </c>
      <c r="R597" s="16">
        <v>45961.354166666701</v>
      </c>
      <c r="S597" t="s">
        <v>130</v>
      </c>
      <c r="T597" t="s">
        <v>782</v>
      </c>
      <c r="U597" t="s">
        <v>1371</v>
      </c>
      <c r="V597" t="b">
        <f t="shared" si="46"/>
        <v>0</v>
      </c>
      <c r="W597" t="b">
        <f>AND(OR(WEEKDAY(C597,2)=5,WEEKDAY(C597,2)=6),'01_Parameters'!$C$11="Enabled")</f>
        <v>1</v>
      </c>
      <c r="X597" t="b">
        <f t="shared" si="47"/>
        <v>0</v>
      </c>
      <c r="Y597" t="b">
        <f t="shared" si="48"/>
        <v>0</v>
      </c>
      <c r="Z597" t="b">
        <f t="shared" si="49"/>
        <v>0</v>
      </c>
    </row>
    <row r="598" spans="1:26" ht="15" customHeight="1">
      <c r="A598" t="s">
        <v>1369</v>
      </c>
      <c r="B598" t="s">
        <v>1372</v>
      </c>
      <c r="C598" s="14">
        <v>45961</v>
      </c>
      <c r="D598" s="14">
        <v>45957</v>
      </c>
      <c r="E598">
        <v>2025</v>
      </c>
      <c r="F598">
        <v>10</v>
      </c>
      <c r="G598" t="s">
        <v>132</v>
      </c>
      <c r="H598" t="s">
        <v>133</v>
      </c>
      <c r="I598" t="s">
        <v>134</v>
      </c>
      <c r="J598" s="15">
        <v>0</v>
      </c>
      <c r="K598" s="15">
        <v>77514.570000000007</v>
      </c>
      <c r="L598" s="15">
        <f t="shared" si="45"/>
        <v>-77514.570000000007</v>
      </c>
      <c r="M598" t="s">
        <v>209</v>
      </c>
      <c r="N598" t="s">
        <v>1371</v>
      </c>
      <c r="O598" t="s">
        <v>211</v>
      </c>
      <c r="P598" t="s">
        <v>140</v>
      </c>
      <c r="Q598" t="s">
        <v>128</v>
      </c>
      <c r="R598" s="16">
        <v>45961.354166666701</v>
      </c>
      <c r="S598" t="s">
        <v>130</v>
      </c>
      <c r="T598" t="s">
        <v>782</v>
      </c>
      <c r="U598" t="s">
        <v>1371</v>
      </c>
      <c r="V598" t="b">
        <f t="shared" si="46"/>
        <v>0</v>
      </c>
      <c r="W598" t="b">
        <f>AND(OR(WEEKDAY(C598,2)=5,WEEKDAY(C598,2)=6),'01_Parameters'!$C$11="Enabled")</f>
        <v>1</v>
      </c>
      <c r="X598" t="b">
        <f t="shared" si="47"/>
        <v>0</v>
      </c>
      <c r="Y598" t="b">
        <f t="shared" si="48"/>
        <v>0</v>
      </c>
      <c r="Z598" t="b">
        <f t="shared" si="49"/>
        <v>0</v>
      </c>
    </row>
    <row r="599" spans="1:26" ht="15" customHeight="1">
      <c r="A599" t="s">
        <v>1373</v>
      </c>
      <c r="B599" t="s">
        <v>1374</v>
      </c>
      <c r="C599" s="14">
        <v>45721</v>
      </c>
      <c r="D599" s="14">
        <v>45718</v>
      </c>
      <c r="E599">
        <v>2025</v>
      </c>
      <c r="F599">
        <v>3</v>
      </c>
      <c r="G599" t="s">
        <v>144</v>
      </c>
      <c r="H599" t="s">
        <v>145</v>
      </c>
      <c r="I599" t="s">
        <v>146</v>
      </c>
      <c r="J599" s="15">
        <v>61341.73</v>
      </c>
      <c r="K599" s="15">
        <v>0</v>
      </c>
      <c r="L599" s="15">
        <f t="shared" si="45"/>
        <v>61341.73</v>
      </c>
      <c r="M599" t="s">
        <v>147</v>
      </c>
      <c r="N599" t="s">
        <v>1375</v>
      </c>
      <c r="O599" t="s">
        <v>149</v>
      </c>
      <c r="P599" t="s">
        <v>150</v>
      </c>
      <c r="Q599" t="s">
        <v>175</v>
      </c>
      <c r="R599" s="16">
        <v>45721.822916666701</v>
      </c>
      <c r="S599" t="s">
        <v>130</v>
      </c>
      <c r="V599" t="b">
        <f t="shared" si="46"/>
        <v>0</v>
      </c>
      <c r="W599" t="b">
        <f>AND(OR(WEEKDAY(C599,2)=5,WEEKDAY(C599,2)=6),'01_Parameters'!$C$11="Enabled")</f>
        <v>0</v>
      </c>
      <c r="X599" t="b">
        <f t="shared" si="47"/>
        <v>1</v>
      </c>
      <c r="Y599" t="b">
        <f t="shared" si="48"/>
        <v>0</v>
      </c>
      <c r="Z599" t="b">
        <f t="shared" si="49"/>
        <v>0</v>
      </c>
    </row>
    <row r="600" spans="1:26" ht="15" customHeight="1">
      <c r="A600" t="s">
        <v>1373</v>
      </c>
      <c r="B600" t="s">
        <v>1376</v>
      </c>
      <c r="C600" s="14">
        <v>45721</v>
      </c>
      <c r="D600" s="14">
        <v>45718</v>
      </c>
      <c r="E600">
        <v>2025</v>
      </c>
      <c r="F600">
        <v>3</v>
      </c>
      <c r="G600" t="s">
        <v>153</v>
      </c>
      <c r="H600" t="s">
        <v>154</v>
      </c>
      <c r="I600" t="s">
        <v>155</v>
      </c>
      <c r="J600" s="15">
        <v>0</v>
      </c>
      <c r="K600" s="15">
        <v>61341.73</v>
      </c>
      <c r="L600" s="15">
        <f t="shared" si="45"/>
        <v>-61341.73</v>
      </c>
      <c r="M600" t="s">
        <v>147</v>
      </c>
      <c r="N600" t="s">
        <v>1375</v>
      </c>
      <c r="O600" t="s">
        <v>149</v>
      </c>
      <c r="P600" t="s">
        <v>150</v>
      </c>
      <c r="Q600" t="s">
        <v>175</v>
      </c>
      <c r="R600" s="16">
        <v>45721.822916666701</v>
      </c>
      <c r="S600" t="s">
        <v>130</v>
      </c>
      <c r="V600" t="b">
        <f t="shared" si="46"/>
        <v>0</v>
      </c>
      <c r="W600" t="b">
        <f>AND(OR(WEEKDAY(C600,2)=5,WEEKDAY(C600,2)=6),'01_Parameters'!$C$11="Enabled")</f>
        <v>0</v>
      </c>
      <c r="X600" t="b">
        <f t="shared" si="47"/>
        <v>1</v>
      </c>
      <c r="Y600" t="b">
        <f t="shared" si="48"/>
        <v>0</v>
      </c>
      <c r="Z600" t="b">
        <f t="shared" si="49"/>
        <v>0</v>
      </c>
    </row>
    <row r="601" spans="1:26" ht="15" customHeight="1">
      <c r="A601" t="s">
        <v>1377</v>
      </c>
      <c r="B601" t="s">
        <v>1378</v>
      </c>
      <c r="C601" s="14">
        <v>45970</v>
      </c>
      <c r="D601" s="14">
        <v>45968</v>
      </c>
      <c r="E601">
        <v>2025</v>
      </c>
      <c r="F601">
        <v>11</v>
      </c>
      <c r="G601" t="s">
        <v>144</v>
      </c>
      <c r="H601" t="s">
        <v>145</v>
      </c>
      <c r="I601" t="s">
        <v>146</v>
      </c>
      <c r="J601" s="15">
        <v>72225.52</v>
      </c>
      <c r="K601" s="15">
        <v>0</v>
      </c>
      <c r="L601" s="15">
        <f t="shared" si="45"/>
        <v>72225.52</v>
      </c>
      <c r="M601" t="s">
        <v>147</v>
      </c>
      <c r="N601" t="s">
        <v>1379</v>
      </c>
      <c r="O601" t="s">
        <v>149</v>
      </c>
      <c r="P601" t="s">
        <v>150</v>
      </c>
      <c r="Q601" t="s">
        <v>128</v>
      </c>
      <c r="R601" s="16">
        <v>45970.427083333299</v>
      </c>
      <c r="S601" t="s">
        <v>130</v>
      </c>
      <c r="V601" t="b">
        <f t="shared" si="46"/>
        <v>0</v>
      </c>
      <c r="W601" t="b">
        <f>AND(OR(WEEKDAY(C601,2)=5,WEEKDAY(C601,2)=6),'01_Parameters'!$C$11="Enabled")</f>
        <v>0</v>
      </c>
      <c r="X601" t="b">
        <f t="shared" si="47"/>
        <v>0</v>
      </c>
      <c r="Y601" t="b">
        <f t="shared" si="48"/>
        <v>0</v>
      </c>
      <c r="Z601" t="b">
        <f t="shared" si="49"/>
        <v>0</v>
      </c>
    </row>
    <row r="602" spans="1:26" ht="15" customHeight="1">
      <c r="A602" t="s">
        <v>1377</v>
      </c>
      <c r="B602" t="s">
        <v>1380</v>
      </c>
      <c r="C602" s="14">
        <v>45970</v>
      </c>
      <c r="D602" s="14">
        <v>45968</v>
      </c>
      <c r="E602">
        <v>2025</v>
      </c>
      <c r="F602">
        <v>11</v>
      </c>
      <c r="G602" t="s">
        <v>153</v>
      </c>
      <c r="H602" t="s">
        <v>154</v>
      </c>
      <c r="I602" t="s">
        <v>155</v>
      </c>
      <c r="J602" s="15">
        <v>0</v>
      </c>
      <c r="K602" s="15">
        <v>72225.52</v>
      </c>
      <c r="L602" s="15">
        <f t="shared" si="45"/>
        <v>-72225.52</v>
      </c>
      <c r="M602" t="s">
        <v>147</v>
      </c>
      <c r="N602" t="s">
        <v>1379</v>
      </c>
      <c r="O602" t="s">
        <v>149</v>
      </c>
      <c r="P602" t="s">
        <v>150</v>
      </c>
      <c r="Q602" t="s">
        <v>128</v>
      </c>
      <c r="R602" s="16">
        <v>45970.427083333299</v>
      </c>
      <c r="S602" t="s">
        <v>130</v>
      </c>
      <c r="V602" t="b">
        <f t="shared" si="46"/>
        <v>0</v>
      </c>
      <c r="W602" t="b">
        <f>AND(OR(WEEKDAY(C602,2)=5,WEEKDAY(C602,2)=6),'01_Parameters'!$C$11="Enabled")</f>
        <v>0</v>
      </c>
      <c r="X602" t="b">
        <f t="shared" si="47"/>
        <v>0</v>
      </c>
      <c r="Y602" t="b">
        <f t="shared" si="48"/>
        <v>0</v>
      </c>
      <c r="Z602" t="b">
        <f t="shared" si="49"/>
        <v>0</v>
      </c>
    </row>
    <row r="603" spans="1:26" ht="15" customHeight="1">
      <c r="A603" t="s">
        <v>1381</v>
      </c>
      <c r="B603" t="s">
        <v>1382</v>
      </c>
      <c r="C603" s="14">
        <v>45686</v>
      </c>
      <c r="D603" s="14">
        <v>45685</v>
      </c>
      <c r="E603">
        <v>2025</v>
      </c>
      <c r="F603">
        <v>1</v>
      </c>
      <c r="G603" t="s">
        <v>179</v>
      </c>
      <c r="H603" t="s">
        <v>180</v>
      </c>
      <c r="I603" t="s">
        <v>124</v>
      </c>
      <c r="J603" s="15">
        <v>38367.4</v>
      </c>
      <c r="K603" s="15">
        <v>0</v>
      </c>
      <c r="L603" s="15">
        <f t="shared" si="45"/>
        <v>38367.4</v>
      </c>
      <c r="M603" t="s">
        <v>181</v>
      </c>
      <c r="N603" t="s">
        <v>1383</v>
      </c>
      <c r="O603" t="s">
        <v>183</v>
      </c>
      <c r="P603" t="s">
        <v>140</v>
      </c>
      <c r="Q603" t="s">
        <v>175</v>
      </c>
      <c r="R603" s="16">
        <v>45686.552083333299</v>
      </c>
      <c r="S603" t="s">
        <v>130</v>
      </c>
      <c r="V603" t="b">
        <f t="shared" si="46"/>
        <v>0</v>
      </c>
      <c r="W603" t="b">
        <f>AND(OR(WEEKDAY(C603,2)=5,WEEKDAY(C603,2)=6),'01_Parameters'!$C$11="Enabled")</f>
        <v>0</v>
      </c>
      <c r="X603" t="b">
        <f t="shared" si="47"/>
        <v>0</v>
      </c>
      <c r="Y603" t="b">
        <f t="shared" si="48"/>
        <v>0</v>
      </c>
      <c r="Z603" t="b">
        <f t="shared" si="49"/>
        <v>0</v>
      </c>
    </row>
    <row r="604" spans="1:26" ht="15" customHeight="1">
      <c r="A604" t="s">
        <v>1381</v>
      </c>
      <c r="B604" t="s">
        <v>1384</v>
      </c>
      <c r="C604" s="14">
        <v>45686</v>
      </c>
      <c r="D604" s="14">
        <v>45685</v>
      </c>
      <c r="E604">
        <v>2025</v>
      </c>
      <c r="F604">
        <v>1</v>
      </c>
      <c r="G604" t="s">
        <v>185</v>
      </c>
      <c r="H604" t="s">
        <v>186</v>
      </c>
      <c r="I604" t="s">
        <v>134</v>
      </c>
      <c r="J604" s="15">
        <v>0</v>
      </c>
      <c r="K604" s="15">
        <v>38367.4</v>
      </c>
      <c r="L604" s="15">
        <f t="shared" si="45"/>
        <v>-38367.4</v>
      </c>
      <c r="M604" t="s">
        <v>181</v>
      </c>
      <c r="N604" t="s">
        <v>1383</v>
      </c>
      <c r="O604" t="s">
        <v>183</v>
      </c>
      <c r="P604" t="s">
        <v>140</v>
      </c>
      <c r="Q604" t="s">
        <v>175</v>
      </c>
      <c r="R604" s="16">
        <v>45686.552083333299</v>
      </c>
      <c r="S604" t="s">
        <v>130</v>
      </c>
      <c r="V604" t="b">
        <f t="shared" si="46"/>
        <v>0</v>
      </c>
      <c r="W604" t="b">
        <f>AND(OR(WEEKDAY(C604,2)=5,WEEKDAY(C604,2)=6),'01_Parameters'!$C$11="Enabled")</f>
        <v>0</v>
      </c>
      <c r="X604" t="b">
        <f t="shared" si="47"/>
        <v>0</v>
      </c>
      <c r="Y604" t="b">
        <f t="shared" si="48"/>
        <v>0</v>
      </c>
      <c r="Z604" t="b">
        <f t="shared" si="49"/>
        <v>0</v>
      </c>
    </row>
    <row r="605" spans="1:26" ht="15" customHeight="1">
      <c r="A605" t="s">
        <v>1385</v>
      </c>
      <c r="B605" t="s">
        <v>1386</v>
      </c>
      <c r="C605" s="14">
        <v>45782</v>
      </c>
      <c r="D605" s="14">
        <v>45782</v>
      </c>
      <c r="E605">
        <v>2025</v>
      </c>
      <c r="F605">
        <v>5</v>
      </c>
      <c r="G605" t="s">
        <v>179</v>
      </c>
      <c r="H605" t="s">
        <v>180</v>
      </c>
      <c r="I605" t="s">
        <v>124</v>
      </c>
      <c r="J605" s="15">
        <v>9473.59</v>
      </c>
      <c r="K605" s="15">
        <v>0</v>
      </c>
      <c r="L605" s="15">
        <f t="shared" si="45"/>
        <v>9473.59</v>
      </c>
      <c r="M605" t="s">
        <v>181</v>
      </c>
      <c r="N605" t="s">
        <v>1387</v>
      </c>
      <c r="O605" t="s">
        <v>183</v>
      </c>
      <c r="P605" t="s">
        <v>129</v>
      </c>
      <c r="Q605" t="s">
        <v>128</v>
      </c>
      <c r="R605" s="16">
        <v>45782.364583333299</v>
      </c>
      <c r="S605" t="s">
        <v>130</v>
      </c>
      <c r="V605" t="b">
        <f t="shared" si="46"/>
        <v>0</v>
      </c>
      <c r="W605" t="b">
        <f>AND(OR(WEEKDAY(C605,2)=5,WEEKDAY(C605,2)=6),'01_Parameters'!$C$11="Enabled")</f>
        <v>0</v>
      </c>
      <c r="X605" t="b">
        <f t="shared" si="47"/>
        <v>0</v>
      </c>
      <c r="Y605" t="b">
        <f t="shared" si="48"/>
        <v>0</v>
      </c>
      <c r="Z605" t="b">
        <f t="shared" si="49"/>
        <v>0</v>
      </c>
    </row>
    <row r="606" spans="1:26" ht="15" customHeight="1">
      <c r="A606" t="s">
        <v>1385</v>
      </c>
      <c r="B606" t="s">
        <v>1388</v>
      </c>
      <c r="C606" s="14">
        <v>45782</v>
      </c>
      <c r="D606" s="14">
        <v>45782</v>
      </c>
      <c r="E606">
        <v>2025</v>
      </c>
      <c r="F606">
        <v>5</v>
      </c>
      <c r="G606" t="s">
        <v>185</v>
      </c>
      <c r="H606" t="s">
        <v>186</v>
      </c>
      <c r="I606" t="s">
        <v>134</v>
      </c>
      <c r="J606" s="15">
        <v>0</v>
      </c>
      <c r="K606" s="15">
        <v>9473.59</v>
      </c>
      <c r="L606" s="15">
        <f t="shared" si="45"/>
        <v>-9473.59</v>
      </c>
      <c r="M606" t="s">
        <v>181</v>
      </c>
      <c r="N606" t="s">
        <v>1387</v>
      </c>
      <c r="O606" t="s">
        <v>183</v>
      </c>
      <c r="P606" t="s">
        <v>129</v>
      </c>
      <c r="Q606" t="s">
        <v>128</v>
      </c>
      <c r="R606" s="16">
        <v>45782.364583333299</v>
      </c>
      <c r="S606" t="s">
        <v>130</v>
      </c>
      <c r="V606" t="b">
        <f t="shared" si="46"/>
        <v>0</v>
      </c>
      <c r="W606" t="b">
        <f>AND(OR(WEEKDAY(C606,2)=5,WEEKDAY(C606,2)=6),'01_Parameters'!$C$11="Enabled")</f>
        <v>0</v>
      </c>
      <c r="X606" t="b">
        <f t="shared" si="47"/>
        <v>0</v>
      </c>
      <c r="Y606" t="b">
        <f t="shared" si="48"/>
        <v>0</v>
      </c>
      <c r="Z606" t="b">
        <f t="shared" si="49"/>
        <v>0</v>
      </c>
    </row>
    <row r="607" spans="1:26" ht="15" customHeight="1">
      <c r="A607" t="s">
        <v>1389</v>
      </c>
      <c r="B607" t="s">
        <v>1390</v>
      </c>
      <c r="C607" s="14">
        <v>45923</v>
      </c>
      <c r="D607" s="14">
        <v>45920</v>
      </c>
      <c r="E607">
        <v>2025</v>
      </c>
      <c r="F607">
        <v>9</v>
      </c>
      <c r="G607" t="s">
        <v>334</v>
      </c>
      <c r="H607" t="s">
        <v>335</v>
      </c>
      <c r="I607" t="s">
        <v>124</v>
      </c>
      <c r="J607" s="15">
        <v>4348.6499999999996</v>
      </c>
      <c r="K607" s="15">
        <v>0</v>
      </c>
      <c r="L607" s="15">
        <f t="shared" si="45"/>
        <v>4348.6499999999996</v>
      </c>
      <c r="M607" t="s">
        <v>125</v>
      </c>
      <c r="N607" t="s">
        <v>1391</v>
      </c>
      <c r="O607" t="s">
        <v>127</v>
      </c>
      <c r="P607" t="s">
        <v>150</v>
      </c>
      <c r="Q607" t="s">
        <v>128</v>
      </c>
      <c r="R607" s="16">
        <v>45923.822916666701</v>
      </c>
      <c r="S607" t="s">
        <v>130</v>
      </c>
      <c r="V607" t="b">
        <f t="shared" si="46"/>
        <v>0</v>
      </c>
      <c r="W607" t="b">
        <f>AND(OR(WEEKDAY(C607,2)=5,WEEKDAY(C607,2)=6),'01_Parameters'!$C$11="Enabled")</f>
        <v>0</v>
      </c>
      <c r="X607" t="b">
        <f t="shared" si="47"/>
        <v>1</v>
      </c>
      <c r="Y607" t="b">
        <f t="shared" si="48"/>
        <v>0</v>
      </c>
      <c r="Z607" t="b">
        <f t="shared" si="49"/>
        <v>0</v>
      </c>
    </row>
    <row r="608" spans="1:26" ht="15" customHeight="1">
      <c r="A608" t="s">
        <v>1389</v>
      </c>
      <c r="B608" t="s">
        <v>1392</v>
      </c>
      <c r="C608" s="14">
        <v>45923</v>
      </c>
      <c r="D608" s="14">
        <v>45920</v>
      </c>
      <c r="E608">
        <v>2025</v>
      </c>
      <c r="F608">
        <v>9</v>
      </c>
      <c r="G608" t="s">
        <v>132</v>
      </c>
      <c r="H608" t="s">
        <v>133</v>
      </c>
      <c r="I608" t="s">
        <v>134</v>
      </c>
      <c r="J608" s="15">
        <v>0</v>
      </c>
      <c r="K608" s="15">
        <v>4348.6499999999996</v>
      </c>
      <c r="L608" s="15">
        <f t="shared" si="45"/>
        <v>-4348.6499999999996</v>
      </c>
      <c r="M608" t="s">
        <v>125</v>
      </c>
      <c r="N608" t="s">
        <v>1391</v>
      </c>
      <c r="O608" t="s">
        <v>127</v>
      </c>
      <c r="P608" t="s">
        <v>150</v>
      </c>
      <c r="Q608" t="s">
        <v>128</v>
      </c>
      <c r="R608" s="16">
        <v>45923.822916666701</v>
      </c>
      <c r="S608" t="s">
        <v>130</v>
      </c>
      <c r="V608" t="b">
        <f t="shared" si="46"/>
        <v>0</v>
      </c>
      <c r="W608" t="b">
        <f>AND(OR(WEEKDAY(C608,2)=5,WEEKDAY(C608,2)=6),'01_Parameters'!$C$11="Enabled")</f>
        <v>0</v>
      </c>
      <c r="X608" t="b">
        <f t="shared" si="47"/>
        <v>1</v>
      </c>
      <c r="Y608" t="b">
        <f t="shared" si="48"/>
        <v>0</v>
      </c>
      <c r="Z608" t="b">
        <f t="shared" si="49"/>
        <v>0</v>
      </c>
    </row>
    <row r="609" spans="1:26" ht="15" customHeight="1">
      <c r="A609" t="s">
        <v>1393</v>
      </c>
      <c r="B609" t="s">
        <v>1394</v>
      </c>
      <c r="C609" s="14">
        <v>45978</v>
      </c>
      <c r="D609" s="14">
        <v>45973</v>
      </c>
      <c r="E609">
        <v>2025</v>
      </c>
      <c r="F609">
        <v>11</v>
      </c>
      <c r="G609" t="s">
        <v>122</v>
      </c>
      <c r="H609" t="s">
        <v>123</v>
      </c>
      <c r="I609" t="s">
        <v>124</v>
      </c>
      <c r="J609" s="15">
        <v>30793.16</v>
      </c>
      <c r="K609" s="15">
        <v>0</v>
      </c>
      <c r="L609" s="15">
        <f t="shared" si="45"/>
        <v>30793.16</v>
      </c>
      <c r="M609" t="s">
        <v>209</v>
      </c>
      <c r="N609" t="s">
        <v>1395</v>
      </c>
      <c r="O609" t="s">
        <v>211</v>
      </c>
      <c r="P609" t="s">
        <v>150</v>
      </c>
      <c r="Q609" t="s">
        <v>128</v>
      </c>
      <c r="R609" s="16">
        <v>45978.854166666701</v>
      </c>
      <c r="S609" t="s">
        <v>130</v>
      </c>
      <c r="T609" t="s">
        <v>251</v>
      </c>
      <c r="U609" t="s">
        <v>1395</v>
      </c>
      <c r="V609" t="b">
        <f t="shared" si="46"/>
        <v>0</v>
      </c>
      <c r="W609" t="b">
        <f>AND(OR(WEEKDAY(C609,2)=5,WEEKDAY(C609,2)=6),'01_Parameters'!$C$11="Enabled")</f>
        <v>0</v>
      </c>
      <c r="X609" t="b">
        <f t="shared" si="47"/>
        <v>1</v>
      </c>
      <c r="Y609" t="b">
        <f t="shared" si="48"/>
        <v>0</v>
      </c>
      <c r="Z609" t="b">
        <f t="shared" si="49"/>
        <v>0</v>
      </c>
    </row>
    <row r="610" spans="1:26" ht="15" customHeight="1">
      <c r="A610" t="s">
        <v>1393</v>
      </c>
      <c r="B610" t="s">
        <v>1396</v>
      </c>
      <c r="C610" s="14">
        <v>45978</v>
      </c>
      <c r="D610" s="14">
        <v>45973</v>
      </c>
      <c r="E610">
        <v>2025</v>
      </c>
      <c r="F610">
        <v>11</v>
      </c>
      <c r="G610" t="s">
        <v>132</v>
      </c>
      <c r="H610" t="s">
        <v>133</v>
      </c>
      <c r="I610" t="s">
        <v>134</v>
      </c>
      <c r="J610" s="15">
        <v>0</v>
      </c>
      <c r="K610" s="15">
        <v>30793.16</v>
      </c>
      <c r="L610" s="15">
        <f t="shared" si="45"/>
        <v>-30793.16</v>
      </c>
      <c r="M610" t="s">
        <v>209</v>
      </c>
      <c r="N610" t="s">
        <v>1395</v>
      </c>
      <c r="O610" t="s">
        <v>211</v>
      </c>
      <c r="P610" t="s">
        <v>150</v>
      </c>
      <c r="Q610" t="s">
        <v>128</v>
      </c>
      <c r="R610" s="16">
        <v>45978.854166666701</v>
      </c>
      <c r="S610" t="s">
        <v>130</v>
      </c>
      <c r="T610" t="s">
        <v>251</v>
      </c>
      <c r="U610" t="s">
        <v>1395</v>
      </c>
      <c r="V610" t="b">
        <f t="shared" si="46"/>
        <v>0</v>
      </c>
      <c r="W610" t="b">
        <f>AND(OR(WEEKDAY(C610,2)=5,WEEKDAY(C610,2)=6),'01_Parameters'!$C$11="Enabled")</f>
        <v>0</v>
      </c>
      <c r="X610" t="b">
        <f t="shared" si="47"/>
        <v>1</v>
      </c>
      <c r="Y610" t="b">
        <f t="shared" si="48"/>
        <v>0</v>
      </c>
      <c r="Z610" t="b">
        <f t="shared" si="49"/>
        <v>0</v>
      </c>
    </row>
    <row r="611" spans="1:26" ht="15" customHeight="1">
      <c r="A611" t="s">
        <v>1397</v>
      </c>
      <c r="B611" t="s">
        <v>1398</v>
      </c>
      <c r="C611" s="14">
        <v>45760</v>
      </c>
      <c r="D611" s="14">
        <v>45756</v>
      </c>
      <c r="E611">
        <v>2025</v>
      </c>
      <c r="F611">
        <v>4</v>
      </c>
      <c r="G611" t="s">
        <v>179</v>
      </c>
      <c r="H611" t="s">
        <v>180</v>
      </c>
      <c r="I611" t="s">
        <v>124</v>
      </c>
      <c r="J611" s="15">
        <v>63566.99</v>
      </c>
      <c r="K611" s="15">
        <v>0</v>
      </c>
      <c r="L611" s="15">
        <f t="shared" si="45"/>
        <v>63566.99</v>
      </c>
      <c r="M611" t="s">
        <v>181</v>
      </c>
      <c r="N611" t="s">
        <v>1399</v>
      </c>
      <c r="O611" t="s">
        <v>183</v>
      </c>
      <c r="P611" t="s">
        <v>175</v>
      </c>
      <c r="Q611" t="s">
        <v>129</v>
      </c>
      <c r="R611" s="16">
        <v>45760.770833333299</v>
      </c>
      <c r="S611" t="s">
        <v>130</v>
      </c>
      <c r="V611" t="b">
        <f t="shared" si="46"/>
        <v>0</v>
      </c>
      <c r="W611" t="b">
        <f>AND(OR(WEEKDAY(C611,2)=5,WEEKDAY(C611,2)=6),'01_Parameters'!$C$11="Enabled")</f>
        <v>0</v>
      </c>
      <c r="X611" t="b">
        <f t="shared" si="47"/>
        <v>1</v>
      </c>
      <c r="Y611" t="b">
        <f t="shared" si="48"/>
        <v>0</v>
      </c>
      <c r="Z611" t="b">
        <f t="shared" si="49"/>
        <v>0</v>
      </c>
    </row>
    <row r="612" spans="1:26" ht="15" customHeight="1">
      <c r="A612" t="s">
        <v>1397</v>
      </c>
      <c r="B612" t="s">
        <v>1400</v>
      </c>
      <c r="C612" s="14">
        <v>45760</v>
      </c>
      <c r="D612" s="14">
        <v>45756</v>
      </c>
      <c r="E612">
        <v>2025</v>
      </c>
      <c r="F612">
        <v>4</v>
      </c>
      <c r="G612" t="s">
        <v>185</v>
      </c>
      <c r="H612" t="s">
        <v>186</v>
      </c>
      <c r="I612" t="s">
        <v>134</v>
      </c>
      <c r="J612" s="15">
        <v>0</v>
      </c>
      <c r="K612" s="15">
        <v>63566.99</v>
      </c>
      <c r="L612" s="15">
        <f t="shared" si="45"/>
        <v>-63566.99</v>
      </c>
      <c r="M612" t="s">
        <v>181</v>
      </c>
      <c r="N612" t="s">
        <v>1399</v>
      </c>
      <c r="O612" t="s">
        <v>183</v>
      </c>
      <c r="P612" t="s">
        <v>175</v>
      </c>
      <c r="Q612" t="s">
        <v>129</v>
      </c>
      <c r="R612" s="16">
        <v>45760.770833333299</v>
      </c>
      <c r="S612" t="s">
        <v>130</v>
      </c>
      <c r="V612" t="b">
        <f t="shared" si="46"/>
        <v>0</v>
      </c>
      <c r="W612" t="b">
        <f>AND(OR(WEEKDAY(C612,2)=5,WEEKDAY(C612,2)=6),'01_Parameters'!$C$11="Enabled")</f>
        <v>0</v>
      </c>
      <c r="X612" t="b">
        <f t="shared" si="47"/>
        <v>1</v>
      </c>
      <c r="Y612" t="b">
        <f t="shared" si="48"/>
        <v>0</v>
      </c>
      <c r="Z612" t="b">
        <f t="shared" si="49"/>
        <v>0</v>
      </c>
    </row>
    <row r="613" spans="1:26" ht="15" customHeight="1">
      <c r="A613" t="s">
        <v>1401</v>
      </c>
      <c r="B613" t="s">
        <v>1402</v>
      </c>
      <c r="C613" s="14">
        <v>45982</v>
      </c>
      <c r="D613" s="14">
        <v>45981</v>
      </c>
      <c r="E613">
        <v>2025</v>
      </c>
      <c r="F613">
        <v>11</v>
      </c>
      <c r="G613" t="s">
        <v>172</v>
      </c>
      <c r="H613" t="s">
        <v>173</v>
      </c>
      <c r="I613" t="s">
        <v>124</v>
      </c>
      <c r="J613" s="15">
        <v>32876.61</v>
      </c>
      <c r="K613" s="15">
        <v>0</v>
      </c>
      <c r="L613" s="15">
        <f t="shared" si="45"/>
        <v>32876.61</v>
      </c>
      <c r="M613" t="s">
        <v>125</v>
      </c>
      <c r="N613" t="s">
        <v>1403</v>
      </c>
      <c r="O613" t="s">
        <v>127</v>
      </c>
      <c r="P613" t="s">
        <v>175</v>
      </c>
      <c r="Q613" t="s">
        <v>140</v>
      </c>
      <c r="R613" s="16">
        <v>45982.479166666701</v>
      </c>
      <c r="S613" t="s">
        <v>130</v>
      </c>
      <c r="V613" t="b">
        <f t="shared" si="46"/>
        <v>0</v>
      </c>
      <c r="W613" t="b">
        <f>AND(OR(WEEKDAY(C613,2)=5,WEEKDAY(C613,2)=6),'01_Parameters'!$C$11="Enabled")</f>
        <v>1</v>
      </c>
      <c r="X613" t="b">
        <f t="shared" si="47"/>
        <v>0</v>
      </c>
      <c r="Y613" t="b">
        <f t="shared" si="48"/>
        <v>0</v>
      </c>
      <c r="Z613" t="b">
        <f t="shared" si="49"/>
        <v>0</v>
      </c>
    </row>
    <row r="614" spans="1:26" ht="15" customHeight="1">
      <c r="A614" t="s">
        <v>1401</v>
      </c>
      <c r="B614" t="s">
        <v>1404</v>
      </c>
      <c r="C614" s="14">
        <v>45982</v>
      </c>
      <c r="D614" s="14">
        <v>45981</v>
      </c>
      <c r="E614">
        <v>2025</v>
      </c>
      <c r="F614">
        <v>11</v>
      </c>
      <c r="G614" t="s">
        <v>132</v>
      </c>
      <c r="H614" t="s">
        <v>133</v>
      </c>
      <c r="I614" t="s">
        <v>134</v>
      </c>
      <c r="J614" s="15">
        <v>0</v>
      </c>
      <c r="K614" s="15">
        <v>32876.61</v>
      </c>
      <c r="L614" s="15">
        <f t="shared" si="45"/>
        <v>-32876.61</v>
      </c>
      <c r="M614" t="s">
        <v>125</v>
      </c>
      <c r="N614" t="s">
        <v>1403</v>
      </c>
      <c r="O614" t="s">
        <v>127</v>
      </c>
      <c r="P614" t="s">
        <v>175</v>
      </c>
      <c r="Q614" t="s">
        <v>140</v>
      </c>
      <c r="R614" s="16">
        <v>45982.479166666701</v>
      </c>
      <c r="S614" t="s">
        <v>130</v>
      </c>
      <c r="V614" t="b">
        <f t="shared" si="46"/>
        <v>0</v>
      </c>
      <c r="W614" t="b">
        <f>AND(OR(WEEKDAY(C614,2)=5,WEEKDAY(C614,2)=6),'01_Parameters'!$C$11="Enabled")</f>
        <v>1</v>
      </c>
      <c r="X614" t="b">
        <f t="shared" si="47"/>
        <v>0</v>
      </c>
      <c r="Y614" t="b">
        <f t="shared" si="48"/>
        <v>0</v>
      </c>
      <c r="Z614" t="b">
        <f t="shared" si="49"/>
        <v>0</v>
      </c>
    </row>
    <row r="615" spans="1:26" ht="15" customHeight="1">
      <c r="A615" t="s">
        <v>1405</v>
      </c>
      <c r="B615" t="s">
        <v>1406</v>
      </c>
      <c r="C615" s="14">
        <v>45798</v>
      </c>
      <c r="D615" s="14">
        <v>45794</v>
      </c>
      <c r="E615">
        <v>2025</v>
      </c>
      <c r="F615">
        <v>5</v>
      </c>
      <c r="G615" t="s">
        <v>193</v>
      </c>
      <c r="H615" t="s">
        <v>194</v>
      </c>
      <c r="I615" t="s">
        <v>124</v>
      </c>
      <c r="J615" s="15">
        <v>12657.58</v>
      </c>
      <c r="K615" s="15">
        <v>0</v>
      </c>
      <c r="L615" s="15">
        <f t="shared" si="45"/>
        <v>12657.58</v>
      </c>
      <c r="M615" t="s">
        <v>195</v>
      </c>
      <c r="N615" t="s">
        <v>1407</v>
      </c>
      <c r="O615" t="s">
        <v>197</v>
      </c>
      <c r="P615" t="s">
        <v>151</v>
      </c>
      <c r="Q615" t="s">
        <v>150</v>
      </c>
      <c r="R615" s="16">
        <v>45798.927083333299</v>
      </c>
      <c r="S615" t="s">
        <v>130</v>
      </c>
      <c r="V615" t="b">
        <f t="shared" si="46"/>
        <v>0</v>
      </c>
      <c r="W615" t="b">
        <f>AND(OR(WEEKDAY(C615,2)=5,WEEKDAY(C615,2)=6),'01_Parameters'!$C$11="Enabled")</f>
        <v>0</v>
      </c>
      <c r="X615" t="b">
        <f t="shared" si="47"/>
        <v>1</v>
      </c>
      <c r="Y615" t="b">
        <f t="shared" si="48"/>
        <v>0</v>
      </c>
      <c r="Z615" t="b">
        <f t="shared" si="49"/>
        <v>0</v>
      </c>
    </row>
    <row r="616" spans="1:26" ht="15" customHeight="1">
      <c r="A616" t="s">
        <v>1405</v>
      </c>
      <c r="B616" t="s">
        <v>1408</v>
      </c>
      <c r="C616" s="14">
        <v>45798</v>
      </c>
      <c r="D616" s="14">
        <v>45794</v>
      </c>
      <c r="E616">
        <v>2025</v>
      </c>
      <c r="F616">
        <v>5</v>
      </c>
      <c r="G616" t="s">
        <v>199</v>
      </c>
      <c r="H616" t="s">
        <v>200</v>
      </c>
      <c r="I616" t="s">
        <v>146</v>
      </c>
      <c r="J616" s="15">
        <v>0</v>
      </c>
      <c r="K616" s="15">
        <v>12657.58</v>
      </c>
      <c r="L616" s="15">
        <f t="shared" si="45"/>
        <v>-12657.58</v>
      </c>
      <c r="M616" t="s">
        <v>195</v>
      </c>
      <c r="N616" t="s">
        <v>1407</v>
      </c>
      <c r="O616" t="s">
        <v>197</v>
      </c>
      <c r="P616" t="s">
        <v>151</v>
      </c>
      <c r="Q616" t="s">
        <v>150</v>
      </c>
      <c r="R616" s="16">
        <v>45798.927083333299</v>
      </c>
      <c r="S616" t="s">
        <v>130</v>
      </c>
      <c r="V616" t="b">
        <f t="shared" si="46"/>
        <v>0</v>
      </c>
      <c r="W616" t="b">
        <f>AND(OR(WEEKDAY(C616,2)=5,WEEKDAY(C616,2)=6),'01_Parameters'!$C$11="Enabled")</f>
        <v>0</v>
      </c>
      <c r="X616" t="b">
        <f t="shared" si="47"/>
        <v>1</v>
      </c>
      <c r="Y616" t="b">
        <f t="shared" si="48"/>
        <v>0</v>
      </c>
      <c r="Z616" t="b">
        <f t="shared" si="49"/>
        <v>0</v>
      </c>
    </row>
    <row r="617" spans="1:26" ht="15" customHeight="1">
      <c r="A617" t="s">
        <v>1409</v>
      </c>
      <c r="B617" t="s">
        <v>1410</v>
      </c>
      <c r="C617" s="14">
        <v>45901</v>
      </c>
      <c r="D617" s="14">
        <v>45901</v>
      </c>
      <c r="E617">
        <v>2025</v>
      </c>
      <c r="F617">
        <v>9</v>
      </c>
      <c r="G617" t="s">
        <v>199</v>
      </c>
      <c r="H617" t="s">
        <v>200</v>
      </c>
      <c r="I617" t="s">
        <v>146</v>
      </c>
      <c r="J617" s="15">
        <v>71793.14</v>
      </c>
      <c r="K617" s="15">
        <v>0</v>
      </c>
      <c r="L617" s="15">
        <f t="shared" si="45"/>
        <v>71793.14</v>
      </c>
      <c r="M617" t="s">
        <v>209</v>
      </c>
      <c r="N617" t="s">
        <v>1411</v>
      </c>
      <c r="O617" t="s">
        <v>211</v>
      </c>
      <c r="P617" t="s">
        <v>140</v>
      </c>
      <c r="Q617" t="s">
        <v>175</v>
      </c>
      <c r="R617" s="16">
        <v>45901.916666666701</v>
      </c>
      <c r="S617" t="s">
        <v>130</v>
      </c>
      <c r="T617" t="s">
        <v>782</v>
      </c>
      <c r="U617" t="s">
        <v>1411</v>
      </c>
      <c r="V617" t="b">
        <f t="shared" si="46"/>
        <v>0</v>
      </c>
      <c r="W617" t="b">
        <f>AND(OR(WEEKDAY(C617,2)=5,WEEKDAY(C617,2)=6),'01_Parameters'!$C$11="Enabled")</f>
        <v>0</v>
      </c>
      <c r="X617" t="b">
        <f t="shared" si="47"/>
        <v>1</v>
      </c>
      <c r="Y617" t="b">
        <f t="shared" si="48"/>
        <v>0</v>
      </c>
      <c r="Z617" t="b">
        <f t="shared" si="49"/>
        <v>0</v>
      </c>
    </row>
    <row r="618" spans="1:26" ht="15" customHeight="1">
      <c r="A618" t="s">
        <v>1409</v>
      </c>
      <c r="B618" t="s">
        <v>1412</v>
      </c>
      <c r="C618" s="14">
        <v>45901</v>
      </c>
      <c r="D618" s="14">
        <v>45901</v>
      </c>
      <c r="E618">
        <v>2025</v>
      </c>
      <c r="F618">
        <v>9</v>
      </c>
      <c r="G618" t="s">
        <v>132</v>
      </c>
      <c r="H618" t="s">
        <v>133</v>
      </c>
      <c r="I618" t="s">
        <v>134</v>
      </c>
      <c r="J618" s="15">
        <v>0</v>
      </c>
      <c r="K618" s="15">
        <v>71793.14</v>
      </c>
      <c r="L618" s="15">
        <f t="shared" si="45"/>
        <v>-71793.14</v>
      </c>
      <c r="M618" t="s">
        <v>209</v>
      </c>
      <c r="N618" t="s">
        <v>1411</v>
      </c>
      <c r="O618" t="s">
        <v>211</v>
      </c>
      <c r="P618" t="s">
        <v>140</v>
      </c>
      <c r="Q618" t="s">
        <v>175</v>
      </c>
      <c r="R618" s="16">
        <v>45901.916666666701</v>
      </c>
      <c r="S618" t="s">
        <v>130</v>
      </c>
      <c r="T618" t="s">
        <v>782</v>
      </c>
      <c r="U618" t="s">
        <v>1411</v>
      </c>
      <c r="V618" t="b">
        <f t="shared" si="46"/>
        <v>0</v>
      </c>
      <c r="W618" t="b">
        <f>AND(OR(WEEKDAY(C618,2)=5,WEEKDAY(C618,2)=6),'01_Parameters'!$C$11="Enabled")</f>
        <v>0</v>
      </c>
      <c r="X618" t="b">
        <f t="shared" si="47"/>
        <v>1</v>
      </c>
      <c r="Y618" t="b">
        <f t="shared" si="48"/>
        <v>0</v>
      </c>
      <c r="Z618" t="b">
        <f t="shared" si="49"/>
        <v>0</v>
      </c>
    </row>
    <row r="619" spans="1:26" ht="15" customHeight="1">
      <c r="A619" t="s">
        <v>1413</v>
      </c>
      <c r="B619" t="s">
        <v>1414</v>
      </c>
      <c r="C619" s="14">
        <v>46009</v>
      </c>
      <c r="D619" s="14">
        <v>46004</v>
      </c>
      <c r="E619">
        <v>2025</v>
      </c>
      <c r="F619">
        <v>12</v>
      </c>
      <c r="G619" t="s">
        <v>193</v>
      </c>
      <c r="H619" t="s">
        <v>194</v>
      </c>
      <c r="I619" t="s">
        <v>124</v>
      </c>
      <c r="J619" s="15">
        <v>57730.5</v>
      </c>
      <c r="K619" s="15">
        <v>0</v>
      </c>
      <c r="L619" s="15">
        <f t="shared" si="45"/>
        <v>57730.5</v>
      </c>
      <c r="M619" t="s">
        <v>195</v>
      </c>
      <c r="N619" t="s">
        <v>1415</v>
      </c>
      <c r="O619" t="s">
        <v>197</v>
      </c>
      <c r="P619" t="s">
        <v>140</v>
      </c>
      <c r="Q619" t="s">
        <v>129</v>
      </c>
      <c r="R619" s="16">
        <v>46009.291666666701</v>
      </c>
      <c r="S619" t="s">
        <v>130</v>
      </c>
      <c r="V619" t="b">
        <f t="shared" si="46"/>
        <v>1</v>
      </c>
      <c r="W619" t="b">
        <f>AND(OR(WEEKDAY(C619,2)=5,WEEKDAY(C619,2)=6),'01_Parameters'!$C$11="Enabled")</f>
        <v>0</v>
      </c>
      <c r="X619" t="b">
        <f t="shared" si="47"/>
        <v>1</v>
      </c>
      <c r="Y619" t="b">
        <f t="shared" si="48"/>
        <v>0</v>
      </c>
      <c r="Z619" t="b">
        <f t="shared" si="49"/>
        <v>0</v>
      </c>
    </row>
    <row r="620" spans="1:26" ht="15" customHeight="1">
      <c r="A620" t="s">
        <v>1413</v>
      </c>
      <c r="B620" t="s">
        <v>1416</v>
      </c>
      <c r="C620" s="14">
        <v>46009</v>
      </c>
      <c r="D620" s="14">
        <v>46004</v>
      </c>
      <c r="E620">
        <v>2025</v>
      </c>
      <c r="F620">
        <v>12</v>
      </c>
      <c r="G620" t="s">
        <v>199</v>
      </c>
      <c r="H620" t="s">
        <v>200</v>
      </c>
      <c r="I620" t="s">
        <v>146</v>
      </c>
      <c r="J620" s="15">
        <v>0</v>
      </c>
      <c r="K620" s="15">
        <v>57730.5</v>
      </c>
      <c r="L620" s="15">
        <f t="shared" si="45"/>
        <v>-57730.5</v>
      </c>
      <c r="M620" t="s">
        <v>195</v>
      </c>
      <c r="N620" t="s">
        <v>1415</v>
      </c>
      <c r="O620" t="s">
        <v>197</v>
      </c>
      <c r="P620" t="s">
        <v>140</v>
      </c>
      <c r="Q620" t="s">
        <v>129</v>
      </c>
      <c r="R620" s="16">
        <v>46009.291666666701</v>
      </c>
      <c r="S620" t="s">
        <v>130</v>
      </c>
      <c r="V620" t="b">
        <f t="shared" si="46"/>
        <v>1</v>
      </c>
      <c r="W620" t="b">
        <f>AND(OR(WEEKDAY(C620,2)=5,WEEKDAY(C620,2)=6),'01_Parameters'!$C$11="Enabled")</f>
        <v>0</v>
      </c>
      <c r="X620" t="b">
        <f t="shared" si="47"/>
        <v>1</v>
      </c>
      <c r="Y620" t="b">
        <f t="shared" si="48"/>
        <v>0</v>
      </c>
      <c r="Z620" t="b">
        <f t="shared" si="49"/>
        <v>0</v>
      </c>
    </row>
    <row r="621" spans="1:26" ht="15" customHeight="1">
      <c r="A621" t="s">
        <v>1417</v>
      </c>
      <c r="B621" t="s">
        <v>1418</v>
      </c>
      <c r="C621" s="14">
        <v>45832</v>
      </c>
      <c r="D621" s="14">
        <v>45830</v>
      </c>
      <c r="E621">
        <v>2025</v>
      </c>
      <c r="F621">
        <v>6</v>
      </c>
      <c r="G621" t="s">
        <v>137</v>
      </c>
      <c r="H621" t="s">
        <v>138</v>
      </c>
      <c r="I621" t="s">
        <v>124</v>
      </c>
      <c r="J621" s="15">
        <v>49153.7</v>
      </c>
      <c r="K621" s="15">
        <v>0</v>
      </c>
      <c r="L621" s="15">
        <f t="shared" si="45"/>
        <v>49153.7</v>
      </c>
      <c r="M621" t="s">
        <v>125</v>
      </c>
      <c r="N621" t="s">
        <v>1419</v>
      </c>
      <c r="O621" t="s">
        <v>127</v>
      </c>
      <c r="P621" t="s">
        <v>175</v>
      </c>
      <c r="Q621" t="s">
        <v>151</v>
      </c>
      <c r="R621" s="16">
        <v>45832.5</v>
      </c>
      <c r="S621" t="s">
        <v>130</v>
      </c>
      <c r="V621" t="b">
        <f t="shared" si="46"/>
        <v>0</v>
      </c>
      <c r="W621" t="b">
        <f>AND(OR(WEEKDAY(C621,2)=5,WEEKDAY(C621,2)=6),'01_Parameters'!$C$11="Enabled")</f>
        <v>0</v>
      </c>
      <c r="X621" t="b">
        <f t="shared" si="47"/>
        <v>0</v>
      </c>
      <c r="Y621" t="b">
        <f t="shared" si="48"/>
        <v>0</v>
      </c>
      <c r="Z621" t="b">
        <f t="shared" si="49"/>
        <v>0</v>
      </c>
    </row>
    <row r="622" spans="1:26" ht="15" customHeight="1">
      <c r="A622" t="s">
        <v>1417</v>
      </c>
      <c r="B622" t="s">
        <v>1420</v>
      </c>
      <c r="C622" s="14">
        <v>45832</v>
      </c>
      <c r="D622" s="14">
        <v>45830</v>
      </c>
      <c r="E622">
        <v>2025</v>
      </c>
      <c r="F622">
        <v>6</v>
      </c>
      <c r="G622" t="s">
        <v>132</v>
      </c>
      <c r="H622" t="s">
        <v>133</v>
      </c>
      <c r="I622" t="s">
        <v>134</v>
      </c>
      <c r="J622" s="15">
        <v>0</v>
      </c>
      <c r="K622" s="15">
        <v>49153.7</v>
      </c>
      <c r="L622" s="15">
        <f t="shared" si="45"/>
        <v>-49153.7</v>
      </c>
      <c r="M622" t="s">
        <v>125</v>
      </c>
      <c r="N622" t="s">
        <v>1419</v>
      </c>
      <c r="O622" t="s">
        <v>127</v>
      </c>
      <c r="P622" t="s">
        <v>175</v>
      </c>
      <c r="Q622" t="s">
        <v>151</v>
      </c>
      <c r="R622" s="16">
        <v>45832.5</v>
      </c>
      <c r="S622" t="s">
        <v>130</v>
      </c>
      <c r="V622" t="b">
        <f t="shared" si="46"/>
        <v>0</v>
      </c>
      <c r="W622" t="b">
        <f>AND(OR(WEEKDAY(C622,2)=5,WEEKDAY(C622,2)=6),'01_Parameters'!$C$11="Enabled")</f>
        <v>0</v>
      </c>
      <c r="X622" t="b">
        <f t="shared" si="47"/>
        <v>0</v>
      </c>
      <c r="Y622" t="b">
        <f t="shared" si="48"/>
        <v>0</v>
      </c>
      <c r="Z622" t="b">
        <f t="shared" si="49"/>
        <v>0</v>
      </c>
    </row>
    <row r="623" spans="1:26" ht="15" customHeight="1">
      <c r="A623" t="s">
        <v>1421</v>
      </c>
      <c r="B623" t="s">
        <v>1422</v>
      </c>
      <c r="C623" s="14">
        <v>45784</v>
      </c>
      <c r="D623" s="14">
        <v>45780</v>
      </c>
      <c r="E623">
        <v>2025</v>
      </c>
      <c r="F623">
        <v>5</v>
      </c>
      <c r="G623" t="s">
        <v>179</v>
      </c>
      <c r="H623" t="s">
        <v>180</v>
      </c>
      <c r="I623" t="s">
        <v>124</v>
      </c>
      <c r="J623" s="15">
        <v>5678.97</v>
      </c>
      <c r="K623" s="15">
        <v>0</v>
      </c>
      <c r="L623" s="15">
        <f t="shared" si="45"/>
        <v>5678.97</v>
      </c>
      <c r="M623" t="s">
        <v>181</v>
      </c>
      <c r="N623" t="s">
        <v>1423</v>
      </c>
      <c r="O623" t="s">
        <v>183</v>
      </c>
      <c r="P623" t="s">
        <v>140</v>
      </c>
      <c r="Q623" t="s">
        <v>151</v>
      </c>
      <c r="R623" s="16">
        <v>45784.552083333299</v>
      </c>
      <c r="S623" t="s">
        <v>130</v>
      </c>
      <c r="V623" t="b">
        <f t="shared" si="46"/>
        <v>0</v>
      </c>
      <c r="W623" t="b">
        <f>AND(OR(WEEKDAY(C623,2)=5,WEEKDAY(C623,2)=6),'01_Parameters'!$C$11="Enabled")</f>
        <v>0</v>
      </c>
      <c r="X623" t="b">
        <f t="shared" si="47"/>
        <v>0</v>
      </c>
      <c r="Y623" t="b">
        <f t="shared" si="48"/>
        <v>0</v>
      </c>
      <c r="Z623" t="b">
        <f t="shared" si="49"/>
        <v>0</v>
      </c>
    </row>
    <row r="624" spans="1:26" ht="15" customHeight="1">
      <c r="A624" t="s">
        <v>1421</v>
      </c>
      <c r="B624" t="s">
        <v>1424</v>
      </c>
      <c r="C624" s="14">
        <v>45784</v>
      </c>
      <c r="D624" s="14">
        <v>45780</v>
      </c>
      <c r="E624">
        <v>2025</v>
      </c>
      <c r="F624">
        <v>5</v>
      </c>
      <c r="G624" t="s">
        <v>185</v>
      </c>
      <c r="H624" t="s">
        <v>186</v>
      </c>
      <c r="I624" t="s">
        <v>134</v>
      </c>
      <c r="J624" s="15">
        <v>0</v>
      </c>
      <c r="K624" s="15">
        <v>5678.97</v>
      </c>
      <c r="L624" s="15">
        <f t="shared" si="45"/>
        <v>-5678.97</v>
      </c>
      <c r="M624" t="s">
        <v>181</v>
      </c>
      <c r="N624" t="s">
        <v>1423</v>
      </c>
      <c r="O624" t="s">
        <v>183</v>
      </c>
      <c r="P624" t="s">
        <v>140</v>
      </c>
      <c r="Q624" t="s">
        <v>151</v>
      </c>
      <c r="R624" s="16">
        <v>45784.552083333299</v>
      </c>
      <c r="S624" t="s">
        <v>130</v>
      </c>
      <c r="V624" t="b">
        <f t="shared" si="46"/>
        <v>0</v>
      </c>
      <c r="W624" t="b">
        <f>AND(OR(WEEKDAY(C624,2)=5,WEEKDAY(C624,2)=6),'01_Parameters'!$C$11="Enabled")</f>
        <v>0</v>
      </c>
      <c r="X624" t="b">
        <f t="shared" si="47"/>
        <v>0</v>
      </c>
      <c r="Y624" t="b">
        <f t="shared" si="48"/>
        <v>0</v>
      </c>
      <c r="Z624" t="b">
        <f t="shared" si="49"/>
        <v>0</v>
      </c>
    </row>
    <row r="625" spans="1:26" ht="15" customHeight="1">
      <c r="A625" t="s">
        <v>1425</v>
      </c>
      <c r="B625" t="s">
        <v>1426</v>
      </c>
      <c r="C625" s="14">
        <v>45917</v>
      </c>
      <c r="D625" s="14">
        <v>45915</v>
      </c>
      <c r="E625">
        <v>2025</v>
      </c>
      <c r="F625">
        <v>9</v>
      </c>
      <c r="G625" t="s">
        <v>144</v>
      </c>
      <c r="H625" t="s">
        <v>145</v>
      </c>
      <c r="I625" t="s">
        <v>146</v>
      </c>
      <c r="J625" s="15">
        <v>76094.63</v>
      </c>
      <c r="K625" s="15">
        <v>0</v>
      </c>
      <c r="L625" s="15">
        <f t="shared" si="45"/>
        <v>76094.63</v>
      </c>
      <c r="M625" t="s">
        <v>147</v>
      </c>
      <c r="N625" t="s">
        <v>1427</v>
      </c>
      <c r="O625" t="s">
        <v>149</v>
      </c>
      <c r="P625" t="s">
        <v>129</v>
      </c>
      <c r="Q625" t="s">
        <v>140</v>
      </c>
      <c r="R625" s="16">
        <v>45917.25</v>
      </c>
      <c r="S625" t="s">
        <v>130</v>
      </c>
      <c r="V625" t="b">
        <f t="shared" si="46"/>
        <v>0</v>
      </c>
      <c r="W625" t="b">
        <f>AND(OR(WEEKDAY(C625,2)=5,WEEKDAY(C625,2)=6),'01_Parameters'!$C$11="Enabled")</f>
        <v>0</v>
      </c>
      <c r="X625" t="b">
        <f t="shared" si="47"/>
        <v>1</v>
      </c>
      <c r="Y625" t="b">
        <f t="shared" si="48"/>
        <v>0</v>
      </c>
      <c r="Z625" t="b">
        <f t="shared" si="49"/>
        <v>0</v>
      </c>
    </row>
    <row r="626" spans="1:26" ht="15" customHeight="1">
      <c r="A626" t="s">
        <v>1425</v>
      </c>
      <c r="B626" t="s">
        <v>1428</v>
      </c>
      <c r="C626" s="14">
        <v>45917</v>
      </c>
      <c r="D626" s="14">
        <v>45915</v>
      </c>
      <c r="E626">
        <v>2025</v>
      </c>
      <c r="F626">
        <v>9</v>
      </c>
      <c r="G626" t="s">
        <v>153</v>
      </c>
      <c r="H626" t="s">
        <v>154</v>
      </c>
      <c r="I626" t="s">
        <v>155</v>
      </c>
      <c r="J626" s="15">
        <v>0</v>
      </c>
      <c r="K626" s="15">
        <v>76094.63</v>
      </c>
      <c r="L626" s="15">
        <f t="shared" si="45"/>
        <v>-76094.63</v>
      </c>
      <c r="M626" t="s">
        <v>147</v>
      </c>
      <c r="N626" t="s">
        <v>1427</v>
      </c>
      <c r="O626" t="s">
        <v>149</v>
      </c>
      <c r="P626" t="s">
        <v>129</v>
      </c>
      <c r="Q626" t="s">
        <v>140</v>
      </c>
      <c r="R626" s="16">
        <v>45917.25</v>
      </c>
      <c r="S626" t="s">
        <v>130</v>
      </c>
      <c r="V626" t="b">
        <f t="shared" si="46"/>
        <v>0</v>
      </c>
      <c r="W626" t="b">
        <f>AND(OR(WEEKDAY(C626,2)=5,WEEKDAY(C626,2)=6),'01_Parameters'!$C$11="Enabled")</f>
        <v>0</v>
      </c>
      <c r="X626" t="b">
        <f t="shared" si="47"/>
        <v>1</v>
      </c>
      <c r="Y626" t="b">
        <f t="shared" si="48"/>
        <v>0</v>
      </c>
      <c r="Z626" t="b">
        <f t="shared" si="49"/>
        <v>0</v>
      </c>
    </row>
    <row r="627" spans="1:26" ht="15" customHeight="1">
      <c r="A627" t="s">
        <v>1429</v>
      </c>
      <c r="B627" t="s">
        <v>1430</v>
      </c>
      <c r="C627" s="14">
        <v>45833</v>
      </c>
      <c r="D627" s="14">
        <v>45828</v>
      </c>
      <c r="E627">
        <v>2025</v>
      </c>
      <c r="F627">
        <v>6</v>
      </c>
      <c r="G627" t="s">
        <v>193</v>
      </c>
      <c r="H627" t="s">
        <v>194</v>
      </c>
      <c r="I627" t="s">
        <v>124</v>
      </c>
      <c r="J627" s="15">
        <v>58835.78</v>
      </c>
      <c r="K627" s="15">
        <v>0</v>
      </c>
      <c r="L627" s="15">
        <f t="shared" si="45"/>
        <v>58835.78</v>
      </c>
      <c r="M627" t="s">
        <v>195</v>
      </c>
      <c r="N627" t="s">
        <v>1431</v>
      </c>
      <c r="O627" t="s">
        <v>197</v>
      </c>
      <c r="P627" t="s">
        <v>129</v>
      </c>
      <c r="Q627" t="s">
        <v>151</v>
      </c>
      <c r="R627" s="16">
        <v>45833.885416666701</v>
      </c>
      <c r="S627" t="s">
        <v>130</v>
      </c>
      <c r="V627" t="b">
        <f t="shared" si="46"/>
        <v>0</v>
      </c>
      <c r="W627" t="b">
        <f>AND(OR(WEEKDAY(C627,2)=5,WEEKDAY(C627,2)=6),'01_Parameters'!$C$11="Enabled")</f>
        <v>0</v>
      </c>
      <c r="X627" t="b">
        <f t="shared" si="47"/>
        <v>1</v>
      </c>
      <c r="Y627" t="b">
        <f t="shared" si="48"/>
        <v>0</v>
      </c>
      <c r="Z627" t="b">
        <f t="shared" si="49"/>
        <v>0</v>
      </c>
    </row>
    <row r="628" spans="1:26" ht="15" customHeight="1">
      <c r="A628" t="s">
        <v>1429</v>
      </c>
      <c r="B628" t="s">
        <v>1432</v>
      </c>
      <c r="C628" s="14">
        <v>45833</v>
      </c>
      <c r="D628" s="14">
        <v>45828</v>
      </c>
      <c r="E628">
        <v>2025</v>
      </c>
      <c r="F628">
        <v>6</v>
      </c>
      <c r="G628" t="s">
        <v>199</v>
      </c>
      <c r="H628" t="s">
        <v>200</v>
      </c>
      <c r="I628" t="s">
        <v>146</v>
      </c>
      <c r="J628" s="15">
        <v>0</v>
      </c>
      <c r="K628" s="15">
        <v>58835.78</v>
      </c>
      <c r="L628" s="15">
        <f t="shared" si="45"/>
        <v>-58835.78</v>
      </c>
      <c r="M628" t="s">
        <v>195</v>
      </c>
      <c r="N628" t="s">
        <v>1431</v>
      </c>
      <c r="O628" t="s">
        <v>197</v>
      </c>
      <c r="P628" t="s">
        <v>129</v>
      </c>
      <c r="Q628" t="s">
        <v>151</v>
      </c>
      <c r="R628" s="16">
        <v>45833.885416666701</v>
      </c>
      <c r="S628" t="s">
        <v>130</v>
      </c>
      <c r="V628" t="b">
        <f t="shared" si="46"/>
        <v>0</v>
      </c>
      <c r="W628" t="b">
        <f>AND(OR(WEEKDAY(C628,2)=5,WEEKDAY(C628,2)=6),'01_Parameters'!$C$11="Enabled")</f>
        <v>0</v>
      </c>
      <c r="X628" t="b">
        <f t="shared" si="47"/>
        <v>1</v>
      </c>
      <c r="Y628" t="b">
        <f t="shared" si="48"/>
        <v>0</v>
      </c>
      <c r="Z628" t="b">
        <f t="shared" si="49"/>
        <v>0</v>
      </c>
    </row>
    <row r="629" spans="1:26" ht="15" customHeight="1">
      <c r="A629" t="s">
        <v>1433</v>
      </c>
      <c r="B629" t="s">
        <v>1434</v>
      </c>
      <c r="C629" s="14">
        <v>45960</v>
      </c>
      <c r="D629" s="14">
        <v>45957</v>
      </c>
      <c r="E629">
        <v>2025</v>
      </c>
      <c r="F629">
        <v>10</v>
      </c>
      <c r="G629" t="s">
        <v>144</v>
      </c>
      <c r="H629" t="s">
        <v>145</v>
      </c>
      <c r="I629" t="s">
        <v>146</v>
      </c>
      <c r="J629" s="15">
        <v>60000.480000000003</v>
      </c>
      <c r="K629" s="15">
        <v>0</v>
      </c>
      <c r="L629" s="15">
        <f t="shared" si="45"/>
        <v>60000.480000000003</v>
      </c>
      <c r="M629" t="s">
        <v>147</v>
      </c>
      <c r="N629" t="s">
        <v>1435</v>
      </c>
      <c r="O629" t="s">
        <v>149</v>
      </c>
      <c r="P629" t="s">
        <v>175</v>
      </c>
      <c r="Q629" t="s">
        <v>128</v>
      </c>
      <c r="R629" s="16">
        <v>45960.510416666701</v>
      </c>
      <c r="S629" t="s">
        <v>130</v>
      </c>
      <c r="V629" t="b">
        <f t="shared" si="46"/>
        <v>0</v>
      </c>
      <c r="W629" t="b">
        <f>AND(OR(WEEKDAY(C629,2)=5,WEEKDAY(C629,2)=6),'01_Parameters'!$C$11="Enabled")</f>
        <v>0</v>
      </c>
      <c r="X629" t="b">
        <f t="shared" si="47"/>
        <v>0</v>
      </c>
      <c r="Y629" t="b">
        <f t="shared" si="48"/>
        <v>0</v>
      </c>
      <c r="Z629" t="b">
        <f t="shared" si="49"/>
        <v>0</v>
      </c>
    </row>
    <row r="630" spans="1:26" ht="15" customHeight="1">
      <c r="A630" t="s">
        <v>1433</v>
      </c>
      <c r="B630" t="s">
        <v>1436</v>
      </c>
      <c r="C630" s="14">
        <v>45960</v>
      </c>
      <c r="D630" s="14">
        <v>45957</v>
      </c>
      <c r="E630">
        <v>2025</v>
      </c>
      <c r="F630">
        <v>10</v>
      </c>
      <c r="G630" t="s">
        <v>153</v>
      </c>
      <c r="H630" t="s">
        <v>154</v>
      </c>
      <c r="I630" t="s">
        <v>155</v>
      </c>
      <c r="J630" s="15">
        <v>0</v>
      </c>
      <c r="K630" s="15">
        <v>60000.480000000003</v>
      </c>
      <c r="L630" s="15">
        <f t="shared" si="45"/>
        <v>-60000.480000000003</v>
      </c>
      <c r="M630" t="s">
        <v>147</v>
      </c>
      <c r="N630" t="s">
        <v>1435</v>
      </c>
      <c r="O630" t="s">
        <v>149</v>
      </c>
      <c r="P630" t="s">
        <v>175</v>
      </c>
      <c r="Q630" t="s">
        <v>128</v>
      </c>
      <c r="R630" s="16">
        <v>45960.510416666701</v>
      </c>
      <c r="S630" t="s">
        <v>130</v>
      </c>
      <c r="V630" t="b">
        <f t="shared" si="46"/>
        <v>0</v>
      </c>
      <c r="W630" t="b">
        <f>AND(OR(WEEKDAY(C630,2)=5,WEEKDAY(C630,2)=6),'01_Parameters'!$C$11="Enabled")</f>
        <v>0</v>
      </c>
      <c r="X630" t="b">
        <f t="shared" si="47"/>
        <v>0</v>
      </c>
      <c r="Y630" t="b">
        <f t="shared" si="48"/>
        <v>0</v>
      </c>
      <c r="Z630" t="b">
        <f t="shared" si="49"/>
        <v>0</v>
      </c>
    </row>
    <row r="631" spans="1:26" ht="15" customHeight="1">
      <c r="A631" t="s">
        <v>1437</v>
      </c>
      <c r="B631" t="s">
        <v>1438</v>
      </c>
      <c r="C631" s="14">
        <v>45890</v>
      </c>
      <c r="D631" s="14">
        <v>45887</v>
      </c>
      <c r="E631">
        <v>2025</v>
      </c>
      <c r="F631">
        <v>8</v>
      </c>
      <c r="G631" t="s">
        <v>193</v>
      </c>
      <c r="H631" t="s">
        <v>194</v>
      </c>
      <c r="I631" t="s">
        <v>124</v>
      </c>
      <c r="J631" s="15">
        <v>81150.710000000006</v>
      </c>
      <c r="K631" s="15">
        <v>0</v>
      </c>
      <c r="L631" s="15">
        <f t="shared" si="45"/>
        <v>81150.710000000006</v>
      </c>
      <c r="M631" t="s">
        <v>195</v>
      </c>
      <c r="N631" t="s">
        <v>1439</v>
      </c>
      <c r="O631" t="s">
        <v>197</v>
      </c>
      <c r="P631" t="s">
        <v>129</v>
      </c>
      <c r="Q631" t="s">
        <v>150</v>
      </c>
      <c r="R631" s="16">
        <v>45890.40625</v>
      </c>
      <c r="S631" t="s">
        <v>130</v>
      </c>
      <c r="V631" t="b">
        <f t="shared" si="46"/>
        <v>0</v>
      </c>
      <c r="W631" t="b">
        <f>AND(OR(WEEKDAY(C631,2)=5,WEEKDAY(C631,2)=6),'01_Parameters'!$C$11="Enabled")</f>
        <v>0</v>
      </c>
      <c r="X631" t="b">
        <f t="shared" si="47"/>
        <v>0</v>
      </c>
      <c r="Y631" t="b">
        <f t="shared" si="48"/>
        <v>0</v>
      </c>
      <c r="Z631" t="b">
        <f t="shared" si="49"/>
        <v>0</v>
      </c>
    </row>
    <row r="632" spans="1:26" ht="15" customHeight="1">
      <c r="A632" t="s">
        <v>1437</v>
      </c>
      <c r="B632" t="s">
        <v>1440</v>
      </c>
      <c r="C632" s="14">
        <v>45890</v>
      </c>
      <c r="D632" s="14">
        <v>45887</v>
      </c>
      <c r="E632">
        <v>2025</v>
      </c>
      <c r="F632">
        <v>8</v>
      </c>
      <c r="G632" t="s">
        <v>199</v>
      </c>
      <c r="H632" t="s">
        <v>200</v>
      </c>
      <c r="I632" t="s">
        <v>146</v>
      </c>
      <c r="J632" s="15">
        <v>0</v>
      </c>
      <c r="K632" s="15">
        <v>81150.710000000006</v>
      </c>
      <c r="L632" s="15">
        <f t="shared" si="45"/>
        <v>-81150.710000000006</v>
      </c>
      <c r="M632" t="s">
        <v>195</v>
      </c>
      <c r="N632" t="s">
        <v>1439</v>
      </c>
      <c r="O632" t="s">
        <v>197</v>
      </c>
      <c r="P632" t="s">
        <v>129</v>
      </c>
      <c r="Q632" t="s">
        <v>150</v>
      </c>
      <c r="R632" s="16">
        <v>45890.40625</v>
      </c>
      <c r="S632" t="s">
        <v>130</v>
      </c>
      <c r="V632" t="b">
        <f t="shared" si="46"/>
        <v>0</v>
      </c>
      <c r="W632" t="b">
        <f>AND(OR(WEEKDAY(C632,2)=5,WEEKDAY(C632,2)=6),'01_Parameters'!$C$11="Enabled")</f>
        <v>0</v>
      </c>
      <c r="X632" t="b">
        <f t="shared" si="47"/>
        <v>0</v>
      </c>
      <c r="Y632" t="b">
        <f t="shared" si="48"/>
        <v>0</v>
      </c>
      <c r="Z632" t="b">
        <f t="shared" si="49"/>
        <v>0</v>
      </c>
    </row>
    <row r="633" spans="1:26" ht="15" customHeight="1">
      <c r="A633" t="s">
        <v>1441</v>
      </c>
      <c r="B633" t="s">
        <v>1442</v>
      </c>
      <c r="C633" s="14">
        <v>45859</v>
      </c>
      <c r="D633" s="14">
        <v>45855</v>
      </c>
      <c r="E633">
        <v>2025</v>
      </c>
      <c r="F633">
        <v>7</v>
      </c>
      <c r="G633" t="s">
        <v>179</v>
      </c>
      <c r="H633" t="s">
        <v>180</v>
      </c>
      <c r="I633" t="s">
        <v>124</v>
      </c>
      <c r="J633" s="15">
        <v>36894.67</v>
      </c>
      <c r="K633" s="15">
        <v>0</v>
      </c>
      <c r="L633" s="15">
        <f t="shared" si="45"/>
        <v>36894.67</v>
      </c>
      <c r="M633" t="s">
        <v>181</v>
      </c>
      <c r="N633" t="s">
        <v>1443</v>
      </c>
      <c r="O633" t="s">
        <v>183</v>
      </c>
      <c r="P633" t="s">
        <v>175</v>
      </c>
      <c r="Q633" t="s">
        <v>151</v>
      </c>
      <c r="R633" s="16">
        <v>45859.802083333299</v>
      </c>
      <c r="S633" t="s">
        <v>130</v>
      </c>
      <c r="V633" t="b">
        <f t="shared" si="46"/>
        <v>0</v>
      </c>
      <c r="W633" t="b">
        <f>AND(OR(WEEKDAY(C633,2)=5,WEEKDAY(C633,2)=6),'01_Parameters'!$C$11="Enabled")</f>
        <v>0</v>
      </c>
      <c r="X633" t="b">
        <f t="shared" si="47"/>
        <v>1</v>
      </c>
      <c r="Y633" t="b">
        <f t="shared" si="48"/>
        <v>0</v>
      </c>
      <c r="Z633" t="b">
        <f t="shared" si="49"/>
        <v>0</v>
      </c>
    </row>
    <row r="634" spans="1:26" ht="15" customHeight="1">
      <c r="A634" t="s">
        <v>1441</v>
      </c>
      <c r="B634" t="s">
        <v>1444</v>
      </c>
      <c r="C634" s="14">
        <v>45859</v>
      </c>
      <c r="D634" s="14">
        <v>45855</v>
      </c>
      <c r="E634">
        <v>2025</v>
      </c>
      <c r="F634">
        <v>7</v>
      </c>
      <c r="G634" t="s">
        <v>185</v>
      </c>
      <c r="H634" t="s">
        <v>186</v>
      </c>
      <c r="I634" t="s">
        <v>134</v>
      </c>
      <c r="J634" s="15">
        <v>0</v>
      </c>
      <c r="K634" s="15">
        <v>36894.67</v>
      </c>
      <c r="L634" s="15">
        <f t="shared" si="45"/>
        <v>-36894.67</v>
      </c>
      <c r="M634" t="s">
        <v>181</v>
      </c>
      <c r="N634" t="s">
        <v>1443</v>
      </c>
      <c r="O634" t="s">
        <v>183</v>
      </c>
      <c r="P634" t="s">
        <v>175</v>
      </c>
      <c r="Q634" t="s">
        <v>151</v>
      </c>
      <c r="R634" s="16">
        <v>45859.802083333299</v>
      </c>
      <c r="S634" t="s">
        <v>130</v>
      </c>
      <c r="V634" t="b">
        <f t="shared" si="46"/>
        <v>0</v>
      </c>
      <c r="W634" t="b">
        <f>AND(OR(WEEKDAY(C634,2)=5,WEEKDAY(C634,2)=6),'01_Parameters'!$C$11="Enabled")</f>
        <v>0</v>
      </c>
      <c r="X634" t="b">
        <f t="shared" si="47"/>
        <v>1</v>
      </c>
      <c r="Y634" t="b">
        <f t="shared" si="48"/>
        <v>0</v>
      </c>
      <c r="Z634" t="b">
        <f t="shared" si="49"/>
        <v>0</v>
      </c>
    </row>
    <row r="635" spans="1:26" ht="15" customHeight="1">
      <c r="A635" t="s">
        <v>1445</v>
      </c>
      <c r="B635" t="s">
        <v>1446</v>
      </c>
      <c r="C635" s="14">
        <v>45790</v>
      </c>
      <c r="D635" s="14">
        <v>45789</v>
      </c>
      <c r="E635">
        <v>2025</v>
      </c>
      <c r="F635">
        <v>5</v>
      </c>
      <c r="G635" t="s">
        <v>207</v>
      </c>
      <c r="H635" t="s">
        <v>208</v>
      </c>
      <c r="I635" t="s">
        <v>124</v>
      </c>
      <c r="J635" s="15">
        <v>29837.119999999999</v>
      </c>
      <c r="K635" s="15">
        <v>0</v>
      </c>
      <c r="L635" s="15">
        <f t="shared" si="45"/>
        <v>29837.119999999999</v>
      </c>
      <c r="M635" t="s">
        <v>209</v>
      </c>
      <c r="N635" t="s">
        <v>1447</v>
      </c>
      <c r="O635" t="s">
        <v>211</v>
      </c>
      <c r="P635" t="s">
        <v>151</v>
      </c>
      <c r="Q635" t="s">
        <v>175</v>
      </c>
      <c r="R635" s="16">
        <v>45790.479166666701</v>
      </c>
      <c r="S635" t="s">
        <v>130</v>
      </c>
      <c r="T635" t="s">
        <v>322</v>
      </c>
      <c r="U635" t="s">
        <v>1447</v>
      </c>
      <c r="V635" t="b">
        <f t="shared" si="46"/>
        <v>0</v>
      </c>
      <c r="W635" t="b">
        <f>AND(OR(WEEKDAY(C635,2)=5,WEEKDAY(C635,2)=6),'01_Parameters'!$C$11="Enabled")</f>
        <v>0</v>
      </c>
      <c r="X635" t="b">
        <f t="shared" si="47"/>
        <v>0</v>
      </c>
      <c r="Y635" t="b">
        <f t="shared" si="48"/>
        <v>0</v>
      </c>
      <c r="Z635" t="b">
        <f t="shared" si="49"/>
        <v>0</v>
      </c>
    </row>
    <row r="636" spans="1:26" ht="15" customHeight="1">
      <c r="A636" t="s">
        <v>1445</v>
      </c>
      <c r="B636" t="s">
        <v>1448</v>
      </c>
      <c r="C636" s="14">
        <v>45790</v>
      </c>
      <c r="D636" s="14">
        <v>45789</v>
      </c>
      <c r="E636">
        <v>2025</v>
      </c>
      <c r="F636">
        <v>5</v>
      </c>
      <c r="G636" t="s">
        <v>132</v>
      </c>
      <c r="H636" t="s">
        <v>133</v>
      </c>
      <c r="I636" t="s">
        <v>134</v>
      </c>
      <c r="J636" s="15">
        <v>0</v>
      </c>
      <c r="K636" s="15">
        <v>29837.119999999999</v>
      </c>
      <c r="L636" s="15">
        <f t="shared" si="45"/>
        <v>-29837.119999999999</v>
      </c>
      <c r="M636" t="s">
        <v>209</v>
      </c>
      <c r="N636" t="s">
        <v>1447</v>
      </c>
      <c r="O636" t="s">
        <v>211</v>
      </c>
      <c r="P636" t="s">
        <v>151</v>
      </c>
      <c r="Q636" t="s">
        <v>175</v>
      </c>
      <c r="R636" s="16">
        <v>45790.479166666701</v>
      </c>
      <c r="S636" t="s">
        <v>130</v>
      </c>
      <c r="T636" t="s">
        <v>322</v>
      </c>
      <c r="U636" t="s">
        <v>1447</v>
      </c>
      <c r="V636" t="b">
        <f t="shared" si="46"/>
        <v>0</v>
      </c>
      <c r="W636" t="b">
        <f>AND(OR(WEEKDAY(C636,2)=5,WEEKDAY(C636,2)=6),'01_Parameters'!$C$11="Enabled")</f>
        <v>0</v>
      </c>
      <c r="X636" t="b">
        <f t="shared" si="47"/>
        <v>0</v>
      </c>
      <c r="Y636" t="b">
        <f t="shared" si="48"/>
        <v>0</v>
      </c>
      <c r="Z636" t="b">
        <f t="shared" si="49"/>
        <v>0</v>
      </c>
    </row>
    <row r="637" spans="1:26" ht="15" customHeight="1">
      <c r="A637" t="s">
        <v>1449</v>
      </c>
      <c r="B637" t="s">
        <v>1450</v>
      </c>
      <c r="C637" s="14">
        <v>45804</v>
      </c>
      <c r="D637" s="14">
        <v>45800</v>
      </c>
      <c r="E637">
        <v>2025</v>
      </c>
      <c r="F637">
        <v>5</v>
      </c>
      <c r="G637" t="s">
        <v>144</v>
      </c>
      <c r="H637" t="s">
        <v>145</v>
      </c>
      <c r="I637" t="s">
        <v>146</v>
      </c>
      <c r="J637" s="15">
        <v>10494.06</v>
      </c>
      <c r="K637" s="15">
        <v>0</v>
      </c>
      <c r="L637" s="15">
        <f t="shared" si="45"/>
        <v>10494.06</v>
      </c>
      <c r="M637" t="s">
        <v>147</v>
      </c>
      <c r="N637" t="s">
        <v>1451</v>
      </c>
      <c r="O637" t="s">
        <v>149</v>
      </c>
      <c r="P637" t="s">
        <v>140</v>
      </c>
      <c r="Q637" t="s">
        <v>128</v>
      </c>
      <c r="R637" s="16">
        <v>45804.6875</v>
      </c>
      <c r="S637" t="s">
        <v>130</v>
      </c>
      <c r="V637" t="b">
        <f t="shared" si="46"/>
        <v>0</v>
      </c>
      <c r="W637" t="b">
        <f>AND(OR(WEEKDAY(C637,2)=5,WEEKDAY(C637,2)=6),'01_Parameters'!$C$11="Enabled")</f>
        <v>0</v>
      </c>
      <c r="X637" t="b">
        <f t="shared" si="47"/>
        <v>0</v>
      </c>
      <c r="Y637" t="b">
        <f t="shared" si="48"/>
        <v>0</v>
      </c>
      <c r="Z637" t="b">
        <f t="shared" si="49"/>
        <v>0</v>
      </c>
    </row>
    <row r="638" spans="1:26" ht="15" customHeight="1">
      <c r="A638" t="s">
        <v>1449</v>
      </c>
      <c r="B638" t="s">
        <v>1452</v>
      </c>
      <c r="C638" s="14">
        <v>45804</v>
      </c>
      <c r="D638" s="14">
        <v>45800</v>
      </c>
      <c r="E638">
        <v>2025</v>
      </c>
      <c r="F638">
        <v>5</v>
      </c>
      <c r="G638" t="s">
        <v>153</v>
      </c>
      <c r="H638" t="s">
        <v>154</v>
      </c>
      <c r="I638" t="s">
        <v>155</v>
      </c>
      <c r="J638" s="15">
        <v>0</v>
      </c>
      <c r="K638" s="15">
        <v>10494.06</v>
      </c>
      <c r="L638" s="15">
        <f t="shared" si="45"/>
        <v>-10494.06</v>
      </c>
      <c r="M638" t="s">
        <v>147</v>
      </c>
      <c r="N638" t="s">
        <v>1451</v>
      </c>
      <c r="O638" t="s">
        <v>149</v>
      </c>
      <c r="P638" t="s">
        <v>140</v>
      </c>
      <c r="Q638" t="s">
        <v>128</v>
      </c>
      <c r="R638" s="16">
        <v>45804.6875</v>
      </c>
      <c r="S638" t="s">
        <v>130</v>
      </c>
      <c r="V638" t="b">
        <f t="shared" si="46"/>
        <v>0</v>
      </c>
      <c r="W638" t="b">
        <f>AND(OR(WEEKDAY(C638,2)=5,WEEKDAY(C638,2)=6),'01_Parameters'!$C$11="Enabled")</f>
        <v>0</v>
      </c>
      <c r="X638" t="b">
        <f t="shared" si="47"/>
        <v>0</v>
      </c>
      <c r="Y638" t="b">
        <f t="shared" si="48"/>
        <v>0</v>
      </c>
      <c r="Z638" t="b">
        <f t="shared" si="49"/>
        <v>0</v>
      </c>
    </row>
    <row r="639" spans="1:26" ht="15" customHeight="1">
      <c r="A639" t="s">
        <v>1453</v>
      </c>
      <c r="B639" t="s">
        <v>1454</v>
      </c>
      <c r="C639" s="14">
        <v>45842</v>
      </c>
      <c r="D639" s="14">
        <v>45840</v>
      </c>
      <c r="E639">
        <v>2025</v>
      </c>
      <c r="F639">
        <v>7</v>
      </c>
      <c r="G639" t="s">
        <v>172</v>
      </c>
      <c r="H639" t="s">
        <v>173</v>
      </c>
      <c r="I639" t="s">
        <v>124</v>
      </c>
      <c r="J639" s="15">
        <v>79386.73</v>
      </c>
      <c r="K639" s="15">
        <v>0</v>
      </c>
      <c r="L639" s="15">
        <f t="shared" si="45"/>
        <v>79386.73</v>
      </c>
      <c r="M639" t="s">
        <v>125</v>
      </c>
      <c r="N639" t="s">
        <v>1455</v>
      </c>
      <c r="O639" t="s">
        <v>127</v>
      </c>
      <c r="P639" t="s">
        <v>129</v>
      </c>
      <c r="Q639" t="s">
        <v>175</v>
      </c>
      <c r="R639" s="16">
        <v>45842.729166666701</v>
      </c>
      <c r="S639" t="s">
        <v>130</v>
      </c>
      <c r="V639" t="b">
        <f t="shared" si="46"/>
        <v>0</v>
      </c>
      <c r="W639" t="b">
        <f>AND(OR(WEEKDAY(C639,2)=5,WEEKDAY(C639,2)=6),'01_Parameters'!$C$11="Enabled")</f>
        <v>1</v>
      </c>
      <c r="X639" t="b">
        <f t="shared" si="47"/>
        <v>0</v>
      </c>
      <c r="Y639" t="b">
        <f t="shared" si="48"/>
        <v>0</v>
      </c>
      <c r="Z639" t="b">
        <f t="shared" si="49"/>
        <v>0</v>
      </c>
    </row>
    <row r="640" spans="1:26" ht="15" customHeight="1">
      <c r="A640" t="s">
        <v>1453</v>
      </c>
      <c r="B640" t="s">
        <v>1456</v>
      </c>
      <c r="C640" s="14">
        <v>45842</v>
      </c>
      <c r="D640" s="14">
        <v>45840</v>
      </c>
      <c r="E640">
        <v>2025</v>
      </c>
      <c r="F640">
        <v>7</v>
      </c>
      <c r="G640" t="s">
        <v>132</v>
      </c>
      <c r="H640" t="s">
        <v>133</v>
      </c>
      <c r="I640" t="s">
        <v>134</v>
      </c>
      <c r="J640" s="15">
        <v>0</v>
      </c>
      <c r="K640" s="15">
        <v>79386.73</v>
      </c>
      <c r="L640" s="15">
        <f t="shared" si="45"/>
        <v>-79386.73</v>
      </c>
      <c r="M640" t="s">
        <v>125</v>
      </c>
      <c r="N640" t="s">
        <v>1455</v>
      </c>
      <c r="O640" t="s">
        <v>127</v>
      </c>
      <c r="P640" t="s">
        <v>129</v>
      </c>
      <c r="Q640" t="s">
        <v>175</v>
      </c>
      <c r="R640" s="16">
        <v>45842.729166666701</v>
      </c>
      <c r="S640" t="s">
        <v>130</v>
      </c>
      <c r="V640" t="b">
        <f t="shared" si="46"/>
        <v>0</v>
      </c>
      <c r="W640" t="b">
        <f>AND(OR(WEEKDAY(C640,2)=5,WEEKDAY(C640,2)=6),'01_Parameters'!$C$11="Enabled")</f>
        <v>1</v>
      </c>
      <c r="X640" t="b">
        <f t="shared" si="47"/>
        <v>0</v>
      </c>
      <c r="Y640" t="b">
        <f t="shared" si="48"/>
        <v>0</v>
      </c>
      <c r="Z640" t="b">
        <f t="shared" si="49"/>
        <v>0</v>
      </c>
    </row>
    <row r="641" spans="1:26" ht="15" customHeight="1">
      <c r="A641" t="s">
        <v>1457</v>
      </c>
      <c r="B641" t="s">
        <v>1458</v>
      </c>
      <c r="C641" s="14">
        <v>45700</v>
      </c>
      <c r="D641" s="14">
        <v>45697</v>
      </c>
      <c r="E641">
        <v>2025</v>
      </c>
      <c r="F641">
        <v>2</v>
      </c>
      <c r="G641" t="s">
        <v>179</v>
      </c>
      <c r="H641" t="s">
        <v>180</v>
      </c>
      <c r="I641" t="s">
        <v>124</v>
      </c>
      <c r="J641" s="15">
        <v>22103.83</v>
      </c>
      <c r="K641" s="15">
        <v>0</v>
      </c>
      <c r="L641" s="15">
        <f t="shared" si="45"/>
        <v>22103.83</v>
      </c>
      <c r="M641" t="s">
        <v>181</v>
      </c>
      <c r="N641" t="s">
        <v>1459</v>
      </c>
      <c r="O641" t="s">
        <v>183</v>
      </c>
      <c r="P641" t="s">
        <v>151</v>
      </c>
      <c r="Q641" t="s">
        <v>140</v>
      </c>
      <c r="R641" s="16">
        <v>45700.5</v>
      </c>
      <c r="S641" t="s">
        <v>130</v>
      </c>
      <c r="V641" t="b">
        <f t="shared" si="46"/>
        <v>0</v>
      </c>
      <c r="W641" t="b">
        <f>AND(OR(WEEKDAY(C641,2)=5,WEEKDAY(C641,2)=6),'01_Parameters'!$C$11="Enabled")</f>
        <v>0</v>
      </c>
      <c r="X641" t="b">
        <f t="shared" si="47"/>
        <v>0</v>
      </c>
      <c r="Y641" t="b">
        <f t="shared" si="48"/>
        <v>0</v>
      </c>
      <c r="Z641" t="b">
        <f t="shared" si="49"/>
        <v>0</v>
      </c>
    </row>
    <row r="642" spans="1:26" ht="15" customHeight="1">
      <c r="A642" t="s">
        <v>1457</v>
      </c>
      <c r="B642" t="s">
        <v>1460</v>
      </c>
      <c r="C642" s="14">
        <v>45700</v>
      </c>
      <c r="D642" s="14">
        <v>45697</v>
      </c>
      <c r="E642">
        <v>2025</v>
      </c>
      <c r="F642">
        <v>2</v>
      </c>
      <c r="G642" t="s">
        <v>185</v>
      </c>
      <c r="H642" t="s">
        <v>186</v>
      </c>
      <c r="I642" t="s">
        <v>134</v>
      </c>
      <c r="J642" s="15">
        <v>0</v>
      </c>
      <c r="K642" s="15">
        <v>22103.83</v>
      </c>
      <c r="L642" s="15">
        <f t="shared" si="45"/>
        <v>-22103.83</v>
      </c>
      <c r="M642" t="s">
        <v>181</v>
      </c>
      <c r="N642" t="s">
        <v>1459</v>
      </c>
      <c r="O642" t="s">
        <v>183</v>
      </c>
      <c r="P642" t="s">
        <v>151</v>
      </c>
      <c r="Q642" t="s">
        <v>140</v>
      </c>
      <c r="R642" s="16">
        <v>45700.5</v>
      </c>
      <c r="S642" t="s">
        <v>130</v>
      </c>
      <c r="V642" t="b">
        <f t="shared" si="46"/>
        <v>0</v>
      </c>
      <c r="W642" t="b">
        <f>AND(OR(WEEKDAY(C642,2)=5,WEEKDAY(C642,2)=6),'01_Parameters'!$C$11="Enabled")</f>
        <v>0</v>
      </c>
      <c r="X642" t="b">
        <f t="shared" si="47"/>
        <v>0</v>
      </c>
      <c r="Y642" t="b">
        <f t="shared" si="48"/>
        <v>0</v>
      </c>
      <c r="Z642" t="b">
        <f t="shared" si="49"/>
        <v>0</v>
      </c>
    </row>
    <row r="643" spans="1:26" ht="15" customHeight="1">
      <c r="A643" t="s">
        <v>1461</v>
      </c>
      <c r="B643" t="s">
        <v>1462</v>
      </c>
      <c r="C643" s="14">
        <v>45767</v>
      </c>
      <c r="D643" s="14">
        <v>45767</v>
      </c>
      <c r="E643">
        <v>2025</v>
      </c>
      <c r="F643">
        <v>4</v>
      </c>
      <c r="G643" t="s">
        <v>144</v>
      </c>
      <c r="H643" t="s">
        <v>145</v>
      </c>
      <c r="I643" t="s">
        <v>146</v>
      </c>
      <c r="J643" s="15">
        <v>25831.77</v>
      </c>
      <c r="K643" s="15">
        <v>0</v>
      </c>
      <c r="L643" s="15">
        <f t="shared" si="45"/>
        <v>25831.77</v>
      </c>
      <c r="M643" t="s">
        <v>147</v>
      </c>
      <c r="N643" t="s">
        <v>1463</v>
      </c>
      <c r="O643" t="s">
        <v>149</v>
      </c>
      <c r="P643" t="s">
        <v>140</v>
      </c>
      <c r="Q643" t="s">
        <v>128</v>
      </c>
      <c r="R643" s="16">
        <v>45767.6875</v>
      </c>
      <c r="S643" t="s">
        <v>130</v>
      </c>
      <c r="V643" t="b">
        <f t="shared" si="46"/>
        <v>0</v>
      </c>
      <c r="W643" t="b">
        <f>AND(OR(WEEKDAY(C643,2)=5,WEEKDAY(C643,2)=6),'01_Parameters'!$C$11="Enabled")</f>
        <v>0</v>
      </c>
      <c r="X643" t="b">
        <f t="shared" si="47"/>
        <v>0</v>
      </c>
      <c r="Y643" t="b">
        <f t="shared" si="48"/>
        <v>0</v>
      </c>
      <c r="Z643" t="b">
        <f t="shared" si="49"/>
        <v>0</v>
      </c>
    </row>
    <row r="644" spans="1:26" ht="15" customHeight="1">
      <c r="A644" t="s">
        <v>1461</v>
      </c>
      <c r="B644" t="s">
        <v>1464</v>
      </c>
      <c r="C644" s="14">
        <v>45767</v>
      </c>
      <c r="D644" s="14">
        <v>45767</v>
      </c>
      <c r="E644">
        <v>2025</v>
      </c>
      <c r="F644">
        <v>4</v>
      </c>
      <c r="G644" t="s">
        <v>153</v>
      </c>
      <c r="H644" t="s">
        <v>154</v>
      </c>
      <c r="I644" t="s">
        <v>155</v>
      </c>
      <c r="J644" s="15">
        <v>0</v>
      </c>
      <c r="K644" s="15">
        <v>25831.77</v>
      </c>
      <c r="L644" s="15">
        <f t="shared" si="45"/>
        <v>-25831.77</v>
      </c>
      <c r="M644" t="s">
        <v>147</v>
      </c>
      <c r="N644" t="s">
        <v>1463</v>
      </c>
      <c r="O644" t="s">
        <v>149</v>
      </c>
      <c r="P644" t="s">
        <v>140</v>
      </c>
      <c r="Q644" t="s">
        <v>128</v>
      </c>
      <c r="R644" s="16">
        <v>45767.6875</v>
      </c>
      <c r="S644" t="s">
        <v>130</v>
      </c>
      <c r="V644" t="b">
        <f t="shared" si="46"/>
        <v>0</v>
      </c>
      <c r="W644" t="b">
        <f>AND(OR(WEEKDAY(C644,2)=5,WEEKDAY(C644,2)=6),'01_Parameters'!$C$11="Enabled")</f>
        <v>0</v>
      </c>
      <c r="X644" t="b">
        <f t="shared" si="47"/>
        <v>0</v>
      </c>
      <c r="Y644" t="b">
        <f t="shared" si="48"/>
        <v>0</v>
      </c>
      <c r="Z644" t="b">
        <f t="shared" si="49"/>
        <v>0</v>
      </c>
    </row>
    <row r="645" spans="1:26" ht="15" customHeight="1">
      <c r="A645" t="s">
        <v>1465</v>
      </c>
      <c r="B645" t="s">
        <v>1466</v>
      </c>
      <c r="C645" s="14">
        <v>45660</v>
      </c>
      <c r="D645" s="14">
        <v>45659</v>
      </c>
      <c r="E645">
        <v>2025</v>
      </c>
      <c r="F645">
        <v>1</v>
      </c>
      <c r="G645" t="s">
        <v>179</v>
      </c>
      <c r="H645" t="s">
        <v>180</v>
      </c>
      <c r="I645" t="s">
        <v>124</v>
      </c>
      <c r="J645" s="15">
        <v>30528.34</v>
      </c>
      <c r="K645" s="15">
        <v>0</v>
      </c>
      <c r="L645" s="15">
        <f t="shared" ref="L645:L708" si="50">J645-K645</f>
        <v>30528.34</v>
      </c>
      <c r="M645" t="s">
        <v>181</v>
      </c>
      <c r="N645" t="s">
        <v>1467</v>
      </c>
      <c r="O645" t="s">
        <v>183</v>
      </c>
      <c r="P645" t="s">
        <v>150</v>
      </c>
      <c r="Q645" t="s">
        <v>129</v>
      </c>
      <c r="R645" s="16">
        <v>45660.864583333299</v>
      </c>
      <c r="S645" t="s">
        <v>130</v>
      </c>
      <c r="V645" t="b">
        <f t="shared" ref="V645:V708" si="51">AND(C645&gt;=Year_End_Window_Start,C645&lt;=Year_End_Window_End)</f>
        <v>0</v>
      </c>
      <c r="W645" t="b">
        <f>AND(OR(WEEKDAY(C645,2)=5,WEEKDAY(C645,2)=6),'01_Parameters'!$C$11="Enabled")</f>
        <v>1</v>
      </c>
      <c r="X645" t="b">
        <f t="shared" ref="X645:X708" si="52">AND(HOUR(R645)&lt;Business_Day_Start,HOUR(R645)&gt;=0)+AND(HOUR(R645)&gt;=Business_Day_End,HOUR(R645)&lt;=23)&gt;0</f>
        <v>1</v>
      </c>
      <c r="Y645" t="b">
        <f t="shared" ref="Y645:Y708" si="53">ABS(L645)&gt;High_Value_GL_Threshold</f>
        <v>0</v>
      </c>
      <c r="Z645" t="b">
        <f t="shared" ref="Z645:Z708" si="54">AND(ABS(L645)&gt;=Round_Number_Threshold,MOD(ABS(L645),Round_Number_Threshold)=0)</f>
        <v>0</v>
      </c>
    </row>
    <row r="646" spans="1:26" ht="15" customHeight="1">
      <c r="A646" t="s">
        <v>1465</v>
      </c>
      <c r="B646" t="s">
        <v>1468</v>
      </c>
      <c r="C646" s="14">
        <v>45660</v>
      </c>
      <c r="D646" s="14">
        <v>45659</v>
      </c>
      <c r="E646">
        <v>2025</v>
      </c>
      <c r="F646">
        <v>1</v>
      </c>
      <c r="G646" t="s">
        <v>185</v>
      </c>
      <c r="H646" t="s">
        <v>186</v>
      </c>
      <c r="I646" t="s">
        <v>134</v>
      </c>
      <c r="J646" s="15">
        <v>0</v>
      </c>
      <c r="K646" s="15">
        <v>30528.34</v>
      </c>
      <c r="L646" s="15">
        <f t="shared" si="50"/>
        <v>-30528.34</v>
      </c>
      <c r="M646" t="s">
        <v>181</v>
      </c>
      <c r="N646" t="s">
        <v>1467</v>
      </c>
      <c r="O646" t="s">
        <v>183</v>
      </c>
      <c r="P646" t="s">
        <v>150</v>
      </c>
      <c r="Q646" t="s">
        <v>129</v>
      </c>
      <c r="R646" s="16">
        <v>45660.864583333299</v>
      </c>
      <c r="S646" t="s">
        <v>130</v>
      </c>
      <c r="V646" t="b">
        <f t="shared" si="51"/>
        <v>0</v>
      </c>
      <c r="W646" t="b">
        <f>AND(OR(WEEKDAY(C646,2)=5,WEEKDAY(C646,2)=6),'01_Parameters'!$C$11="Enabled")</f>
        <v>1</v>
      </c>
      <c r="X646" t="b">
        <f t="shared" si="52"/>
        <v>1</v>
      </c>
      <c r="Y646" t="b">
        <f t="shared" si="53"/>
        <v>0</v>
      </c>
      <c r="Z646" t="b">
        <f t="shared" si="54"/>
        <v>0</v>
      </c>
    </row>
    <row r="647" spans="1:26" ht="15" customHeight="1">
      <c r="A647" t="s">
        <v>1469</v>
      </c>
      <c r="B647" t="s">
        <v>1470</v>
      </c>
      <c r="C647" s="14">
        <v>45697</v>
      </c>
      <c r="D647" s="14">
        <v>45694</v>
      </c>
      <c r="E647">
        <v>2025</v>
      </c>
      <c r="F647">
        <v>2</v>
      </c>
      <c r="G647" t="s">
        <v>144</v>
      </c>
      <c r="H647" t="s">
        <v>145</v>
      </c>
      <c r="I647" t="s">
        <v>146</v>
      </c>
      <c r="J647" s="15">
        <v>60397.279999999999</v>
      </c>
      <c r="K647" s="15">
        <v>0</v>
      </c>
      <c r="L647" s="15">
        <f t="shared" si="50"/>
        <v>60397.279999999999</v>
      </c>
      <c r="M647" t="s">
        <v>147</v>
      </c>
      <c r="N647" t="s">
        <v>1471</v>
      </c>
      <c r="O647" t="s">
        <v>149</v>
      </c>
      <c r="P647" t="s">
        <v>140</v>
      </c>
      <c r="Q647" t="s">
        <v>150</v>
      </c>
      <c r="R647" s="16">
        <v>45697.322916666701</v>
      </c>
      <c r="S647" t="s">
        <v>130</v>
      </c>
      <c r="V647" t="b">
        <f t="shared" si="51"/>
        <v>0</v>
      </c>
      <c r="W647" t="b">
        <f>AND(OR(WEEKDAY(C647,2)=5,WEEKDAY(C647,2)=6),'01_Parameters'!$C$11="Enabled")</f>
        <v>0</v>
      </c>
      <c r="X647" t="b">
        <f t="shared" si="52"/>
        <v>1</v>
      </c>
      <c r="Y647" t="b">
        <f t="shared" si="53"/>
        <v>0</v>
      </c>
      <c r="Z647" t="b">
        <f t="shared" si="54"/>
        <v>0</v>
      </c>
    </row>
    <row r="648" spans="1:26" ht="15" customHeight="1">
      <c r="A648" t="s">
        <v>1469</v>
      </c>
      <c r="B648" t="s">
        <v>1472</v>
      </c>
      <c r="C648" s="14">
        <v>45697</v>
      </c>
      <c r="D648" s="14">
        <v>45694</v>
      </c>
      <c r="E648">
        <v>2025</v>
      </c>
      <c r="F648">
        <v>2</v>
      </c>
      <c r="G648" t="s">
        <v>153</v>
      </c>
      <c r="H648" t="s">
        <v>154</v>
      </c>
      <c r="I648" t="s">
        <v>155</v>
      </c>
      <c r="J648" s="15">
        <v>0</v>
      </c>
      <c r="K648" s="15">
        <v>60397.279999999999</v>
      </c>
      <c r="L648" s="15">
        <f t="shared" si="50"/>
        <v>-60397.279999999999</v>
      </c>
      <c r="M648" t="s">
        <v>147</v>
      </c>
      <c r="N648" t="s">
        <v>1471</v>
      </c>
      <c r="O648" t="s">
        <v>149</v>
      </c>
      <c r="P648" t="s">
        <v>140</v>
      </c>
      <c r="Q648" t="s">
        <v>150</v>
      </c>
      <c r="R648" s="16">
        <v>45697.322916666701</v>
      </c>
      <c r="S648" t="s">
        <v>130</v>
      </c>
      <c r="V648" t="b">
        <f t="shared" si="51"/>
        <v>0</v>
      </c>
      <c r="W648" t="b">
        <f>AND(OR(WEEKDAY(C648,2)=5,WEEKDAY(C648,2)=6),'01_Parameters'!$C$11="Enabled")</f>
        <v>0</v>
      </c>
      <c r="X648" t="b">
        <f t="shared" si="52"/>
        <v>1</v>
      </c>
      <c r="Y648" t="b">
        <f t="shared" si="53"/>
        <v>0</v>
      </c>
      <c r="Z648" t="b">
        <f t="shared" si="54"/>
        <v>0</v>
      </c>
    </row>
    <row r="649" spans="1:26" ht="15" customHeight="1">
      <c r="A649" t="s">
        <v>1473</v>
      </c>
      <c r="B649" t="s">
        <v>1474</v>
      </c>
      <c r="C649" s="14">
        <v>45748</v>
      </c>
      <c r="D649" s="14">
        <v>45744</v>
      </c>
      <c r="E649">
        <v>2025</v>
      </c>
      <c r="F649">
        <v>4</v>
      </c>
      <c r="G649" t="s">
        <v>193</v>
      </c>
      <c r="H649" t="s">
        <v>194</v>
      </c>
      <c r="I649" t="s">
        <v>124</v>
      </c>
      <c r="J649" s="15">
        <v>30399.83</v>
      </c>
      <c r="K649" s="15">
        <v>0</v>
      </c>
      <c r="L649" s="15">
        <f t="shared" si="50"/>
        <v>30399.83</v>
      </c>
      <c r="M649" t="s">
        <v>195</v>
      </c>
      <c r="N649" t="s">
        <v>1475</v>
      </c>
      <c r="O649" t="s">
        <v>197</v>
      </c>
      <c r="P649" t="s">
        <v>150</v>
      </c>
      <c r="Q649" t="s">
        <v>151</v>
      </c>
      <c r="R649" s="16">
        <v>45748.354166666701</v>
      </c>
      <c r="S649" t="s">
        <v>130</v>
      </c>
      <c r="V649" t="b">
        <f t="shared" si="51"/>
        <v>0</v>
      </c>
      <c r="W649" t="b">
        <f>AND(OR(WEEKDAY(C649,2)=5,WEEKDAY(C649,2)=6),'01_Parameters'!$C$11="Enabled")</f>
        <v>0</v>
      </c>
      <c r="X649" t="b">
        <f t="shared" si="52"/>
        <v>0</v>
      </c>
      <c r="Y649" t="b">
        <f t="shared" si="53"/>
        <v>0</v>
      </c>
      <c r="Z649" t="b">
        <f t="shared" si="54"/>
        <v>0</v>
      </c>
    </row>
    <row r="650" spans="1:26" ht="15" customHeight="1">
      <c r="A650" t="s">
        <v>1473</v>
      </c>
      <c r="B650" t="s">
        <v>1476</v>
      </c>
      <c r="C650" s="14">
        <v>45748</v>
      </c>
      <c r="D650" s="14">
        <v>45744</v>
      </c>
      <c r="E650">
        <v>2025</v>
      </c>
      <c r="F650">
        <v>4</v>
      </c>
      <c r="G650" t="s">
        <v>199</v>
      </c>
      <c r="H650" t="s">
        <v>200</v>
      </c>
      <c r="I650" t="s">
        <v>146</v>
      </c>
      <c r="J650" s="15">
        <v>0</v>
      </c>
      <c r="K650" s="15">
        <v>30399.83</v>
      </c>
      <c r="L650" s="15">
        <f t="shared" si="50"/>
        <v>-30399.83</v>
      </c>
      <c r="M650" t="s">
        <v>195</v>
      </c>
      <c r="N650" t="s">
        <v>1475</v>
      </c>
      <c r="O650" t="s">
        <v>197</v>
      </c>
      <c r="P650" t="s">
        <v>150</v>
      </c>
      <c r="Q650" t="s">
        <v>151</v>
      </c>
      <c r="R650" s="16">
        <v>45748.354166666701</v>
      </c>
      <c r="S650" t="s">
        <v>130</v>
      </c>
      <c r="V650" t="b">
        <f t="shared" si="51"/>
        <v>0</v>
      </c>
      <c r="W650" t="b">
        <f>AND(OR(WEEKDAY(C650,2)=5,WEEKDAY(C650,2)=6),'01_Parameters'!$C$11="Enabled")</f>
        <v>0</v>
      </c>
      <c r="X650" t="b">
        <f t="shared" si="52"/>
        <v>0</v>
      </c>
      <c r="Y650" t="b">
        <f t="shared" si="53"/>
        <v>0</v>
      </c>
      <c r="Z650" t="b">
        <f t="shared" si="54"/>
        <v>0</v>
      </c>
    </row>
    <row r="651" spans="1:26" ht="15" customHeight="1">
      <c r="A651" t="s">
        <v>1477</v>
      </c>
      <c r="B651" t="s">
        <v>1478</v>
      </c>
      <c r="C651" s="14">
        <v>45886</v>
      </c>
      <c r="D651" s="14">
        <v>45885</v>
      </c>
      <c r="E651">
        <v>2025</v>
      </c>
      <c r="F651">
        <v>8</v>
      </c>
      <c r="G651" t="s">
        <v>193</v>
      </c>
      <c r="H651" t="s">
        <v>194</v>
      </c>
      <c r="I651" t="s">
        <v>124</v>
      </c>
      <c r="J651" s="15">
        <v>45325.36</v>
      </c>
      <c r="K651" s="15">
        <v>0</v>
      </c>
      <c r="L651" s="15">
        <f t="shared" si="50"/>
        <v>45325.36</v>
      </c>
      <c r="M651" t="s">
        <v>195</v>
      </c>
      <c r="N651" t="s">
        <v>1479</v>
      </c>
      <c r="O651" t="s">
        <v>197</v>
      </c>
      <c r="P651" t="s">
        <v>140</v>
      </c>
      <c r="Q651" t="s">
        <v>128</v>
      </c>
      <c r="R651" s="16">
        <v>45886.28125</v>
      </c>
      <c r="S651" t="s">
        <v>130</v>
      </c>
      <c r="V651" t="b">
        <f t="shared" si="51"/>
        <v>0</v>
      </c>
      <c r="W651" t="b">
        <f>AND(OR(WEEKDAY(C651,2)=5,WEEKDAY(C651,2)=6),'01_Parameters'!$C$11="Enabled")</f>
        <v>0</v>
      </c>
      <c r="X651" t="b">
        <f t="shared" si="52"/>
        <v>1</v>
      </c>
      <c r="Y651" t="b">
        <f t="shared" si="53"/>
        <v>0</v>
      </c>
      <c r="Z651" t="b">
        <f t="shared" si="54"/>
        <v>0</v>
      </c>
    </row>
    <row r="652" spans="1:26" ht="15" customHeight="1">
      <c r="A652" t="s">
        <v>1477</v>
      </c>
      <c r="B652" t="s">
        <v>1480</v>
      </c>
      <c r="C652" s="14">
        <v>45886</v>
      </c>
      <c r="D652" s="14">
        <v>45885</v>
      </c>
      <c r="E652">
        <v>2025</v>
      </c>
      <c r="F652">
        <v>8</v>
      </c>
      <c r="G652" t="s">
        <v>199</v>
      </c>
      <c r="H652" t="s">
        <v>200</v>
      </c>
      <c r="I652" t="s">
        <v>146</v>
      </c>
      <c r="J652" s="15">
        <v>0</v>
      </c>
      <c r="K652" s="15">
        <v>45325.36</v>
      </c>
      <c r="L652" s="15">
        <f t="shared" si="50"/>
        <v>-45325.36</v>
      </c>
      <c r="M652" t="s">
        <v>195</v>
      </c>
      <c r="N652" t="s">
        <v>1479</v>
      </c>
      <c r="O652" t="s">
        <v>197</v>
      </c>
      <c r="P652" t="s">
        <v>140</v>
      </c>
      <c r="Q652" t="s">
        <v>128</v>
      </c>
      <c r="R652" s="16">
        <v>45886.28125</v>
      </c>
      <c r="S652" t="s">
        <v>130</v>
      </c>
      <c r="V652" t="b">
        <f t="shared" si="51"/>
        <v>0</v>
      </c>
      <c r="W652" t="b">
        <f>AND(OR(WEEKDAY(C652,2)=5,WEEKDAY(C652,2)=6),'01_Parameters'!$C$11="Enabled")</f>
        <v>0</v>
      </c>
      <c r="X652" t="b">
        <f t="shared" si="52"/>
        <v>1</v>
      </c>
      <c r="Y652" t="b">
        <f t="shared" si="53"/>
        <v>0</v>
      </c>
      <c r="Z652" t="b">
        <f t="shared" si="54"/>
        <v>0</v>
      </c>
    </row>
    <row r="653" spans="1:26" ht="15" customHeight="1">
      <c r="A653" t="s">
        <v>1481</v>
      </c>
      <c r="B653" t="s">
        <v>1482</v>
      </c>
      <c r="C653" s="14">
        <v>46018</v>
      </c>
      <c r="D653" s="14">
        <v>46014</v>
      </c>
      <c r="E653">
        <v>2025</v>
      </c>
      <c r="F653">
        <v>12</v>
      </c>
      <c r="G653" t="s">
        <v>179</v>
      </c>
      <c r="H653" t="s">
        <v>180</v>
      </c>
      <c r="I653" t="s">
        <v>124</v>
      </c>
      <c r="J653" s="15">
        <v>63942.48</v>
      </c>
      <c r="K653" s="15">
        <v>0</v>
      </c>
      <c r="L653" s="15">
        <f t="shared" si="50"/>
        <v>63942.48</v>
      </c>
      <c r="M653" t="s">
        <v>181</v>
      </c>
      <c r="N653" t="s">
        <v>1483</v>
      </c>
      <c r="O653" t="s">
        <v>183</v>
      </c>
      <c r="P653" t="s">
        <v>175</v>
      </c>
      <c r="Q653" t="s">
        <v>140</v>
      </c>
      <c r="R653" s="16">
        <v>46018.5625</v>
      </c>
      <c r="S653" t="s">
        <v>130</v>
      </c>
      <c r="V653" t="b">
        <f t="shared" si="51"/>
        <v>1</v>
      </c>
      <c r="W653" t="b">
        <f>AND(OR(WEEKDAY(C653,2)=5,WEEKDAY(C653,2)=6),'01_Parameters'!$C$11="Enabled")</f>
        <v>1</v>
      </c>
      <c r="X653" t="b">
        <f t="shared" si="52"/>
        <v>0</v>
      </c>
      <c r="Y653" t="b">
        <f t="shared" si="53"/>
        <v>0</v>
      </c>
      <c r="Z653" t="b">
        <f t="shared" si="54"/>
        <v>0</v>
      </c>
    </row>
    <row r="654" spans="1:26" ht="15" customHeight="1">
      <c r="A654" t="s">
        <v>1481</v>
      </c>
      <c r="B654" t="s">
        <v>1484</v>
      </c>
      <c r="C654" s="14">
        <v>46018</v>
      </c>
      <c r="D654" s="14">
        <v>46014</v>
      </c>
      <c r="E654">
        <v>2025</v>
      </c>
      <c r="F654">
        <v>12</v>
      </c>
      <c r="G654" t="s">
        <v>185</v>
      </c>
      <c r="H654" t="s">
        <v>186</v>
      </c>
      <c r="I654" t="s">
        <v>134</v>
      </c>
      <c r="J654" s="15">
        <v>0</v>
      </c>
      <c r="K654" s="15">
        <v>63942.48</v>
      </c>
      <c r="L654" s="15">
        <f t="shared" si="50"/>
        <v>-63942.48</v>
      </c>
      <c r="M654" t="s">
        <v>181</v>
      </c>
      <c r="N654" t="s">
        <v>1483</v>
      </c>
      <c r="O654" t="s">
        <v>183</v>
      </c>
      <c r="P654" t="s">
        <v>175</v>
      </c>
      <c r="Q654" t="s">
        <v>140</v>
      </c>
      <c r="R654" s="16">
        <v>46018.5625</v>
      </c>
      <c r="S654" t="s">
        <v>130</v>
      </c>
      <c r="V654" t="b">
        <f t="shared" si="51"/>
        <v>1</v>
      </c>
      <c r="W654" t="b">
        <f>AND(OR(WEEKDAY(C654,2)=5,WEEKDAY(C654,2)=6),'01_Parameters'!$C$11="Enabled")</f>
        <v>1</v>
      </c>
      <c r="X654" t="b">
        <f t="shared" si="52"/>
        <v>0</v>
      </c>
      <c r="Y654" t="b">
        <f t="shared" si="53"/>
        <v>0</v>
      </c>
      <c r="Z654" t="b">
        <f t="shared" si="54"/>
        <v>0</v>
      </c>
    </row>
    <row r="655" spans="1:26" ht="15" customHeight="1">
      <c r="A655" t="s">
        <v>1485</v>
      </c>
      <c r="B655" t="s">
        <v>1486</v>
      </c>
      <c r="C655" s="14">
        <v>45925</v>
      </c>
      <c r="D655" s="14">
        <v>45921</v>
      </c>
      <c r="E655">
        <v>2025</v>
      </c>
      <c r="F655">
        <v>9</v>
      </c>
      <c r="G655" t="s">
        <v>199</v>
      </c>
      <c r="H655" t="s">
        <v>200</v>
      </c>
      <c r="I655" t="s">
        <v>146</v>
      </c>
      <c r="J655" s="15">
        <v>42683.43</v>
      </c>
      <c r="K655" s="15">
        <v>0</v>
      </c>
      <c r="L655" s="15">
        <f t="shared" si="50"/>
        <v>42683.43</v>
      </c>
      <c r="M655" t="s">
        <v>209</v>
      </c>
      <c r="N655" t="s">
        <v>1487</v>
      </c>
      <c r="O655" t="s">
        <v>211</v>
      </c>
      <c r="P655" t="s">
        <v>128</v>
      </c>
      <c r="Q655" t="s">
        <v>175</v>
      </c>
      <c r="R655" s="16">
        <v>45925.84375</v>
      </c>
      <c r="S655" t="s">
        <v>130</v>
      </c>
      <c r="T655" t="s">
        <v>349</v>
      </c>
      <c r="U655" t="s">
        <v>1487</v>
      </c>
      <c r="V655" t="b">
        <f t="shared" si="51"/>
        <v>0</v>
      </c>
      <c r="W655" t="b">
        <f>AND(OR(WEEKDAY(C655,2)=5,WEEKDAY(C655,2)=6),'01_Parameters'!$C$11="Enabled")</f>
        <v>0</v>
      </c>
      <c r="X655" t="b">
        <f t="shared" si="52"/>
        <v>1</v>
      </c>
      <c r="Y655" t="b">
        <f t="shared" si="53"/>
        <v>0</v>
      </c>
      <c r="Z655" t="b">
        <f t="shared" si="54"/>
        <v>0</v>
      </c>
    </row>
    <row r="656" spans="1:26" ht="15" customHeight="1">
      <c r="A656" t="s">
        <v>1485</v>
      </c>
      <c r="B656" t="s">
        <v>1488</v>
      </c>
      <c r="C656" s="14">
        <v>45925</v>
      </c>
      <c r="D656" s="14">
        <v>45921</v>
      </c>
      <c r="E656">
        <v>2025</v>
      </c>
      <c r="F656">
        <v>9</v>
      </c>
      <c r="G656" t="s">
        <v>132</v>
      </c>
      <c r="H656" t="s">
        <v>133</v>
      </c>
      <c r="I656" t="s">
        <v>134</v>
      </c>
      <c r="J656" s="15">
        <v>0</v>
      </c>
      <c r="K656" s="15">
        <v>42683.43</v>
      </c>
      <c r="L656" s="15">
        <f t="shared" si="50"/>
        <v>-42683.43</v>
      </c>
      <c r="M656" t="s">
        <v>209</v>
      </c>
      <c r="N656" t="s">
        <v>1487</v>
      </c>
      <c r="O656" t="s">
        <v>211</v>
      </c>
      <c r="P656" t="s">
        <v>128</v>
      </c>
      <c r="Q656" t="s">
        <v>175</v>
      </c>
      <c r="R656" s="16">
        <v>45925.84375</v>
      </c>
      <c r="S656" t="s">
        <v>130</v>
      </c>
      <c r="T656" t="s">
        <v>349</v>
      </c>
      <c r="U656" t="s">
        <v>1487</v>
      </c>
      <c r="V656" t="b">
        <f t="shared" si="51"/>
        <v>0</v>
      </c>
      <c r="W656" t="b">
        <f>AND(OR(WEEKDAY(C656,2)=5,WEEKDAY(C656,2)=6),'01_Parameters'!$C$11="Enabled")</f>
        <v>0</v>
      </c>
      <c r="X656" t="b">
        <f t="shared" si="52"/>
        <v>1</v>
      </c>
      <c r="Y656" t="b">
        <f t="shared" si="53"/>
        <v>0</v>
      </c>
      <c r="Z656" t="b">
        <f t="shared" si="54"/>
        <v>0</v>
      </c>
    </row>
    <row r="657" spans="1:26" ht="15" customHeight="1">
      <c r="A657" t="s">
        <v>1489</v>
      </c>
      <c r="B657" t="s">
        <v>1490</v>
      </c>
      <c r="C657" s="14">
        <v>45770</v>
      </c>
      <c r="D657" s="14">
        <v>45769</v>
      </c>
      <c r="E657">
        <v>2025</v>
      </c>
      <c r="F657">
        <v>4</v>
      </c>
      <c r="G657" t="s">
        <v>158</v>
      </c>
      <c r="H657" t="s">
        <v>159</v>
      </c>
      <c r="I657" t="s">
        <v>124</v>
      </c>
      <c r="J657" s="15">
        <v>4703.1899999999996</v>
      </c>
      <c r="K657" s="15">
        <v>0</v>
      </c>
      <c r="L657" s="15">
        <f t="shared" si="50"/>
        <v>4703.1899999999996</v>
      </c>
      <c r="M657" t="s">
        <v>160</v>
      </c>
      <c r="N657" t="s">
        <v>1491</v>
      </c>
      <c r="O657" t="s">
        <v>162</v>
      </c>
      <c r="P657" t="s">
        <v>175</v>
      </c>
      <c r="Q657" t="s">
        <v>150</v>
      </c>
      <c r="R657" s="16">
        <v>45770.375</v>
      </c>
      <c r="S657" t="s">
        <v>130</v>
      </c>
      <c r="V657" t="b">
        <f t="shared" si="51"/>
        <v>0</v>
      </c>
      <c r="W657" t="b">
        <f>AND(OR(WEEKDAY(C657,2)=5,WEEKDAY(C657,2)=6),'01_Parameters'!$C$11="Enabled")</f>
        <v>0</v>
      </c>
      <c r="X657" t="b">
        <f t="shared" si="52"/>
        <v>0</v>
      </c>
      <c r="Y657" t="b">
        <f t="shared" si="53"/>
        <v>0</v>
      </c>
      <c r="Z657" t="b">
        <f t="shared" si="54"/>
        <v>0</v>
      </c>
    </row>
    <row r="658" spans="1:26" ht="15" customHeight="1">
      <c r="A658" t="s">
        <v>1489</v>
      </c>
      <c r="B658" t="s">
        <v>1492</v>
      </c>
      <c r="C658" s="14">
        <v>45770</v>
      </c>
      <c r="D658" s="14">
        <v>45769</v>
      </c>
      <c r="E658">
        <v>2025</v>
      </c>
      <c r="F658">
        <v>4</v>
      </c>
      <c r="G658" t="s">
        <v>164</v>
      </c>
      <c r="H658" t="s">
        <v>165</v>
      </c>
      <c r="I658" t="s">
        <v>146</v>
      </c>
      <c r="J658" s="15">
        <v>0</v>
      </c>
      <c r="K658" s="15">
        <v>4703.1899999999996</v>
      </c>
      <c r="L658" s="15">
        <f t="shared" si="50"/>
        <v>-4703.1899999999996</v>
      </c>
      <c r="M658" t="s">
        <v>160</v>
      </c>
      <c r="N658" t="s">
        <v>1491</v>
      </c>
      <c r="O658" t="s">
        <v>162</v>
      </c>
      <c r="P658" t="s">
        <v>175</v>
      </c>
      <c r="Q658" t="s">
        <v>150</v>
      </c>
      <c r="R658" s="16">
        <v>45770.375</v>
      </c>
      <c r="S658" t="s">
        <v>130</v>
      </c>
      <c r="V658" t="b">
        <f t="shared" si="51"/>
        <v>0</v>
      </c>
      <c r="W658" t="b">
        <f>AND(OR(WEEKDAY(C658,2)=5,WEEKDAY(C658,2)=6),'01_Parameters'!$C$11="Enabled")</f>
        <v>0</v>
      </c>
      <c r="X658" t="b">
        <f t="shared" si="52"/>
        <v>0</v>
      </c>
      <c r="Y658" t="b">
        <f t="shared" si="53"/>
        <v>0</v>
      </c>
      <c r="Z658" t="b">
        <f t="shared" si="54"/>
        <v>0</v>
      </c>
    </row>
    <row r="659" spans="1:26" ht="15" customHeight="1">
      <c r="A659" t="s">
        <v>1493</v>
      </c>
      <c r="B659" t="s">
        <v>1494</v>
      </c>
      <c r="C659" s="14">
        <v>45855</v>
      </c>
      <c r="D659" s="14">
        <v>45854</v>
      </c>
      <c r="E659">
        <v>2025</v>
      </c>
      <c r="F659">
        <v>7</v>
      </c>
      <c r="G659" t="s">
        <v>158</v>
      </c>
      <c r="H659" t="s">
        <v>159</v>
      </c>
      <c r="I659" t="s">
        <v>124</v>
      </c>
      <c r="J659" s="15">
        <v>7617.15</v>
      </c>
      <c r="K659" s="15">
        <v>0</v>
      </c>
      <c r="L659" s="15">
        <f t="shared" si="50"/>
        <v>7617.15</v>
      </c>
      <c r="M659" t="s">
        <v>160</v>
      </c>
      <c r="N659" t="s">
        <v>1495</v>
      </c>
      <c r="O659" t="s">
        <v>162</v>
      </c>
      <c r="P659" t="s">
        <v>140</v>
      </c>
      <c r="Q659" t="s">
        <v>150</v>
      </c>
      <c r="R659" s="16">
        <v>45855.708333333299</v>
      </c>
      <c r="S659" t="s">
        <v>130</v>
      </c>
      <c r="V659" t="b">
        <f t="shared" si="51"/>
        <v>0</v>
      </c>
      <c r="W659" t="b">
        <f>AND(OR(WEEKDAY(C659,2)=5,WEEKDAY(C659,2)=6),'01_Parameters'!$C$11="Enabled")</f>
        <v>0</v>
      </c>
      <c r="X659" t="b">
        <f t="shared" si="52"/>
        <v>0</v>
      </c>
      <c r="Y659" t="b">
        <f t="shared" si="53"/>
        <v>0</v>
      </c>
      <c r="Z659" t="b">
        <f t="shared" si="54"/>
        <v>0</v>
      </c>
    </row>
    <row r="660" spans="1:26" ht="15" customHeight="1">
      <c r="A660" t="s">
        <v>1493</v>
      </c>
      <c r="B660" t="s">
        <v>1496</v>
      </c>
      <c r="C660" s="14">
        <v>45855</v>
      </c>
      <c r="D660" s="14">
        <v>45854</v>
      </c>
      <c r="E660">
        <v>2025</v>
      </c>
      <c r="F660">
        <v>7</v>
      </c>
      <c r="G660" t="s">
        <v>164</v>
      </c>
      <c r="H660" t="s">
        <v>165</v>
      </c>
      <c r="I660" t="s">
        <v>146</v>
      </c>
      <c r="J660" s="15">
        <v>0</v>
      </c>
      <c r="K660" s="15">
        <v>7617.15</v>
      </c>
      <c r="L660" s="15">
        <f t="shared" si="50"/>
        <v>-7617.15</v>
      </c>
      <c r="M660" t="s">
        <v>160</v>
      </c>
      <c r="N660" t="s">
        <v>1495</v>
      </c>
      <c r="O660" t="s">
        <v>162</v>
      </c>
      <c r="P660" t="s">
        <v>140</v>
      </c>
      <c r="Q660" t="s">
        <v>150</v>
      </c>
      <c r="R660" s="16">
        <v>45855.708333333299</v>
      </c>
      <c r="S660" t="s">
        <v>130</v>
      </c>
      <c r="V660" t="b">
        <f t="shared" si="51"/>
        <v>0</v>
      </c>
      <c r="W660" t="b">
        <f>AND(OR(WEEKDAY(C660,2)=5,WEEKDAY(C660,2)=6),'01_Parameters'!$C$11="Enabled")</f>
        <v>0</v>
      </c>
      <c r="X660" t="b">
        <f t="shared" si="52"/>
        <v>0</v>
      </c>
      <c r="Y660" t="b">
        <f t="shared" si="53"/>
        <v>0</v>
      </c>
      <c r="Z660" t="b">
        <f t="shared" si="54"/>
        <v>0</v>
      </c>
    </row>
    <row r="661" spans="1:26" ht="15" customHeight="1">
      <c r="A661" t="s">
        <v>1497</v>
      </c>
      <c r="B661" t="s">
        <v>1498</v>
      </c>
      <c r="C661" s="14">
        <v>45841</v>
      </c>
      <c r="D661" s="14">
        <v>45840</v>
      </c>
      <c r="E661">
        <v>2025</v>
      </c>
      <c r="F661">
        <v>7</v>
      </c>
      <c r="G661" t="s">
        <v>193</v>
      </c>
      <c r="H661" t="s">
        <v>194</v>
      </c>
      <c r="I661" t="s">
        <v>124</v>
      </c>
      <c r="J661" s="15">
        <v>18919.39</v>
      </c>
      <c r="K661" s="15">
        <v>0</v>
      </c>
      <c r="L661" s="15">
        <f t="shared" si="50"/>
        <v>18919.39</v>
      </c>
      <c r="M661" t="s">
        <v>195</v>
      </c>
      <c r="N661" t="s">
        <v>1499</v>
      </c>
      <c r="O661" t="s">
        <v>197</v>
      </c>
      <c r="P661" t="s">
        <v>128</v>
      </c>
      <c r="Q661" t="s">
        <v>150</v>
      </c>
      <c r="R661" s="16">
        <v>45841.84375</v>
      </c>
      <c r="S661" t="s">
        <v>130</v>
      </c>
      <c r="V661" t="b">
        <f t="shared" si="51"/>
        <v>0</v>
      </c>
      <c r="W661" t="b">
        <f>AND(OR(WEEKDAY(C661,2)=5,WEEKDAY(C661,2)=6),'01_Parameters'!$C$11="Enabled")</f>
        <v>0</v>
      </c>
      <c r="X661" t="b">
        <f t="shared" si="52"/>
        <v>1</v>
      </c>
      <c r="Y661" t="b">
        <f t="shared" si="53"/>
        <v>0</v>
      </c>
      <c r="Z661" t="b">
        <f t="shared" si="54"/>
        <v>0</v>
      </c>
    </row>
    <row r="662" spans="1:26" ht="15" customHeight="1">
      <c r="A662" t="s">
        <v>1497</v>
      </c>
      <c r="B662" t="s">
        <v>1500</v>
      </c>
      <c r="C662" s="14">
        <v>45841</v>
      </c>
      <c r="D662" s="14">
        <v>45840</v>
      </c>
      <c r="E662">
        <v>2025</v>
      </c>
      <c r="F662">
        <v>7</v>
      </c>
      <c r="G662" t="s">
        <v>199</v>
      </c>
      <c r="H662" t="s">
        <v>200</v>
      </c>
      <c r="I662" t="s">
        <v>146</v>
      </c>
      <c r="J662" s="15">
        <v>0</v>
      </c>
      <c r="K662" s="15">
        <v>18919.39</v>
      </c>
      <c r="L662" s="15">
        <f t="shared" si="50"/>
        <v>-18919.39</v>
      </c>
      <c r="M662" t="s">
        <v>195</v>
      </c>
      <c r="N662" t="s">
        <v>1499</v>
      </c>
      <c r="O662" t="s">
        <v>197</v>
      </c>
      <c r="P662" t="s">
        <v>128</v>
      </c>
      <c r="Q662" t="s">
        <v>150</v>
      </c>
      <c r="R662" s="16">
        <v>45841.84375</v>
      </c>
      <c r="S662" t="s">
        <v>130</v>
      </c>
      <c r="V662" t="b">
        <f t="shared" si="51"/>
        <v>0</v>
      </c>
      <c r="W662" t="b">
        <f>AND(OR(WEEKDAY(C662,2)=5,WEEKDAY(C662,2)=6),'01_Parameters'!$C$11="Enabled")</f>
        <v>0</v>
      </c>
      <c r="X662" t="b">
        <f t="shared" si="52"/>
        <v>1</v>
      </c>
      <c r="Y662" t="b">
        <f t="shared" si="53"/>
        <v>0</v>
      </c>
      <c r="Z662" t="b">
        <f t="shared" si="54"/>
        <v>0</v>
      </c>
    </row>
    <row r="663" spans="1:26" ht="15" customHeight="1">
      <c r="A663" t="s">
        <v>1501</v>
      </c>
      <c r="B663" t="s">
        <v>1502</v>
      </c>
      <c r="C663" s="14">
        <v>45712</v>
      </c>
      <c r="D663" s="14">
        <v>45711</v>
      </c>
      <c r="E663">
        <v>2025</v>
      </c>
      <c r="F663">
        <v>2</v>
      </c>
      <c r="G663" t="s">
        <v>158</v>
      </c>
      <c r="H663" t="s">
        <v>159</v>
      </c>
      <c r="I663" t="s">
        <v>124</v>
      </c>
      <c r="J663" s="15">
        <v>51307.54</v>
      </c>
      <c r="K663" s="15">
        <v>0</v>
      </c>
      <c r="L663" s="15">
        <f t="shared" si="50"/>
        <v>51307.54</v>
      </c>
      <c r="M663" t="s">
        <v>160</v>
      </c>
      <c r="N663" t="s">
        <v>1503</v>
      </c>
      <c r="O663" t="s">
        <v>162</v>
      </c>
      <c r="P663" t="s">
        <v>150</v>
      </c>
      <c r="Q663" t="s">
        <v>140</v>
      </c>
      <c r="R663" s="16">
        <v>45712.770833333299</v>
      </c>
      <c r="S663" t="s">
        <v>130</v>
      </c>
      <c r="V663" t="b">
        <f t="shared" si="51"/>
        <v>0</v>
      </c>
      <c r="W663" t="b">
        <f>AND(OR(WEEKDAY(C663,2)=5,WEEKDAY(C663,2)=6),'01_Parameters'!$C$11="Enabled")</f>
        <v>0</v>
      </c>
      <c r="X663" t="b">
        <f t="shared" si="52"/>
        <v>1</v>
      </c>
      <c r="Y663" t="b">
        <f t="shared" si="53"/>
        <v>0</v>
      </c>
      <c r="Z663" t="b">
        <f t="shared" si="54"/>
        <v>0</v>
      </c>
    </row>
    <row r="664" spans="1:26" ht="15" customHeight="1">
      <c r="A664" t="s">
        <v>1501</v>
      </c>
      <c r="B664" t="s">
        <v>1504</v>
      </c>
      <c r="C664" s="14">
        <v>45712</v>
      </c>
      <c r="D664" s="14">
        <v>45711</v>
      </c>
      <c r="E664">
        <v>2025</v>
      </c>
      <c r="F664">
        <v>2</v>
      </c>
      <c r="G664" t="s">
        <v>164</v>
      </c>
      <c r="H664" t="s">
        <v>165</v>
      </c>
      <c r="I664" t="s">
        <v>146</v>
      </c>
      <c r="J664" s="15">
        <v>0</v>
      </c>
      <c r="K664" s="15">
        <v>51307.54</v>
      </c>
      <c r="L664" s="15">
        <f t="shared" si="50"/>
        <v>-51307.54</v>
      </c>
      <c r="M664" t="s">
        <v>160</v>
      </c>
      <c r="N664" t="s">
        <v>1503</v>
      </c>
      <c r="O664" t="s">
        <v>162</v>
      </c>
      <c r="P664" t="s">
        <v>150</v>
      </c>
      <c r="Q664" t="s">
        <v>140</v>
      </c>
      <c r="R664" s="16">
        <v>45712.770833333299</v>
      </c>
      <c r="S664" t="s">
        <v>130</v>
      </c>
      <c r="V664" t="b">
        <f t="shared" si="51"/>
        <v>0</v>
      </c>
      <c r="W664" t="b">
        <f>AND(OR(WEEKDAY(C664,2)=5,WEEKDAY(C664,2)=6),'01_Parameters'!$C$11="Enabled")</f>
        <v>0</v>
      </c>
      <c r="X664" t="b">
        <f t="shared" si="52"/>
        <v>1</v>
      </c>
      <c r="Y664" t="b">
        <f t="shared" si="53"/>
        <v>0</v>
      </c>
      <c r="Z664" t="b">
        <f t="shared" si="54"/>
        <v>0</v>
      </c>
    </row>
    <row r="665" spans="1:26" ht="15" customHeight="1">
      <c r="A665" t="s">
        <v>1505</v>
      </c>
      <c r="B665" t="s">
        <v>1506</v>
      </c>
      <c r="C665" s="14">
        <v>45909</v>
      </c>
      <c r="D665" s="14">
        <v>45905</v>
      </c>
      <c r="E665">
        <v>2025</v>
      </c>
      <c r="F665">
        <v>9</v>
      </c>
      <c r="G665" t="s">
        <v>417</v>
      </c>
      <c r="H665" t="s">
        <v>418</v>
      </c>
      <c r="I665" t="s">
        <v>124</v>
      </c>
      <c r="J665" s="15">
        <v>73790.13</v>
      </c>
      <c r="K665" s="15">
        <v>0</v>
      </c>
      <c r="L665" s="15">
        <f t="shared" si="50"/>
        <v>73790.13</v>
      </c>
      <c r="M665" t="s">
        <v>125</v>
      </c>
      <c r="N665" t="s">
        <v>1507</v>
      </c>
      <c r="O665" t="s">
        <v>127</v>
      </c>
      <c r="P665" t="s">
        <v>150</v>
      </c>
      <c r="Q665" t="s">
        <v>140</v>
      </c>
      <c r="R665" s="16">
        <v>45909.28125</v>
      </c>
      <c r="S665" t="s">
        <v>130</v>
      </c>
      <c r="V665" t="b">
        <f t="shared" si="51"/>
        <v>0</v>
      </c>
      <c r="W665" t="b">
        <f>AND(OR(WEEKDAY(C665,2)=5,WEEKDAY(C665,2)=6),'01_Parameters'!$C$11="Enabled")</f>
        <v>0</v>
      </c>
      <c r="X665" t="b">
        <f t="shared" si="52"/>
        <v>1</v>
      </c>
      <c r="Y665" t="b">
        <f t="shared" si="53"/>
        <v>0</v>
      </c>
      <c r="Z665" t="b">
        <f t="shared" si="54"/>
        <v>0</v>
      </c>
    </row>
    <row r="666" spans="1:26" ht="15" customHeight="1">
      <c r="A666" t="s">
        <v>1505</v>
      </c>
      <c r="B666" t="s">
        <v>1508</v>
      </c>
      <c r="C666" s="14">
        <v>45909</v>
      </c>
      <c r="D666" s="14">
        <v>45905</v>
      </c>
      <c r="E666">
        <v>2025</v>
      </c>
      <c r="F666">
        <v>9</v>
      </c>
      <c r="G666" t="s">
        <v>132</v>
      </c>
      <c r="H666" t="s">
        <v>133</v>
      </c>
      <c r="I666" t="s">
        <v>134</v>
      </c>
      <c r="J666" s="15">
        <v>0</v>
      </c>
      <c r="K666" s="15">
        <v>73790.13</v>
      </c>
      <c r="L666" s="15">
        <f t="shared" si="50"/>
        <v>-73790.13</v>
      </c>
      <c r="M666" t="s">
        <v>125</v>
      </c>
      <c r="N666" t="s">
        <v>1507</v>
      </c>
      <c r="O666" t="s">
        <v>127</v>
      </c>
      <c r="P666" t="s">
        <v>150</v>
      </c>
      <c r="Q666" t="s">
        <v>140</v>
      </c>
      <c r="R666" s="16">
        <v>45909.28125</v>
      </c>
      <c r="S666" t="s">
        <v>130</v>
      </c>
      <c r="V666" t="b">
        <f t="shared" si="51"/>
        <v>0</v>
      </c>
      <c r="W666" t="b">
        <f>AND(OR(WEEKDAY(C666,2)=5,WEEKDAY(C666,2)=6),'01_Parameters'!$C$11="Enabled")</f>
        <v>0</v>
      </c>
      <c r="X666" t="b">
        <f t="shared" si="52"/>
        <v>1</v>
      </c>
      <c r="Y666" t="b">
        <f t="shared" si="53"/>
        <v>0</v>
      </c>
      <c r="Z666" t="b">
        <f t="shared" si="54"/>
        <v>0</v>
      </c>
    </row>
    <row r="667" spans="1:26" ht="15" customHeight="1">
      <c r="A667" t="s">
        <v>1509</v>
      </c>
      <c r="B667" t="s">
        <v>1510</v>
      </c>
      <c r="C667" s="14">
        <v>45936</v>
      </c>
      <c r="D667" s="14">
        <v>45936</v>
      </c>
      <c r="E667">
        <v>2025</v>
      </c>
      <c r="F667">
        <v>10</v>
      </c>
      <c r="G667" t="s">
        <v>193</v>
      </c>
      <c r="H667" t="s">
        <v>194</v>
      </c>
      <c r="I667" t="s">
        <v>124</v>
      </c>
      <c r="J667" s="15">
        <v>55055.12</v>
      </c>
      <c r="K667" s="15">
        <v>0</v>
      </c>
      <c r="L667" s="15">
        <f t="shared" si="50"/>
        <v>55055.12</v>
      </c>
      <c r="M667" t="s">
        <v>195</v>
      </c>
      <c r="N667" t="s">
        <v>1511</v>
      </c>
      <c r="O667" t="s">
        <v>197</v>
      </c>
      <c r="P667" t="s">
        <v>140</v>
      </c>
      <c r="Q667" t="s">
        <v>151</v>
      </c>
      <c r="R667" s="16">
        <v>45936.885416666701</v>
      </c>
      <c r="S667" t="s">
        <v>130</v>
      </c>
      <c r="V667" t="b">
        <f t="shared" si="51"/>
        <v>0</v>
      </c>
      <c r="W667" t="b">
        <f>AND(OR(WEEKDAY(C667,2)=5,WEEKDAY(C667,2)=6),'01_Parameters'!$C$11="Enabled")</f>
        <v>0</v>
      </c>
      <c r="X667" t="b">
        <f t="shared" si="52"/>
        <v>1</v>
      </c>
      <c r="Y667" t="b">
        <f t="shared" si="53"/>
        <v>0</v>
      </c>
      <c r="Z667" t="b">
        <f t="shared" si="54"/>
        <v>0</v>
      </c>
    </row>
    <row r="668" spans="1:26" ht="15" customHeight="1">
      <c r="A668" t="s">
        <v>1509</v>
      </c>
      <c r="B668" t="s">
        <v>1512</v>
      </c>
      <c r="C668" s="14">
        <v>45936</v>
      </c>
      <c r="D668" s="14">
        <v>45936</v>
      </c>
      <c r="E668">
        <v>2025</v>
      </c>
      <c r="F668">
        <v>10</v>
      </c>
      <c r="G668" t="s">
        <v>199</v>
      </c>
      <c r="H668" t="s">
        <v>200</v>
      </c>
      <c r="I668" t="s">
        <v>146</v>
      </c>
      <c r="J668" s="15">
        <v>0</v>
      </c>
      <c r="K668" s="15">
        <v>55055.12</v>
      </c>
      <c r="L668" s="15">
        <f t="shared" si="50"/>
        <v>-55055.12</v>
      </c>
      <c r="M668" t="s">
        <v>195</v>
      </c>
      <c r="N668" t="s">
        <v>1511</v>
      </c>
      <c r="O668" t="s">
        <v>197</v>
      </c>
      <c r="P668" t="s">
        <v>140</v>
      </c>
      <c r="Q668" t="s">
        <v>151</v>
      </c>
      <c r="R668" s="16">
        <v>45936.885416666701</v>
      </c>
      <c r="S668" t="s">
        <v>130</v>
      </c>
      <c r="V668" t="b">
        <f t="shared" si="51"/>
        <v>0</v>
      </c>
      <c r="W668" t="b">
        <f>AND(OR(WEEKDAY(C668,2)=5,WEEKDAY(C668,2)=6),'01_Parameters'!$C$11="Enabled")</f>
        <v>0</v>
      </c>
      <c r="X668" t="b">
        <f t="shared" si="52"/>
        <v>1</v>
      </c>
      <c r="Y668" t="b">
        <f t="shared" si="53"/>
        <v>0</v>
      </c>
      <c r="Z668" t="b">
        <f t="shared" si="54"/>
        <v>0</v>
      </c>
    </row>
    <row r="669" spans="1:26" ht="15" customHeight="1">
      <c r="A669" t="s">
        <v>1513</v>
      </c>
      <c r="B669" t="s">
        <v>1514</v>
      </c>
      <c r="C669" s="14">
        <v>45760</v>
      </c>
      <c r="D669" s="14">
        <v>45756</v>
      </c>
      <c r="E669">
        <v>2025</v>
      </c>
      <c r="F669">
        <v>4</v>
      </c>
      <c r="G669" t="s">
        <v>144</v>
      </c>
      <c r="H669" t="s">
        <v>145</v>
      </c>
      <c r="I669" t="s">
        <v>146</v>
      </c>
      <c r="J669" s="15">
        <v>81733.740000000005</v>
      </c>
      <c r="K669" s="15">
        <v>0</v>
      </c>
      <c r="L669" s="15">
        <f t="shared" si="50"/>
        <v>81733.740000000005</v>
      </c>
      <c r="M669" t="s">
        <v>147</v>
      </c>
      <c r="N669" t="s">
        <v>1515</v>
      </c>
      <c r="O669" t="s">
        <v>149</v>
      </c>
      <c r="P669" t="s">
        <v>128</v>
      </c>
      <c r="Q669" t="s">
        <v>140</v>
      </c>
      <c r="R669" s="16">
        <v>45760.770833333299</v>
      </c>
      <c r="S669" t="s">
        <v>130</v>
      </c>
      <c r="V669" t="b">
        <f t="shared" si="51"/>
        <v>0</v>
      </c>
      <c r="W669" t="b">
        <f>AND(OR(WEEKDAY(C669,2)=5,WEEKDAY(C669,2)=6),'01_Parameters'!$C$11="Enabled")</f>
        <v>0</v>
      </c>
      <c r="X669" t="b">
        <f t="shared" si="52"/>
        <v>1</v>
      </c>
      <c r="Y669" t="b">
        <f t="shared" si="53"/>
        <v>0</v>
      </c>
      <c r="Z669" t="b">
        <f t="shared" si="54"/>
        <v>0</v>
      </c>
    </row>
    <row r="670" spans="1:26" ht="15" customHeight="1">
      <c r="A670" t="s">
        <v>1513</v>
      </c>
      <c r="B670" t="s">
        <v>1516</v>
      </c>
      <c r="C670" s="14">
        <v>45760</v>
      </c>
      <c r="D670" s="14">
        <v>45756</v>
      </c>
      <c r="E670">
        <v>2025</v>
      </c>
      <c r="F670">
        <v>4</v>
      </c>
      <c r="G670" t="s">
        <v>153</v>
      </c>
      <c r="H670" t="s">
        <v>154</v>
      </c>
      <c r="I670" t="s">
        <v>155</v>
      </c>
      <c r="J670" s="15">
        <v>0</v>
      </c>
      <c r="K670" s="15">
        <v>81733.740000000005</v>
      </c>
      <c r="L670" s="15">
        <f t="shared" si="50"/>
        <v>-81733.740000000005</v>
      </c>
      <c r="M670" t="s">
        <v>147</v>
      </c>
      <c r="N670" t="s">
        <v>1515</v>
      </c>
      <c r="O670" t="s">
        <v>149</v>
      </c>
      <c r="P670" t="s">
        <v>128</v>
      </c>
      <c r="Q670" t="s">
        <v>140</v>
      </c>
      <c r="R670" s="16">
        <v>45760.770833333299</v>
      </c>
      <c r="S670" t="s">
        <v>130</v>
      </c>
      <c r="V670" t="b">
        <f t="shared" si="51"/>
        <v>0</v>
      </c>
      <c r="W670" t="b">
        <f>AND(OR(WEEKDAY(C670,2)=5,WEEKDAY(C670,2)=6),'01_Parameters'!$C$11="Enabled")</f>
        <v>0</v>
      </c>
      <c r="X670" t="b">
        <f t="shared" si="52"/>
        <v>1</v>
      </c>
      <c r="Y670" t="b">
        <f t="shared" si="53"/>
        <v>0</v>
      </c>
      <c r="Z670" t="b">
        <f t="shared" si="54"/>
        <v>0</v>
      </c>
    </row>
    <row r="671" spans="1:26" ht="15" customHeight="1">
      <c r="A671" t="s">
        <v>1517</v>
      </c>
      <c r="B671" t="s">
        <v>1518</v>
      </c>
      <c r="C671" s="14">
        <v>45982</v>
      </c>
      <c r="D671" s="14">
        <v>45979</v>
      </c>
      <c r="E671">
        <v>2025</v>
      </c>
      <c r="F671">
        <v>11</v>
      </c>
      <c r="G671" t="s">
        <v>158</v>
      </c>
      <c r="H671" t="s">
        <v>159</v>
      </c>
      <c r="I671" t="s">
        <v>124</v>
      </c>
      <c r="J671" s="15">
        <v>7380.34</v>
      </c>
      <c r="K671" s="15">
        <v>0</v>
      </c>
      <c r="L671" s="15">
        <f t="shared" si="50"/>
        <v>7380.34</v>
      </c>
      <c r="M671" t="s">
        <v>160</v>
      </c>
      <c r="N671" t="s">
        <v>1519</v>
      </c>
      <c r="O671" t="s">
        <v>162</v>
      </c>
      <c r="P671" t="s">
        <v>175</v>
      </c>
      <c r="Q671" t="s">
        <v>150</v>
      </c>
      <c r="R671" s="16">
        <v>45982.489583333299</v>
      </c>
      <c r="S671" t="s">
        <v>130</v>
      </c>
      <c r="V671" t="b">
        <f t="shared" si="51"/>
        <v>0</v>
      </c>
      <c r="W671" t="b">
        <f>AND(OR(WEEKDAY(C671,2)=5,WEEKDAY(C671,2)=6),'01_Parameters'!$C$11="Enabled")</f>
        <v>1</v>
      </c>
      <c r="X671" t="b">
        <f t="shared" si="52"/>
        <v>0</v>
      </c>
      <c r="Y671" t="b">
        <f t="shared" si="53"/>
        <v>0</v>
      </c>
      <c r="Z671" t="b">
        <f t="shared" si="54"/>
        <v>0</v>
      </c>
    </row>
    <row r="672" spans="1:26" ht="15" customHeight="1">
      <c r="A672" t="s">
        <v>1517</v>
      </c>
      <c r="B672" t="s">
        <v>1520</v>
      </c>
      <c r="C672" s="14">
        <v>45982</v>
      </c>
      <c r="D672" s="14">
        <v>45979</v>
      </c>
      <c r="E672">
        <v>2025</v>
      </c>
      <c r="F672">
        <v>11</v>
      </c>
      <c r="G672" t="s">
        <v>164</v>
      </c>
      <c r="H672" t="s">
        <v>165</v>
      </c>
      <c r="I672" t="s">
        <v>146</v>
      </c>
      <c r="J672" s="15">
        <v>0</v>
      </c>
      <c r="K672" s="15">
        <v>7380.34</v>
      </c>
      <c r="L672" s="15">
        <f t="shared" si="50"/>
        <v>-7380.34</v>
      </c>
      <c r="M672" t="s">
        <v>160</v>
      </c>
      <c r="N672" t="s">
        <v>1519</v>
      </c>
      <c r="O672" t="s">
        <v>162</v>
      </c>
      <c r="P672" t="s">
        <v>175</v>
      </c>
      <c r="Q672" t="s">
        <v>150</v>
      </c>
      <c r="R672" s="16">
        <v>45982.489583333299</v>
      </c>
      <c r="S672" t="s">
        <v>130</v>
      </c>
      <c r="V672" t="b">
        <f t="shared" si="51"/>
        <v>0</v>
      </c>
      <c r="W672" t="b">
        <f>AND(OR(WEEKDAY(C672,2)=5,WEEKDAY(C672,2)=6),'01_Parameters'!$C$11="Enabled")</f>
        <v>1</v>
      </c>
      <c r="X672" t="b">
        <f t="shared" si="52"/>
        <v>0</v>
      </c>
      <c r="Y672" t="b">
        <f t="shared" si="53"/>
        <v>0</v>
      </c>
      <c r="Z672" t="b">
        <f t="shared" si="54"/>
        <v>0</v>
      </c>
    </row>
    <row r="673" spans="1:26" ht="15" customHeight="1">
      <c r="A673" t="s">
        <v>1521</v>
      </c>
      <c r="B673" t="s">
        <v>1522</v>
      </c>
      <c r="C673" s="14">
        <v>45814</v>
      </c>
      <c r="D673" s="14">
        <v>45810</v>
      </c>
      <c r="E673">
        <v>2025</v>
      </c>
      <c r="F673">
        <v>6</v>
      </c>
      <c r="G673" t="s">
        <v>193</v>
      </c>
      <c r="H673" t="s">
        <v>194</v>
      </c>
      <c r="I673" t="s">
        <v>124</v>
      </c>
      <c r="J673" s="15">
        <v>64662</v>
      </c>
      <c r="K673" s="15">
        <v>0</v>
      </c>
      <c r="L673" s="15">
        <f t="shared" si="50"/>
        <v>64662</v>
      </c>
      <c r="M673" t="s">
        <v>195</v>
      </c>
      <c r="N673" t="s">
        <v>1523</v>
      </c>
      <c r="O673" t="s">
        <v>197</v>
      </c>
      <c r="P673" t="s">
        <v>175</v>
      </c>
      <c r="Q673" t="s">
        <v>151</v>
      </c>
      <c r="R673" s="16">
        <v>45814.90625</v>
      </c>
      <c r="S673" t="s">
        <v>130</v>
      </c>
      <c r="V673" t="b">
        <f t="shared" si="51"/>
        <v>0</v>
      </c>
      <c r="W673" t="b">
        <f>AND(OR(WEEKDAY(C673,2)=5,WEEKDAY(C673,2)=6),'01_Parameters'!$C$11="Enabled")</f>
        <v>1</v>
      </c>
      <c r="X673" t="b">
        <f t="shared" si="52"/>
        <v>1</v>
      </c>
      <c r="Y673" t="b">
        <f t="shared" si="53"/>
        <v>0</v>
      </c>
      <c r="Z673" t="b">
        <f t="shared" si="54"/>
        <v>0</v>
      </c>
    </row>
    <row r="674" spans="1:26" ht="15" customHeight="1">
      <c r="A674" t="s">
        <v>1521</v>
      </c>
      <c r="B674" t="s">
        <v>1524</v>
      </c>
      <c r="C674" s="14">
        <v>45814</v>
      </c>
      <c r="D674" s="14">
        <v>45810</v>
      </c>
      <c r="E674">
        <v>2025</v>
      </c>
      <c r="F674">
        <v>6</v>
      </c>
      <c r="G674" t="s">
        <v>199</v>
      </c>
      <c r="H674" t="s">
        <v>200</v>
      </c>
      <c r="I674" t="s">
        <v>146</v>
      </c>
      <c r="J674" s="15">
        <v>0</v>
      </c>
      <c r="K674" s="15">
        <v>64662</v>
      </c>
      <c r="L674" s="15">
        <f t="shared" si="50"/>
        <v>-64662</v>
      </c>
      <c r="M674" t="s">
        <v>195</v>
      </c>
      <c r="N674" t="s">
        <v>1523</v>
      </c>
      <c r="O674" t="s">
        <v>197</v>
      </c>
      <c r="P674" t="s">
        <v>175</v>
      </c>
      <c r="Q674" t="s">
        <v>151</v>
      </c>
      <c r="R674" s="16">
        <v>45814.90625</v>
      </c>
      <c r="S674" t="s">
        <v>130</v>
      </c>
      <c r="V674" t="b">
        <f t="shared" si="51"/>
        <v>0</v>
      </c>
      <c r="W674" t="b">
        <f>AND(OR(WEEKDAY(C674,2)=5,WEEKDAY(C674,2)=6),'01_Parameters'!$C$11="Enabled")</f>
        <v>1</v>
      </c>
      <c r="X674" t="b">
        <f t="shared" si="52"/>
        <v>1</v>
      </c>
      <c r="Y674" t="b">
        <f t="shared" si="53"/>
        <v>0</v>
      </c>
      <c r="Z674" t="b">
        <f t="shared" si="54"/>
        <v>0</v>
      </c>
    </row>
    <row r="675" spans="1:26" ht="15" customHeight="1">
      <c r="A675" t="s">
        <v>1525</v>
      </c>
      <c r="B675" t="s">
        <v>1526</v>
      </c>
      <c r="C675" s="14">
        <v>45705</v>
      </c>
      <c r="D675" s="14">
        <v>45705</v>
      </c>
      <c r="E675">
        <v>2025</v>
      </c>
      <c r="F675">
        <v>2</v>
      </c>
      <c r="G675" t="s">
        <v>172</v>
      </c>
      <c r="H675" t="s">
        <v>173</v>
      </c>
      <c r="I675" t="s">
        <v>124</v>
      </c>
      <c r="J675" s="15">
        <v>7836.88</v>
      </c>
      <c r="K675" s="15">
        <v>0</v>
      </c>
      <c r="L675" s="15">
        <f t="shared" si="50"/>
        <v>7836.88</v>
      </c>
      <c r="M675" t="s">
        <v>125</v>
      </c>
      <c r="N675" t="s">
        <v>1527</v>
      </c>
      <c r="O675" t="s">
        <v>127</v>
      </c>
      <c r="P675" t="s">
        <v>129</v>
      </c>
      <c r="Q675" t="s">
        <v>150</v>
      </c>
      <c r="R675" s="16">
        <v>45705.541666666701</v>
      </c>
      <c r="S675" t="s">
        <v>130</v>
      </c>
      <c r="V675" t="b">
        <f t="shared" si="51"/>
        <v>0</v>
      </c>
      <c r="W675" t="b">
        <f>AND(OR(WEEKDAY(C675,2)=5,WEEKDAY(C675,2)=6),'01_Parameters'!$C$11="Enabled")</f>
        <v>0</v>
      </c>
      <c r="X675" t="b">
        <f t="shared" si="52"/>
        <v>0</v>
      </c>
      <c r="Y675" t="b">
        <f t="shared" si="53"/>
        <v>0</v>
      </c>
      <c r="Z675" t="b">
        <f t="shared" si="54"/>
        <v>0</v>
      </c>
    </row>
    <row r="676" spans="1:26" ht="15" customHeight="1">
      <c r="A676" t="s">
        <v>1525</v>
      </c>
      <c r="B676" t="s">
        <v>1528</v>
      </c>
      <c r="C676" s="14">
        <v>45705</v>
      </c>
      <c r="D676" s="14">
        <v>45705</v>
      </c>
      <c r="E676">
        <v>2025</v>
      </c>
      <c r="F676">
        <v>2</v>
      </c>
      <c r="G676" t="s">
        <v>132</v>
      </c>
      <c r="H676" t="s">
        <v>133</v>
      </c>
      <c r="I676" t="s">
        <v>134</v>
      </c>
      <c r="J676" s="15">
        <v>0</v>
      </c>
      <c r="K676" s="15">
        <v>7836.88</v>
      </c>
      <c r="L676" s="15">
        <f t="shared" si="50"/>
        <v>-7836.88</v>
      </c>
      <c r="M676" t="s">
        <v>125</v>
      </c>
      <c r="N676" t="s">
        <v>1527</v>
      </c>
      <c r="O676" t="s">
        <v>127</v>
      </c>
      <c r="P676" t="s">
        <v>129</v>
      </c>
      <c r="Q676" t="s">
        <v>150</v>
      </c>
      <c r="R676" s="16">
        <v>45705.541666666701</v>
      </c>
      <c r="S676" t="s">
        <v>130</v>
      </c>
      <c r="V676" t="b">
        <f t="shared" si="51"/>
        <v>0</v>
      </c>
      <c r="W676" t="b">
        <f>AND(OR(WEEKDAY(C676,2)=5,WEEKDAY(C676,2)=6),'01_Parameters'!$C$11="Enabled")</f>
        <v>0</v>
      </c>
      <c r="X676" t="b">
        <f t="shared" si="52"/>
        <v>0</v>
      </c>
      <c r="Y676" t="b">
        <f t="shared" si="53"/>
        <v>0</v>
      </c>
      <c r="Z676" t="b">
        <f t="shared" si="54"/>
        <v>0</v>
      </c>
    </row>
    <row r="677" spans="1:26" ht="15" customHeight="1">
      <c r="A677" t="s">
        <v>1529</v>
      </c>
      <c r="B677" t="s">
        <v>1530</v>
      </c>
      <c r="C677" s="14">
        <v>45711</v>
      </c>
      <c r="D677" s="14">
        <v>45708</v>
      </c>
      <c r="E677">
        <v>2025</v>
      </c>
      <c r="F677">
        <v>2</v>
      </c>
      <c r="G677" t="s">
        <v>193</v>
      </c>
      <c r="H677" t="s">
        <v>194</v>
      </c>
      <c r="I677" t="s">
        <v>124</v>
      </c>
      <c r="J677" s="15">
        <v>37905.74</v>
      </c>
      <c r="K677" s="15">
        <v>0</v>
      </c>
      <c r="L677" s="15">
        <f t="shared" si="50"/>
        <v>37905.74</v>
      </c>
      <c r="M677" t="s">
        <v>195</v>
      </c>
      <c r="N677" t="s">
        <v>1531</v>
      </c>
      <c r="O677" t="s">
        <v>197</v>
      </c>
      <c r="P677" t="s">
        <v>140</v>
      </c>
      <c r="Q677" t="s">
        <v>128</v>
      </c>
      <c r="R677" s="16">
        <v>45711.40625</v>
      </c>
      <c r="S677" t="s">
        <v>130</v>
      </c>
      <c r="V677" t="b">
        <f t="shared" si="51"/>
        <v>0</v>
      </c>
      <c r="W677" t="b">
        <f>AND(OR(WEEKDAY(C677,2)=5,WEEKDAY(C677,2)=6),'01_Parameters'!$C$11="Enabled")</f>
        <v>0</v>
      </c>
      <c r="X677" t="b">
        <f t="shared" si="52"/>
        <v>0</v>
      </c>
      <c r="Y677" t="b">
        <f t="shared" si="53"/>
        <v>0</v>
      </c>
      <c r="Z677" t="b">
        <f t="shared" si="54"/>
        <v>0</v>
      </c>
    </row>
    <row r="678" spans="1:26" ht="15" customHeight="1">
      <c r="A678" t="s">
        <v>1529</v>
      </c>
      <c r="B678" t="s">
        <v>1532</v>
      </c>
      <c r="C678" s="14">
        <v>45711</v>
      </c>
      <c r="D678" s="14">
        <v>45708</v>
      </c>
      <c r="E678">
        <v>2025</v>
      </c>
      <c r="F678">
        <v>2</v>
      </c>
      <c r="G678" t="s">
        <v>199</v>
      </c>
      <c r="H678" t="s">
        <v>200</v>
      </c>
      <c r="I678" t="s">
        <v>146</v>
      </c>
      <c r="J678" s="15">
        <v>0</v>
      </c>
      <c r="K678" s="15">
        <v>37905.74</v>
      </c>
      <c r="L678" s="15">
        <f t="shared" si="50"/>
        <v>-37905.74</v>
      </c>
      <c r="M678" t="s">
        <v>195</v>
      </c>
      <c r="N678" t="s">
        <v>1531</v>
      </c>
      <c r="O678" t="s">
        <v>197</v>
      </c>
      <c r="P678" t="s">
        <v>140</v>
      </c>
      <c r="Q678" t="s">
        <v>128</v>
      </c>
      <c r="R678" s="16">
        <v>45711.40625</v>
      </c>
      <c r="S678" t="s">
        <v>130</v>
      </c>
      <c r="V678" t="b">
        <f t="shared" si="51"/>
        <v>0</v>
      </c>
      <c r="W678" t="b">
        <f>AND(OR(WEEKDAY(C678,2)=5,WEEKDAY(C678,2)=6),'01_Parameters'!$C$11="Enabled")</f>
        <v>0</v>
      </c>
      <c r="X678" t="b">
        <f t="shared" si="52"/>
        <v>0</v>
      </c>
      <c r="Y678" t="b">
        <f t="shared" si="53"/>
        <v>0</v>
      </c>
      <c r="Z678" t="b">
        <f t="shared" si="54"/>
        <v>0</v>
      </c>
    </row>
    <row r="679" spans="1:26" ht="15" customHeight="1">
      <c r="A679" t="s">
        <v>1533</v>
      </c>
      <c r="B679" t="s">
        <v>1534</v>
      </c>
      <c r="C679" s="14">
        <v>45702</v>
      </c>
      <c r="D679" s="14">
        <v>45700</v>
      </c>
      <c r="E679">
        <v>2025</v>
      </c>
      <c r="F679">
        <v>2</v>
      </c>
      <c r="G679" t="s">
        <v>144</v>
      </c>
      <c r="H679" t="s">
        <v>145</v>
      </c>
      <c r="I679" t="s">
        <v>146</v>
      </c>
      <c r="J679" s="15">
        <v>11206.21</v>
      </c>
      <c r="K679" s="15">
        <v>0</v>
      </c>
      <c r="L679" s="15">
        <f t="shared" si="50"/>
        <v>11206.21</v>
      </c>
      <c r="M679" t="s">
        <v>147</v>
      </c>
      <c r="N679" t="s">
        <v>1535</v>
      </c>
      <c r="O679" t="s">
        <v>149</v>
      </c>
      <c r="P679" t="s">
        <v>129</v>
      </c>
      <c r="Q679" t="s">
        <v>140</v>
      </c>
      <c r="R679" s="16">
        <v>45702.354166666701</v>
      </c>
      <c r="S679" t="s">
        <v>130</v>
      </c>
      <c r="V679" t="b">
        <f t="shared" si="51"/>
        <v>0</v>
      </c>
      <c r="W679" t="b">
        <f>AND(OR(WEEKDAY(C679,2)=5,WEEKDAY(C679,2)=6),'01_Parameters'!$C$11="Enabled")</f>
        <v>1</v>
      </c>
      <c r="X679" t="b">
        <f t="shared" si="52"/>
        <v>0</v>
      </c>
      <c r="Y679" t="b">
        <f t="shared" si="53"/>
        <v>0</v>
      </c>
      <c r="Z679" t="b">
        <f t="shared" si="54"/>
        <v>0</v>
      </c>
    </row>
    <row r="680" spans="1:26" ht="15" customHeight="1">
      <c r="A680" t="s">
        <v>1533</v>
      </c>
      <c r="B680" t="s">
        <v>1536</v>
      </c>
      <c r="C680" s="14">
        <v>45702</v>
      </c>
      <c r="D680" s="14">
        <v>45700</v>
      </c>
      <c r="E680">
        <v>2025</v>
      </c>
      <c r="F680">
        <v>2</v>
      </c>
      <c r="G680" t="s">
        <v>153</v>
      </c>
      <c r="H680" t="s">
        <v>154</v>
      </c>
      <c r="I680" t="s">
        <v>155</v>
      </c>
      <c r="J680" s="15">
        <v>0</v>
      </c>
      <c r="K680" s="15">
        <v>11206.21</v>
      </c>
      <c r="L680" s="15">
        <f t="shared" si="50"/>
        <v>-11206.21</v>
      </c>
      <c r="M680" t="s">
        <v>147</v>
      </c>
      <c r="N680" t="s">
        <v>1535</v>
      </c>
      <c r="O680" t="s">
        <v>149</v>
      </c>
      <c r="P680" t="s">
        <v>129</v>
      </c>
      <c r="Q680" t="s">
        <v>140</v>
      </c>
      <c r="R680" s="16">
        <v>45702.354166666701</v>
      </c>
      <c r="S680" t="s">
        <v>130</v>
      </c>
      <c r="V680" t="b">
        <f t="shared" si="51"/>
        <v>0</v>
      </c>
      <c r="W680" t="b">
        <f>AND(OR(WEEKDAY(C680,2)=5,WEEKDAY(C680,2)=6),'01_Parameters'!$C$11="Enabled")</f>
        <v>1</v>
      </c>
      <c r="X680" t="b">
        <f t="shared" si="52"/>
        <v>0</v>
      </c>
      <c r="Y680" t="b">
        <f t="shared" si="53"/>
        <v>0</v>
      </c>
      <c r="Z680" t="b">
        <f t="shared" si="54"/>
        <v>0</v>
      </c>
    </row>
    <row r="681" spans="1:26" ht="15" customHeight="1">
      <c r="A681" t="s">
        <v>1537</v>
      </c>
      <c r="B681" t="s">
        <v>1538</v>
      </c>
      <c r="C681" s="14">
        <v>45680</v>
      </c>
      <c r="D681" s="14">
        <v>45676</v>
      </c>
      <c r="E681">
        <v>2025</v>
      </c>
      <c r="F681">
        <v>1</v>
      </c>
      <c r="G681" t="s">
        <v>144</v>
      </c>
      <c r="H681" t="s">
        <v>145</v>
      </c>
      <c r="I681" t="s">
        <v>146</v>
      </c>
      <c r="J681" s="15">
        <v>74786.679999999993</v>
      </c>
      <c r="K681" s="15">
        <v>0</v>
      </c>
      <c r="L681" s="15">
        <f t="shared" si="50"/>
        <v>74786.679999999993</v>
      </c>
      <c r="M681" t="s">
        <v>147</v>
      </c>
      <c r="N681" t="s">
        <v>1539</v>
      </c>
      <c r="O681" t="s">
        <v>149</v>
      </c>
      <c r="P681" t="s">
        <v>128</v>
      </c>
      <c r="Q681" t="s">
        <v>175</v>
      </c>
      <c r="R681" s="16">
        <v>45680.927083333299</v>
      </c>
      <c r="S681" t="s">
        <v>130</v>
      </c>
      <c r="V681" t="b">
        <f t="shared" si="51"/>
        <v>0</v>
      </c>
      <c r="W681" t="b">
        <f>AND(OR(WEEKDAY(C681,2)=5,WEEKDAY(C681,2)=6),'01_Parameters'!$C$11="Enabled")</f>
        <v>0</v>
      </c>
      <c r="X681" t="b">
        <f t="shared" si="52"/>
        <v>1</v>
      </c>
      <c r="Y681" t="b">
        <f t="shared" si="53"/>
        <v>0</v>
      </c>
      <c r="Z681" t="b">
        <f t="shared" si="54"/>
        <v>0</v>
      </c>
    </row>
    <row r="682" spans="1:26" ht="15" customHeight="1">
      <c r="A682" t="s">
        <v>1537</v>
      </c>
      <c r="B682" t="s">
        <v>1540</v>
      </c>
      <c r="C682" s="14">
        <v>45680</v>
      </c>
      <c r="D682" s="14">
        <v>45676</v>
      </c>
      <c r="E682">
        <v>2025</v>
      </c>
      <c r="F682">
        <v>1</v>
      </c>
      <c r="G682" t="s">
        <v>153</v>
      </c>
      <c r="H682" t="s">
        <v>154</v>
      </c>
      <c r="I682" t="s">
        <v>155</v>
      </c>
      <c r="J682" s="15">
        <v>0</v>
      </c>
      <c r="K682" s="15">
        <v>74786.679999999993</v>
      </c>
      <c r="L682" s="15">
        <f t="shared" si="50"/>
        <v>-74786.679999999993</v>
      </c>
      <c r="M682" t="s">
        <v>147</v>
      </c>
      <c r="N682" t="s">
        <v>1539</v>
      </c>
      <c r="O682" t="s">
        <v>149</v>
      </c>
      <c r="P682" t="s">
        <v>128</v>
      </c>
      <c r="Q682" t="s">
        <v>175</v>
      </c>
      <c r="R682" s="16">
        <v>45680.927083333299</v>
      </c>
      <c r="S682" t="s">
        <v>130</v>
      </c>
      <c r="V682" t="b">
        <f t="shared" si="51"/>
        <v>0</v>
      </c>
      <c r="W682" t="b">
        <f>AND(OR(WEEKDAY(C682,2)=5,WEEKDAY(C682,2)=6),'01_Parameters'!$C$11="Enabled")</f>
        <v>0</v>
      </c>
      <c r="X682" t="b">
        <f t="shared" si="52"/>
        <v>1</v>
      </c>
      <c r="Y682" t="b">
        <f t="shared" si="53"/>
        <v>0</v>
      </c>
      <c r="Z682" t="b">
        <f t="shared" si="54"/>
        <v>0</v>
      </c>
    </row>
    <row r="683" spans="1:26" ht="15" customHeight="1">
      <c r="A683" t="s">
        <v>1541</v>
      </c>
      <c r="B683" t="s">
        <v>1542</v>
      </c>
      <c r="C683" s="14">
        <v>45679</v>
      </c>
      <c r="D683" s="14">
        <v>45676</v>
      </c>
      <c r="E683">
        <v>2025</v>
      </c>
      <c r="F683">
        <v>1</v>
      </c>
      <c r="G683" t="s">
        <v>144</v>
      </c>
      <c r="H683" t="s">
        <v>145</v>
      </c>
      <c r="I683" t="s">
        <v>146</v>
      </c>
      <c r="J683" s="15">
        <v>9205.66</v>
      </c>
      <c r="K683" s="15">
        <v>0</v>
      </c>
      <c r="L683" s="15">
        <f t="shared" si="50"/>
        <v>9205.66</v>
      </c>
      <c r="M683" t="s">
        <v>147</v>
      </c>
      <c r="N683" t="s">
        <v>1543</v>
      </c>
      <c r="O683" t="s">
        <v>149</v>
      </c>
      <c r="P683" t="s">
        <v>150</v>
      </c>
      <c r="Q683" t="s">
        <v>128</v>
      </c>
      <c r="R683" s="16">
        <v>45679.427083333299</v>
      </c>
      <c r="S683" t="s">
        <v>130</v>
      </c>
      <c r="V683" t="b">
        <f t="shared" si="51"/>
        <v>0</v>
      </c>
      <c r="W683" t="b">
        <f>AND(OR(WEEKDAY(C683,2)=5,WEEKDAY(C683,2)=6),'01_Parameters'!$C$11="Enabled")</f>
        <v>0</v>
      </c>
      <c r="X683" t="b">
        <f t="shared" si="52"/>
        <v>0</v>
      </c>
      <c r="Y683" t="b">
        <f t="shared" si="53"/>
        <v>0</v>
      </c>
      <c r="Z683" t="b">
        <f t="shared" si="54"/>
        <v>0</v>
      </c>
    </row>
    <row r="684" spans="1:26" ht="15" customHeight="1">
      <c r="A684" t="s">
        <v>1541</v>
      </c>
      <c r="B684" t="s">
        <v>1544</v>
      </c>
      <c r="C684" s="14">
        <v>45679</v>
      </c>
      <c r="D684" s="14">
        <v>45676</v>
      </c>
      <c r="E684">
        <v>2025</v>
      </c>
      <c r="F684">
        <v>1</v>
      </c>
      <c r="G684" t="s">
        <v>153</v>
      </c>
      <c r="H684" t="s">
        <v>154</v>
      </c>
      <c r="I684" t="s">
        <v>155</v>
      </c>
      <c r="J684" s="15">
        <v>0</v>
      </c>
      <c r="K684" s="15">
        <v>9205.66</v>
      </c>
      <c r="L684" s="15">
        <f t="shared" si="50"/>
        <v>-9205.66</v>
      </c>
      <c r="M684" t="s">
        <v>147</v>
      </c>
      <c r="N684" t="s">
        <v>1543</v>
      </c>
      <c r="O684" t="s">
        <v>149</v>
      </c>
      <c r="P684" t="s">
        <v>150</v>
      </c>
      <c r="Q684" t="s">
        <v>128</v>
      </c>
      <c r="R684" s="16">
        <v>45679.427083333299</v>
      </c>
      <c r="S684" t="s">
        <v>130</v>
      </c>
      <c r="V684" t="b">
        <f t="shared" si="51"/>
        <v>0</v>
      </c>
      <c r="W684" t="b">
        <f>AND(OR(WEEKDAY(C684,2)=5,WEEKDAY(C684,2)=6),'01_Parameters'!$C$11="Enabled")</f>
        <v>0</v>
      </c>
      <c r="X684" t="b">
        <f t="shared" si="52"/>
        <v>0</v>
      </c>
      <c r="Y684" t="b">
        <f t="shared" si="53"/>
        <v>0</v>
      </c>
      <c r="Z684" t="b">
        <f t="shared" si="54"/>
        <v>0</v>
      </c>
    </row>
    <row r="685" spans="1:26" ht="15" customHeight="1">
      <c r="A685" t="s">
        <v>1545</v>
      </c>
      <c r="B685" t="s">
        <v>1546</v>
      </c>
      <c r="C685" s="14">
        <v>45954</v>
      </c>
      <c r="D685" s="14">
        <v>45953</v>
      </c>
      <c r="E685">
        <v>2025</v>
      </c>
      <c r="F685">
        <v>10</v>
      </c>
      <c r="G685" t="s">
        <v>179</v>
      </c>
      <c r="H685" t="s">
        <v>180</v>
      </c>
      <c r="I685" t="s">
        <v>124</v>
      </c>
      <c r="J685" s="15">
        <v>20859.28</v>
      </c>
      <c r="K685" s="15">
        <v>0</v>
      </c>
      <c r="L685" s="15">
        <f t="shared" si="50"/>
        <v>20859.28</v>
      </c>
      <c r="M685" t="s">
        <v>181</v>
      </c>
      <c r="N685" t="s">
        <v>1547</v>
      </c>
      <c r="O685" t="s">
        <v>183</v>
      </c>
      <c r="P685" t="s">
        <v>129</v>
      </c>
      <c r="Q685" t="s">
        <v>150</v>
      </c>
      <c r="R685" s="16">
        <v>45954.364583333299</v>
      </c>
      <c r="S685" t="s">
        <v>130</v>
      </c>
      <c r="V685" t="b">
        <f t="shared" si="51"/>
        <v>0</v>
      </c>
      <c r="W685" t="b">
        <f>AND(OR(WEEKDAY(C685,2)=5,WEEKDAY(C685,2)=6),'01_Parameters'!$C$11="Enabled")</f>
        <v>1</v>
      </c>
      <c r="X685" t="b">
        <f t="shared" si="52"/>
        <v>0</v>
      </c>
      <c r="Y685" t="b">
        <f t="shared" si="53"/>
        <v>0</v>
      </c>
      <c r="Z685" t="b">
        <f t="shared" si="54"/>
        <v>0</v>
      </c>
    </row>
    <row r="686" spans="1:26" ht="15" customHeight="1">
      <c r="A686" t="s">
        <v>1545</v>
      </c>
      <c r="B686" t="s">
        <v>1548</v>
      </c>
      <c r="C686" s="14">
        <v>45954</v>
      </c>
      <c r="D686" s="14">
        <v>45953</v>
      </c>
      <c r="E686">
        <v>2025</v>
      </c>
      <c r="F686">
        <v>10</v>
      </c>
      <c r="G686" t="s">
        <v>185</v>
      </c>
      <c r="H686" t="s">
        <v>186</v>
      </c>
      <c r="I686" t="s">
        <v>134</v>
      </c>
      <c r="J686" s="15">
        <v>0</v>
      </c>
      <c r="K686" s="15">
        <v>20859.28</v>
      </c>
      <c r="L686" s="15">
        <f t="shared" si="50"/>
        <v>-20859.28</v>
      </c>
      <c r="M686" t="s">
        <v>181</v>
      </c>
      <c r="N686" t="s">
        <v>1547</v>
      </c>
      <c r="O686" t="s">
        <v>183</v>
      </c>
      <c r="P686" t="s">
        <v>129</v>
      </c>
      <c r="Q686" t="s">
        <v>150</v>
      </c>
      <c r="R686" s="16">
        <v>45954.364583333299</v>
      </c>
      <c r="S686" t="s">
        <v>130</v>
      </c>
      <c r="V686" t="b">
        <f t="shared" si="51"/>
        <v>0</v>
      </c>
      <c r="W686" t="b">
        <f>AND(OR(WEEKDAY(C686,2)=5,WEEKDAY(C686,2)=6),'01_Parameters'!$C$11="Enabled")</f>
        <v>1</v>
      </c>
      <c r="X686" t="b">
        <f t="shared" si="52"/>
        <v>0</v>
      </c>
      <c r="Y686" t="b">
        <f t="shared" si="53"/>
        <v>0</v>
      </c>
      <c r="Z686" t="b">
        <f t="shared" si="54"/>
        <v>0</v>
      </c>
    </row>
    <row r="687" spans="1:26" ht="15" customHeight="1">
      <c r="A687" t="s">
        <v>1549</v>
      </c>
      <c r="B687" t="s">
        <v>1550</v>
      </c>
      <c r="C687" s="14">
        <v>45746</v>
      </c>
      <c r="D687" s="14">
        <v>45745</v>
      </c>
      <c r="E687">
        <v>2025</v>
      </c>
      <c r="F687">
        <v>3</v>
      </c>
      <c r="G687" t="s">
        <v>193</v>
      </c>
      <c r="H687" t="s">
        <v>194</v>
      </c>
      <c r="I687" t="s">
        <v>124</v>
      </c>
      <c r="J687" s="15">
        <v>46900.44</v>
      </c>
      <c r="K687" s="15">
        <v>0</v>
      </c>
      <c r="L687" s="15">
        <f t="shared" si="50"/>
        <v>46900.44</v>
      </c>
      <c r="M687" t="s">
        <v>195</v>
      </c>
      <c r="N687" t="s">
        <v>1551</v>
      </c>
      <c r="O687" t="s">
        <v>197</v>
      </c>
      <c r="P687" t="s">
        <v>151</v>
      </c>
      <c r="Q687" t="s">
        <v>129</v>
      </c>
      <c r="R687" s="16">
        <v>45746.4375</v>
      </c>
      <c r="S687" t="s">
        <v>130</v>
      </c>
      <c r="V687" t="b">
        <f t="shared" si="51"/>
        <v>0</v>
      </c>
      <c r="W687" t="b">
        <f>AND(OR(WEEKDAY(C687,2)=5,WEEKDAY(C687,2)=6),'01_Parameters'!$C$11="Enabled")</f>
        <v>0</v>
      </c>
      <c r="X687" t="b">
        <f t="shared" si="52"/>
        <v>0</v>
      </c>
      <c r="Y687" t="b">
        <f t="shared" si="53"/>
        <v>0</v>
      </c>
      <c r="Z687" t="b">
        <f t="shared" si="54"/>
        <v>0</v>
      </c>
    </row>
    <row r="688" spans="1:26" ht="15" customHeight="1">
      <c r="A688" t="s">
        <v>1549</v>
      </c>
      <c r="B688" t="s">
        <v>1552</v>
      </c>
      <c r="C688" s="14">
        <v>45746</v>
      </c>
      <c r="D688" s="14">
        <v>45745</v>
      </c>
      <c r="E688">
        <v>2025</v>
      </c>
      <c r="F688">
        <v>3</v>
      </c>
      <c r="G688" t="s">
        <v>199</v>
      </c>
      <c r="H688" t="s">
        <v>200</v>
      </c>
      <c r="I688" t="s">
        <v>146</v>
      </c>
      <c r="J688" s="15">
        <v>0</v>
      </c>
      <c r="K688" s="15">
        <v>46900.44</v>
      </c>
      <c r="L688" s="15">
        <f t="shared" si="50"/>
        <v>-46900.44</v>
      </c>
      <c r="M688" t="s">
        <v>195</v>
      </c>
      <c r="N688" t="s">
        <v>1551</v>
      </c>
      <c r="O688" t="s">
        <v>197</v>
      </c>
      <c r="P688" t="s">
        <v>151</v>
      </c>
      <c r="Q688" t="s">
        <v>129</v>
      </c>
      <c r="R688" s="16">
        <v>45746.4375</v>
      </c>
      <c r="S688" t="s">
        <v>130</v>
      </c>
      <c r="V688" t="b">
        <f t="shared" si="51"/>
        <v>0</v>
      </c>
      <c r="W688" t="b">
        <f>AND(OR(WEEKDAY(C688,2)=5,WEEKDAY(C688,2)=6),'01_Parameters'!$C$11="Enabled")</f>
        <v>0</v>
      </c>
      <c r="X688" t="b">
        <f t="shared" si="52"/>
        <v>0</v>
      </c>
      <c r="Y688" t="b">
        <f t="shared" si="53"/>
        <v>0</v>
      </c>
      <c r="Z688" t="b">
        <f t="shared" si="54"/>
        <v>0</v>
      </c>
    </row>
    <row r="689" spans="1:26" ht="15" customHeight="1">
      <c r="A689" t="s">
        <v>1553</v>
      </c>
      <c r="B689" t="s">
        <v>1554</v>
      </c>
      <c r="C689" s="14">
        <v>45953</v>
      </c>
      <c r="D689" s="14">
        <v>45948</v>
      </c>
      <c r="E689">
        <v>2025</v>
      </c>
      <c r="F689">
        <v>10</v>
      </c>
      <c r="G689" t="s">
        <v>334</v>
      </c>
      <c r="H689" t="s">
        <v>335</v>
      </c>
      <c r="I689" t="s">
        <v>124</v>
      </c>
      <c r="J689" s="15">
        <v>163481.57999999999</v>
      </c>
      <c r="K689" s="15">
        <v>0</v>
      </c>
      <c r="L689" s="15">
        <f t="shared" si="50"/>
        <v>163481.57999999999</v>
      </c>
      <c r="M689" t="s">
        <v>125</v>
      </c>
      <c r="N689" t="s">
        <v>1555</v>
      </c>
      <c r="O689" t="s">
        <v>127</v>
      </c>
      <c r="P689" t="s">
        <v>175</v>
      </c>
      <c r="Q689" t="s">
        <v>129</v>
      </c>
      <c r="R689" s="16">
        <v>45953.40625</v>
      </c>
      <c r="S689" t="s">
        <v>130</v>
      </c>
      <c r="V689" t="b">
        <f t="shared" si="51"/>
        <v>0</v>
      </c>
      <c r="W689" t="b">
        <f>AND(OR(WEEKDAY(C689,2)=5,WEEKDAY(C689,2)=6),'01_Parameters'!$C$11="Enabled")</f>
        <v>0</v>
      </c>
      <c r="X689" t="b">
        <f t="shared" si="52"/>
        <v>0</v>
      </c>
      <c r="Y689" t="b">
        <f t="shared" si="53"/>
        <v>1</v>
      </c>
      <c r="Z689" t="b">
        <f t="shared" si="54"/>
        <v>0</v>
      </c>
    </row>
    <row r="690" spans="1:26" ht="15" customHeight="1">
      <c r="A690" t="s">
        <v>1553</v>
      </c>
      <c r="B690" t="s">
        <v>1556</v>
      </c>
      <c r="C690" s="14">
        <v>45953</v>
      </c>
      <c r="D690" s="14">
        <v>45948</v>
      </c>
      <c r="E690">
        <v>2025</v>
      </c>
      <c r="F690">
        <v>10</v>
      </c>
      <c r="G690" t="s">
        <v>132</v>
      </c>
      <c r="H690" t="s">
        <v>133</v>
      </c>
      <c r="I690" t="s">
        <v>134</v>
      </c>
      <c r="J690" s="15">
        <v>0</v>
      </c>
      <c r="K690" s="15">
        <v>163481.57999999999</v>
      </c>
      <c r="L690" s="15">
        <f t="shared" si="50"/>
        <v>-163481.57999999999</v>
      </c>
      <c r="M690" t="s">
        <v>125</v>
      </c>
      <c r="N690" t="s">
        <v>1555</v>
      </c>
      <c r="O690" t="s">
        <v>127</v>
      </c>
      <c r="P690" t="s">
        <v>175</v>
      </c>
      <c r="Q690" t="s">
        <v>129</v>
      </c>
      <c r="R690" s="16">
        <v>45953.40625</v>
      </c>
      <c r="S690" t="s">
        <v>130</v>
      </c>
      <c r="V690" t="b">
        <f t="shared" si="51"/>
        <v>0</v>
      </c>
      <c r="W690" t="b">
        <f>AND(OR(WEEKDAY(C690,2)=5,WEEKDAY(C690,2)=6),'01_Parameters'!$C$11="Enabled")</f>
        <v>0</v>
      </c>
      <c r="X690" t="b">
        <f t="shared" si="52"/>
        <v>0</v>
      </c>
      <c r="Y690" t="b">
        <f t="shared" si="53"/>
        <v>1</v>
      </c>
      <c r="Z690" t="b">
        <f t="shared" si="54"/>
        <v>0</v>
      </c>
    </row>
    <row r="691" spans="1:26" ht="15" customHeight="1">
      <c r="A691" t="s">
        <v>1557</v>
      </c>
      <c r="B691" t="s">
        <v>1558</v>
      </c>
      <c r="C691" s="14">
        <v>45699</v>
      </c>
      <c r="D691" s="14">
        <v>45699</v>
      </c>
      <c r="E691">
        <v>2025</v>
      </c>
      <c r="F691">
        <v>2</v>
      </c>
      <c r="G691" t="s">
        <v>137</v>
      </c>
      <c r="H691" t="s">
        <v>138</v>
      </c>
      <c r="I691" t="s">
        <v>124</v>
      </c>
      <c r="J691" s="15">
        <v>56987.61</v>
      </c>
      <c r="K691" s="15">
        <v>0</v>
      </c>
      <c r="L691" s="15">
        <f t="shared" si="50"/>
        <v>56987.61</v>
      </c>
      <c r="M691" t="s">
        <v>209</v>
      </c>
      <c r="N691" t="s">
        <v>1559</v>
      </c>
      <c r="O691" t="s">
        <v>211</v>
      </c>
      <c r="P691" t="s">
        <v>175</v>
      </c>
      <c r="Q691" t="s">
        <v>150</v>
      </c>
      <c r="R691" s="16">
        <v>45699.322916666701</v>
      </c>
      <c r="S691" t="s">
        <v>130</v>
      </c>
      <c r="T691" t="s">
        <v>440</v>
      </c>
      <c r="U691" t="s">
        <v>1559</v>
      </c>
      <c r="V691" t="b">
        <f t="shared" si="51"/>
        <v>0</v>
      </c>
      <c r="W691" t="b">
        <f>AND(OR(WEEKDAY(C691,2)=5,WEEKDAY(C691,2)=6),'01_Parameters'!$C$11="Enabled")</f>
        <v>0</v>
      </c>
      <c r="X691" t="b">
        <f t="shared" si="52"/>
        <v>1</v>
      </c>
      <c r="Y691" t="b">
        <f t="shared" si="53"/>
        <v>0</v>
      </c>
      <c r="Z691" t="b">
        <f t="shared" si="54"/>
        <v>0</v>
      </c>
    </row>
    <row r="692" spans="1:26" ht="15" customHeight="1">
      <c r="A692" t="s">
        <v>1557</v>
      </c>
      <c r="B692" t="s">
        <v>1560</v>
      </c>
      <c r="C692" s="14">
        <v>45699</v>
      </c>
      <c r="D692" s="14">
        <v>45699</v>
      </c>
      <c r="E692">
        <v>2025</v>
      </c>
      <c r="F692">
        <v>2</v>
      </c>
      <c r="G692" t="s">
        <v>132</v>
      </c>
      <c r="H692" t="s">
        <v>133</v>
      </c>
      <c r="I692" t="s">
        <v>134</v>
      </c>
      <c r="J692" s="15">
        <v>0</v>
      </c>
      <c r="K692" s="15">
        <v>56987.61</v>
      </c>
      <c r="L692" s="15">
        <f t="shared" si="50"/>
        <v>-56987.61</v>
      </c>
      <c r="M692" t="s">
        <v>209</v>
      </c>
      <c r="N692" t="s">
        <v>1559</v>
      </c>
      <c r="O692" t="s">
        <v>211</v>
      </c>
      <c r="P692" t="s">
        <v>175</v>
      </c>
      <c r="Q692" t="s">
        <v>150</v>
      </c>
      <c r="R692" s="16">
        <v>45699.322916666701</v>
      </c>
      <c r="S692" t="s">
        <v>130</v>
      </c>
      <c r="T692" t="s">
        <v>440</v>
      </c>
      <c r="U692" t="s">
        <v>1559</v>
      </c>
      <c r="V692" t="b">
        <f t="shared" si="51"/>
        <v>0</v>
      </c>
      <c r="W692" t="b">
        <f>AND(OR(WEEKDAY(C692,2)=5,WEEKDAY(C692,2)=6),'01_Parameters'!$C$11="Enabled")</f>
        <v>0</v>
      </c>
      <c r="X692" t="b">
        <f t="shared" si="52"/>
        <v>1</v>
      </c>
      <c r="Y692" t="b">
        <f t="shared" si="53"/>
        <v>0</v>
      </c>
      <c r="Z692" t="b">
        <f t="shared" si="54"/>
        <v>0</v>
      </c>
    </row>
    <row r="693" spans="1:26" ht="15" customHeight="1">
      <c r="A693" t="s">
        <v>1561</v>
      </c>
      <c r="B693" t="s">
        <v>1562</v>
      </c>
      <c r="C693" s="14">
        <v>45806</v>
      </c>
      <c r="D693" s="14">
        <v>45806</v>
      </c>
      <c r="E693">
        <v>2025</v>
      </c>
      <c r="F693">
        <v>5</v>
      </c>
      <c r="G693" t="s">
        <v>179</v>
      </c>
      <c r="H693" t="s">
        <v>180</v>
      </c>
      <c r="I693" t="s">
        <v>124</v>
      </c>
      <c r="J693" s="15">
        <v>30993.49</v>
      </c>
      <c r="K693" s="15">
        <v>0</v>
      </c>
      <c r="L693" s="15">
        <f t="shared" si="50"/>
        <v>30993.49</v>
      </c>
      <c r="M693" t="s">
        <v>181</v>
      </c>
      <c r="N693" t="s">
        <v>1563</v>
      </c>
      <c r="O693" t="s">
        <v>183</v>
      </c>
      <c r="P693" t="s">
        <v>151</v>
      </c>
      <c r="Q693" t="s">
        <v>128</v>
      </c>
      <c r="R693" s="16">
        <v>45806.729166666701</v>
      </c>
      <c r="S693" t="s">
        <v>130</v>
      </c>
      <c r="V693" t="b">
        <f t="shared" si="51"/>
        <v>0</v>
      </c>
      <c r="W693" t="b">
        <f>AND(OR(WEEKDAY(C693,2)=5,WEEKDAY(C693,2)=6),'01_Parameters'!$C$11="Enabled")</f>
        <v>0</v>
      </c>
      <c r="X693" t="b">
        <f t="shared" si="52"/>
        <v>0</v>
      </c>
      <c r="Y693" t="b">
        <f t="shared" si="53"/>
        <v>0</v>
      </c>
      <c r="Z693" t="b">
        <f t="shared" si="54"/>
        <v>0</v>
      </c>
    </row>
    <row r="694" spans="1:26" ht="15" customHeight="1">
      <c r="A694" t="s">
        <v>1561</v>
      </c>
      <c r="B694" t="s">
        <v>1564</v>
      </c>
      <c r="C694" s="14">
        <v>45806</v>
      </c>
      <c r="D694" s="14">
        <v>45806</v>
      </c>
      <c r="E694">
        <v>2025</v>
      </c>
      <c r="F694">
        <v>5</v>
      </c>
      <c r="G694" t="s">
        <v>185</v>
      </c>
      <c r="H694" t="s">
        <v>186</v>
      </c>
      <c r="I694" t="s">
        <v>134</v>
      </c>
      <c r="J694" s="15">
        <v>0</v>
      </c>
      <c r="K694" s="15">
        <v>30993.49</v>
      </c>
      <c r="L694" s="15">
        <f t="shared" si="50"/>
        <v>-30993.49</v>
      </c>
      <c r="M694" t="s">
        <v>181</v>
      </c>
      <c r="N694" t="s">
        <v>1563</v>
      </c>
      <c r="O694" t="s">
        <v>183</v>
      </c>
      <c r="P694" t="s">
        <v>151</v>
      </c>
      <c r="Q694" t="s">
        <v>128</v>
      </c>
      <c r="R694" s="16">
        <v>45806.729166666701</v>
      </c>
      <c r="S694" t="s">
        <v>130</v>
      </c>
      <c r="V694" t="b">
        <f t="shared" si="51"/>
        <v>0</v>
      </c>
      <c r="W694" t="b">
        <f>AND(OR(WEEKDAY(C694,2)=5,WEEKDAY(C694,2)=6),'01_Parameters'!$C$11="Enabled")</f>
        <v>0</v>
      </c>
      <c r="X694" t="b">
        <f t="shared" si="52"/>
        <v>0</v>
      </c>
      <c r="Y694" t="b">
        <f t="shared" si="53"/>
        <v>0</v>
      </c>
      <c r="Z694" t="b">
        <f t="shared" si="54"/>
        <v>0</v>
      </c>
    </row>
    <row r="695" spans="1:26" ht="15" customHeight="1">
      <c r="A695" t="s">
        <v>1565</v>
      </c>
      <c r="B695" t="s">
        <v>1566</v>
      </c>
      <c r="C695" s="14">
        <v>45994</v>
      </c>
      <c r="D695" s="14">
        <v>45989</v>
      </c>
      <c r="E695">
        <v>2025</v>
      </c>
      <c r="F695">
        <v>12</v>
      </c>
      <c r="G695" t="s">
        <v>122</v>
      </c>
      <c r="H695" t="s">
        <v>123</v>
      </c>
      <c r="I695" t="s">
        <v>124</v>
      </c>
      <c r="J695" s="15">
        <v>43977.45</v>
      </c>
      <c r="K695" s="15">
        <v>0</v>
      </c>
      <c r="L695" s="15">
        <f t="shared" si="50"/>
        <v>43977.45</v>
      </c>
      <c r="M695" t="s">
        <v>125</v>
      </c>
      <c r="N695" t="s">
        <v>1567</v>
      </c>
      <c r="O695" t="s">
        <v>127</v>
      </c>
      <c r="P695" t="s">
        <v>151</v>
      </c>
      <c r="Q695" t="s">
        <v>150</v>
      </c>
      <c r="R695" s="16">
        <v>45994.822916666701</v>
      </c>
      <c r="S695" t="s">
        <v>130</v>
      </c>
      <c r="V695" t="b">
        <f t="shared" si="51"/>
        <v>0</v>
      </c>
      <c r="W695" t="b">
        <f>AND(OR(WEEKDAY(C695,2)=5,WEEKDAY(C695,2)=6),'01_Parameters'!$C$11="Enabled")</f>
        <v>0</v>
      </c>
      <c r="X695" t="b">
        <f t="shared" si="52"/>
        <v>1</v>
      </c>
      <c r="Y695" t="b">
        <f t="shared" si="53"/>
        <v>0</v>
      </c>
      <c r="Z695" t="b">
        <f t="shared" si="54"/>
        <v>0</v>
      </c>
    </row>
    <row r="696" spans="1:26" ht="15" customHeight="1">
      <c r="A696" t="s">
        <v>1565</v>
      </c>
      <c r="B696" t="s">
        <v>1568</v>
      </c>
      <c r="C696" s="14">
        <v>45994</v>
      </c>
      <c r="D696" s="14">
        <v>45989</v>
      </c>
      <c r="E696">
        <v>2025</v>
      </c>
      <c r="F696">
        <v>12</v>
      </c>
      <c r="G696" t="s">
        <v>132</v>
      </c>
      <c r="H696" t="s">
        <v>133</v>
      </c>
      <c r="I696" t="s">
        <v>134</v>
      </c>
      <c r="J696" s="15">
        <v>0</v>
      </c>
      <c r="K696" s="15">
        <v>43977.45</v>
      </c>
      <c r="L696" s="15">
        <f t="shared" si="50"/>
        <v>-43977.45</v>
      </c>
      <c r="M696" t="s">
        <v>125</v>
      </c>
      <c r="N696" t="s">
        <v>1567</v>
      </c>
      <c r="O696" t="s">
        <v>127</v>
      </c>
      <c r="P696" t="s">
        <v>151</v>
      </c>
      <c r="Q696" t="s">
        <v>150</v>
      </c>
      <c r="R696" s="16">
        <v>45994.822916666701</v>
      </c>
      <c r="S696" t="s">
        <v>130</v>
      </c>
      <c r="V696" t="b">
        <f t="shared" si="51"/>
        <v>0</v>
      </c>
      <c r="W696" t="b">
        <f>AND(OR(WEEKDAY(C696,2)=5,WEEKDAY(C696,2)=6),'01_Parameters'!$C$11="Enabled")</f>
        <v>0</v>
      </c>
      <c r="X696" t="b">
        <f t="shared" si="52"/>
        <v>1</v>
      </c>
      <c r="Y696" t="b">
        <f t="shared" si="53"/>
        <v>0</v>
      </c>
      <c r="Z696" t="b">
        <f t="shared" si="54"/>
        <v>0</v>
      </c>
    </row>
    <row r="697" spans="1:26" ht="15" customHeight="1">
      <c r="A697" t="s">
        <v>1569</v>
      </c>
      <c r="B697" t="s">
        <v>1570</v>
      </c>
      <c r="C697" s="14">
        <v>45959</v>
      </c>
      <c r="D697" s="14">
        <v>45957</v>
      </c>
      <c r="E697">
        <v>2025</v>
      </c>
      <c r="F697">
        <v>10</v>
      </c>
      <c r="G697" t="s">
        <v>193</v>
      </c>
      <c r="H697" t="s">
        <v>194</v>
      </c>
      <c r="I697" t="s">
        <v>124</v>
      </c>
      <c r="J697" s="15">
        <v>46412.07</v>
      </c>
      <c r="K697" s="15">
        <v>0</v>
      </c>
      <c r="L697" s="15">
        <f t="shared" si="50"/>
        <v>46412.07</v>
      </c>
      <c r="M697" t="s">
        <v>195</v>
      </c>
      <c r="N697" t="s">
        <v>1571</v>
      </c>
      <c r="O697" t="s">
        <v>197</v>
      </c>
      <c r="P697" t="s">
        <v>140</v>
      </c>
      <c r="Q697" t="s">
        <v>175</v>
      </c>
      <c r="R697" s="16">
        <v>45959.729166666701</v>
      </c>
      <c r="S697" t="s">
        <v>130</v>
      </c>
      <c r="V697" t="b">
        <f t="shared" si="51"/>
        <v>0</v>
      </c>
      <c r="W697" t="b">
        <f>AND(OR(WEEKDAY(C697,2)=5,WEEKDAY(C697,2)=6),'01_Parameters'!$C$11="Enabled")</f>
        <v>0</v>
      </c>
      <c r="X697" t="b">
        <f t="shared" si="52"/>
        <v>0</v>
      </c>
      <c r="Y697" t="b">
        <f t="shared" si="53"/>
        <v>0</v>
      </c>
      <c r="Z697" t="b">
        <f t="shared" si="54"/>
        <v>0</v>
      </c>
    </row>
    <row r="698" spans="1:26" ht="15" customHeight="1">
      <c r="A698" t="s">
        <v>1569</v>
      </c>
      <c r="B698" t="s">
        <v>1572</v>
      </c>
      <c r="C698" s="14">
        <v>45959</v>
      </c>
      <c r="D698" s="14">
        <v>45957</v>
      </c>
      <c r="E698">
        <v>2025</v>
      </c>
      <c r="F698">
        <v>10</v>
      </c>
      <c r="G698" t="s">
        <v>199</v>
      </c>
      <c r="H698" t="s">
        <v>200</v>
      </c>
      <c r="I698" t="s">
        <v>146</v>
      </c>
      <c r="J698" s="15">
        <v>0</v>
      </c>
      <c r="K698" s="15">
        <v>46412.07</v>
      </c>
      <c r="L698" s="15">
        <f t="shared" si="50"/>
        <v>-46412.07</v>
      </c>
      <c r="M698" t="s">
        <v>195</v>
      </c>
      <c r="N698" t="s">
        <v>1571</v>
      </c>
      <c r="O698" t="s">
        <v>197</v>
      </c>
      <c r="P698" t="s">
        <v>140</v>
      </c>
      <c r="Q698" t="s">
        <v>175</v>
      </c>
      <c r="R698" s="16">
        <v>45959.729166666701</v>
      </c>
      <c r="S698" t="s">
        <v>130</v>
      </c>
      <c r="V698" t="b">
        <f t="shared" si="51"/>
        <v>0</v>
      </c>
      <c r="W698" t="b">
        <f>AND(OR(WEEKDAY(C698,2)=5,WEEKDAY(C698,2)=6),'01_Parameters'!$C$11="Enabled")</f>
        <v>0</v>
      </c>
      <c r="X698" t="b">
        <f t="shared" si="52"/>
        <v>0</v>
      </c>
      <c r="Y698" t="b">
        <f t="shared" si="53"/>
        <v>0</v>
      </c>
      <c r="Z698" t="b">
        <f t="shared" si="54"/>
        <v>0</v>
      </c>
    </row>
    <row r="699" spans="1:26" ht="15" customHeight="1">
      <c r="A699" t="s">
        <v>1573</v>
      </c>
      <c r="B699" t="s">
        <v>1574</v>
      </c>
      <c r="C699" s="14">
        <v>45961</v>
      </c>
      <c r="D699" s="14">
        <v>45956</v>
      </c>
      <c r="E699">
        <v>2025</v>
      </c>
      <c r="F699">
        <v>10</v>
      </c>
      <c r="G699" t="s">
        <v>158</v>
      </c>
      <c r="H699" t="s">
        <v>159</v>
      </c>
      <c r="I699" t="s">
        <v>124</v>
      </c>
      <c r="J699" s="15">
        <v>14967.55</v>
      </c>
      <c r="K699" s="15">
        <v>0</v>
      </c>
      <c r="L699" s="15">
        <f t="shared" si="50"/>
        <v>14967.55</v>
      </c>
      <c r="M699" t="s">
        <v>160</v>
      </c>
      <c r="N699" t="s">
        <v>1575</v>
      </c>
      <c r="O699" t="s">
        <v>162</v>
      </c>
      <c r="P699" t="s">
        <v>129</v>
      </c>
      <c r="Q699" t="s">
        <v>140</v>
      </c>
      <c r="R699" s="16">
        <v>45961.645833333299</v>
      </c>
      <c r="S699" t="s">
        <v>130</v>
      </c>
      <c r="V699" t="b">
        <f t="shared" si="51"/>
        <v>0</v>
      </c>
      <c r="W699" t="b">
        <f>AND(OR(WEEKDAY(C699,2)=5,WEEKDAY(C699,2)=6),'01_Parameters'!$C$11="Enabled")</f>
        <v>1</v>
      </c>
      <c r="X699" t="b">
        <f t="shared" si="52"/>
        <v>0</v>
      </c>
      <c r="Y699" t="b">
        <f t="shared" si="53"/>
        <v>0</v>
      </c>
      <c r="Z699" t="b">
        <f t="shared" si="54"/>
        <v>0</v>
      </c>
    </row>
    <row r="700" spans="1:26" ht="15" customHeight="1">
      <c r="A700" t="s">
        <v>1573</v>
      </c>
      <c r="B700" t="s">
        <v>1576</v>
      </c>
      <c r="C700" s="14">
        <v>45961</v>
      </c>
      <c r="D700" s="14">
        <v>45956</v>
      </c>
      <c r="E700">
        <v>2025</v>
      </c>
      <c r="F700">
        <v>10</v>
      </c>
      <c r="G700" t="s">
        <v>164</v>
      </c>
      <c r="H700" t="s">
        <v>165</v>
      </c>
      <c r="I700" t="s">
        <v>146</v>
      </c>
      <c r="J700" s="15">
        <v>0</v>
      </c>
      <c r="K700" s="15">
        <v>14967.55</v>
      </c>
      <c r="L700" s="15">
        <f t="shared" si="50"/>
        <v>-14967.55</v>
      </c>
      <c r="M700" t="s">
        <v>160</v>
      </c>
      <c r="N700" t="s">
        <v>1575</v>
      </c>
      <c r="O700" t="s">
        <v>162</v>
      </c>
      <c r="P700" t="s">
        <v>129</v>
      </c>
      <c r="Q700" t="s">
        <v>140</v>
      </c>
      <c r="R700" s="16">
        <v>45961.645833333299</v>
      </c>
      <c r="S700" t="s">
        <v>130</v>
      </c>
      <c r="V700" t="b">
        <f t="shared" si="51"/>
        <v>0</v>
      </c>
      <c r="W700" t="b">
        <f>AND(OR(WEEKDAY(C700,2)=5,WEEKDAY(C700,2)=6),'01_Parameters'!$C$11="Enabled")</f>
        <v>1</v>
      </c>
      <c r="X700" t="b">
        <f t="shared" si="52"/>
        <v>0</v>
      </c>
      <c r="Y700" t="b">
        <f t="shared" si="53"/>
        <v>0</v>
      </c>
      <c r="Z700" t="b">
        <f t="shared" si="54"/>
        <v>0</v>
      </c>
    </row>
    <row r="701" spans="1:26" ht="15" customHeight="1">
      <c r="A701" t="s">
        <v>1577</v>
      </c>
      <c r="B701" t="s">
        <v>1578</v>
      </c>
      <c r="C701" s="14">
        <v>45924</v>
      </c>
      <c r="D701" s="14">
        <v>45923</v>
      </c>
      <c r="E701">
        <v>2025</v>
      </c>
      <c r="F701">
        <v>9</v>
      </c>
      <c r="G701" t="s">
        <v>144</v>
      </c>
      <c r="H701" t="s">
        <v>145</v>
      </c>
      <c r="I701" t="s">
        <v>146</v>
      </c>
      <c r="J701" s="15">
        <v>17535.97</v>
      </c>
      <c r="K701" s="15">
        <v>0</v>
      </c>
      <c r="L701" s="15">
        <f t="shared" si="50"/>
        <v>17535.97</v>
      </c>
      <c r="M701" t="s">
        <v>147</v>
      </c>
      <c r="N701" t="s">
        <v>1579</v>
      </c>
      <c r="O701" t="s">
        <v>149</v>
      </c>
      <c r="P701" t="s">
        <v>151</v>
      </c>
      <c r="Q701" t="s">
        <v>129</v>
      </c>
      <c r="R701" s="16">
        <v>45924.395833333299</v>
      </c>
      <c r="S701" t="s">
        <v>130</v>
      </c>
      <c r="V701" t="b">
        <f t="shared" si="51"/>
        <v>0</v>
      </c>
      <c r="W701" t="b">
        <f>AND(OR(WEEKDAY(C701,2)=5,WEEKDAY(C701,2)=6),'01_Parameters'!$C$11="Enabled")</f>
        <v>0</v>
      </c>
      <c r="X701" t="b">
        <f t="shared" si="52"/>
        <v>0</v>
      </c>
      <c r="Y701" t="b">
        <f t="shared" si="53"/>
        <v>0</v>
      </c>
      <c r="Z701" t="b">
        <f t="shared" si="54"/>
        <v>0</v>
      </c>
    </row>
    <row r="702" spans="1:26" ht="15" customHeight="1">
      <c r="A702" t="s">
        <v>1577</v>
      </c>
      <c r="B702" t="s">
        <v>1580</v>
      </c>
      <c r="C702" s="14">
        <v>45924</v>
      </c>
      <c r="D702" s="14">
        <v>45923</v>
      </c>
      <c r="E702">
        <v>2025</v>
      </c>
      <c r="F702">
        <v>9</v>
      </c>
      <c r="G702" t="s">
        <v>153</v>
      </c>
      <c r="H702" t="s">
        <v>154</v>
      </c>
      <c r="I702" t="s">
        <v>155</v>
      </c>
      <c r="J702" s="15">
        <v>0</v>
      </c>
      <c r="K702" s="15">
        <v>17535.97</v>
      </c>
      <c r="L702" s="15">
        <f t="shared" si="50"/>
        <v>-17535.97</v>
      </c>
      <c r="M702" t="s">
        <v>147</v>
      </c>
      <c r="N702" t="s">
        <v>1579</v>
      </c>
      <c r="O702" t="s">
        <v>149</v>
      </c>
      <c r="P702" t="s">
        <v>151</v>
      </c>
      <c r="Q702" t="s">
        <v>129</v>
      </c>
      <c r="R702" s="16">
        <v>45924.395833333299</v>
      </c>
      <c r="S702" t="s">
        <v>130</v>
      </c>
      <c r="V702" t="b">
        <f t="shared" si="51"/>
        <v>0</v>
      </c>
      <c r="W702" t="b">
        <f>AND(OR(WEEKDAY(C702,2)=5,WEEKDAY(C702,2)=6),'01_Parameters'!$C$11="Enabled")</f>
        <v>0</v>
      </c>
      <c r="X702" t="b">
        <f t="shared" si="52"/>
        <v>0</v>
      </c>
      <c r="Y702" t="b">
        <f t="shared" si="53"/>
        <v>0</v>
      </c>
      <c r="Z702" t="b">
        <f t="shared" si="54"/>
        <v>0</v>
      </c>
    </row>
    <row r="703" spans="1:26" ht="15" customHeight="1">
      <c r="A703" t="s">
        <v>1581</v>
      </c>
      <c r="B703" t="s">
        <v>1582</v>
      </c>
      <c r="C703" s="14">
        <v>45911</v>
      </c>
      <c r="D703" s="14">
        <v>45911</v>
      </c>
      <c r="E703">
        <v>2025</v>
      </c>
      <c r="F703">
        <v>9</v>
      </c>
      <c r="G703" t="s">
        <v>199</v>
      </c>
      <c r="H703" t="s">
        <v>200</v>
      </c>
      <c r="I703" t="s">
        <v>146</v>
      </c>
      <c r="J703" s="15">
        <v>34494.379999999997</v>
      </c>
      <c r="K703" s="15">
        <v>0</v>
      </c>
      <c r="L703" s="15">
        <f t="shared" si="50"/>
        <v>34494.379999999997</v>
      </c>
      <c r="M703" t="s">
        <v>209</v>
      </c>
      <c r="N703" t="s">
        <v>1583</v>
      </c>
      <c r="O703" t="s">
        <v>211</v>
      </c>
      <c r="P703" t="s">
        <v>151</v>
      </c>
      <c r="Q703" t="s">
        <v>150</v>
      </c>
      <c r="R703" s="16">
        <v>45911.9375</v>
      </c>
      <c r="S703" t="s">
        <v>130</v>
      </c>
      <c r="T703" t="s">
        <v>212</v>
      </c>
      <c r="U703" t="s">
        <v>1583</v>
      </c>
      <c r="V703" t="b">
        <f t="shared" si="51"/>
        <v>0</v>
      </c>
      <c r="W703" t="b">
        <f>AND(OR(WEEKDAY(C703,2)=5,WEEKDAY(C703,2)=6),'01_Parameters'!$C$11="Enabled")</f>
        <v>0</v>
      </c>
      <c r="X703" t="b">
        <f t="shared" si="52"/>
        <v>1</v>
      </c>
      <c r="Y703" t="b">
        <f t="shared" si="53"/>
        <v>0</v>
      </c>
      <c r="Z703" t="b">
        <f t="shared" si="54"/>
        <v>0</v>
      </c>
    </row>
    <row r="704" spans="1:26" ht="15" customHeight="1">
      <c r="A704" t="s">
        <v>1581</v>
      </c>
      <c r="B704" t="s">
        <v>1584</v>
      </c>
      <c r="C704" s="14">
        <v>45911</v>
      </c>
      <c r="D704" s="14">
        <v>45911</v>
      </c>
      <c r="E704">
        <v>2025</v>
      </c>
      <c r="F704">
        <v>9</v>
      </c>
      <c r="G704" t="s">
        <v>132</v>
      </c>
      <c r="H704" t="s">
        <v>133</v>
      </c>
      <c r="I704" t="s">
        <v>134</v>
      </c>
      <c r="J704" s="15">
        <v>0</v>
      </c>
      <c r="K704" s="15">
        <v>34494.379999999997</v>
      </c>
      <c r="L704" s="15">
        <f t="shared" si="50"/>
        <v>-34494.379999999997</v>
      </c>
      <c r="M704" t="s">
        <v>209</v>
      </c>
      <c r="N704" t="s">
        <v>1583</v>
      </c>
      <c r="O704" t="s">
        <v>211</v>
      </c>
      <c r="P704" t="s">
        <v>151</v>
      </c>
      <c r="Q704" t="s">
        <v>150</v>
      </c>
      <c r="R704" s="16">
        <v>45911.9375</v>
      </c>
      <c r="S704" t="s">
        <v>130</v>
      </c>
      <c r="T704" t="s">
        <v>212</v>
      </c>
      <c r="U704" t="s">
        <v>1583</v>
      </c>
      <c r="V704" t="b">
        <f t="shared" si="51"/>
        <v>0</v>
      </c>
      <c r="W704" t="b">
        <f>AND(OR(WEEKDAY(C704,2)=5,WEEKDAY(C704,2)=6),'01_Parameters'!$C$11="Enabled")</f>
        <v>0</v>
      </c>
      <c r="X704" t="b">
        <f t="shared" si="52"/>
        <v>1</v>
      </c>
      <c r="Y704" t="b">
        <f t="shared" si="53"/>
        <v>0</v>
      </c>
      <c r="Z704" t="b">
        <f t="shared" si="54"/>
        <v>0</v>
      </c>
    </row>
    <row r="705" spans="1:26" ht="15" customHeight="1">
      <c r="A705" t="s">
        <v>1585</v>
      </c>
      <c r="B705" t="s">
        <v>1586</v>
      </c>
      <c r="C705" s="14">
        <v>45808</v>
      </c>
      <c r="D705" s="14">
        <v>45804</v>
      </c>
      <c r="E705">
        <v>2025</v>
      </c>
      <c r="F705">
        <v>5</v>
      </c>
      <c r="G705" t="s">
        <v>199</v>
      </c>
      <c r="H705" t="s">
        <v>200</v>
      </c>
      <c r="I705" t="s">
        <v>146</v>
      </c>
      <c r="J705" s="15">
        <v>54889.78</v>
      </c>
      <c r="K705" s="15">
        <v>0</v>
      </c>
      <c r="L705" s="15">
        <f t="shared" si="50"/>
        <v>54889.78</v>
      </c>
      <c r="M705" t="s">
        <v>209</v>
      </c>
      <c r="N705" t="s">
        <v>1587</v>
      </c>
      <c r="O705" t="s">
        <v>211</v>
      </c>
      <c r="P705" t="s">
        <v>151</v>
      </c>
      <c r="Q705" t="s">
        <v>140</v>
      </c>
      <c r="R705" s="16">
        <v>45808.34375</v>
      </c>
      <c r="S705" t="s">
        <v>288</v>
      </c>
      <c r="T705" t="s">
        <v>782</v>
      </c>
      <c r="U705" t="s">
        <v>1587</v>
      </c>
      <c r="V705" t="b">
        <f t="shared" si="51"/>
        <v>0</v>
      </c>
      <c r="W705" t="b">
        <f>AND(OR(WEEKDAY(C705,2)=5,WEEKDAY(C705,2)=6),'01_Parameters'!$C$11="Enabled")</f>
        <v>1</v>
      </c>
      <c r="X705" t="b">
        <f t="shared" si="52"/>
        <v>0</v>
      </c>
      <c r="Y705" t="b">
        <f t="shared" si="53"/>
        <v>0</v>
      </c>
      <c r="Z705" t="b">
        <f t="shared" si="54"/>
        <v>0</v>
      </c>
    </row>
    <row r="706" spans="1:26" ht="15" customHeight="1">
      <c r="A706" t="s">
        <v>1585</v>
      </c>
      <c r="B706" t="s">
        <v>1588</v>
      </c>
      <c r="C706" s="14">
        <v>45808</v>
      </c>
      <c r="D706" s="14">
        <v>45804</v>
      </c>
      <c r="E706">
        <v>2025</v>
      </c>
      <c r="F706">
        <v>5</v>
      </c>
      <c r="G706" t="s">
        <v>132</v>
      </c>
      <c r="H706" t="s">
        <v>133</v>
      </c>
      <c r="I706" t="s">
        <v>134</v>
      </c>
      <c r="J706" s="15">
        <v>0</v>
      </c>
      <c r="K706" s="15">
        <v>54889.78</v>
      </c>
      <c r="L706" s="15">
        <f t="shared" si="50"/>
        <v>-54889.78</v>
      </c>
      <c r="M706" t="s">
        <v>209</v>
      </c>
      <c r="N706" t="s">
        <v>1587</v>
      </c>
      <c r="O706" t="s">
        <v>211</v>
      </c>
      <c r="P706" t="s">
        <v>151</v>
      </c>
      <c r="Q706" t="s">
        <v>140</v>
      </c>
      <c r="R706" s="16">
        <v>45808.34375</v>
      </c>
      <c r="S706" t="s">
        <v>288</v>
      </c>
      <c r="T706" t="s">
        <v>782</v>
      </c>
      <c r="U706" t="s">
        <v>1587</v>
      </c>
      <c r="V706" t="b">
        <f t="shared" si="51"/>
        <v>0</v>
      </c>
      <c r="W706" t="b">
        <f>AND(OR(WEEKDAY(C706,2)=5,WEEKDAY(C706,2)=6),'01_Parameters'!$C$11="Enabled")</f>
        <v>1</v>
      </c>
      <c r="X706" t="b">
        <f t="shared" si="52"/>
        <v>0</v>
      </c>
      <c r="Y706" t="b">
        <f t="shared" si="53"/>
        <v>0</v>
      </c>
      <c r="Z706" t="b">
        <f t="shared" si="54"/>
        <v>0</v>
      </c>
    </row>
    <row r="707" spans="1:26" ht="15" customHeight="1">
      <c r="A707" t="s">
        <v>1589</v>
      </c>
      <c r="B707" t="s">
        <v>1590</v>
      </c>
      <c r="C707" s="14">
        <v>45696</v>
      </c>
      <c r="D707" s="14">
        <v>45694</v>
      </c>
      <c r="E707">
        <v>2025</v>
      </c>
      <c r="F707">
        <v>2</v>
      </c>
      <c r="G707" t="s">
        <v>137</v>
      </c>
      <c r="H707" t="s">
        <v>138</v>
      </c>
      <c r="I707" t="s">
        <v>124</v>
      </c>
      <c r="J707" s="15">
        <v>31206.79</v>
      </c>
      <c r="K707" s="15">
        <v>0</v>
      </c>
      <c r="L707" s="15">
        <f t="shared" si="50"/>
        <v>31206.79</v>
      </c>
      <c r="M707" t="s">
        <v>209</v>
      </c>
      <c r="N707" t="s">
        <v>1591</v>
      </c>
      <c r="O707" t="s">
        <v>211</v>
      </c>
      <c r="P707" t="s">
        <v>129</v>
      </c>
      <c r="Q707" t="s">
        <v>150</v>
      </c>
      <c r="R707" s="16">
        <v>45696.802083333299</v>
      </c>
      <c r="S707" t="s">
        <v>130</v>
      </c>
      <c r="T707" t="s">
        <v>251</v>
      </c>
      <c r="U707" t="s">
        <v>1591</v>
      </c>
      <c r="V707" t="b">
        <f t="shared" si="51"/>
        <v>0</v>
      </c>
      <c r="W707" t="b">
        <f>AND(OR(WEEKDAY(C707,2)=5,WEEKDAY(C707,2)=6),'01_Parameters'!$C$11="Enabled")</f>
        <v>1</v>
      </c>
      <c r="X707" t="b">
        <f t="shared" si="52"/>
        <v>1</v>
      </c>
      <c r="Y707" t="b">
        <f t="shared" si="53"/>
        <v>0</v>
      </c>
      <c r="Z707" t="b">
        <f t="shared" si="54"/>
        <v>0</v>
      </c>
    </row>
    <row r="708" spans="1:26" ht="15" customHeight="1">
      <c r="A708" t="s">
        <v>1589</v>
      </c>
      <c r="B708" t="s">
        <v>1592</v>
      </c>
      <c r="C708" s="14">
        <v>45696</v>
      </c>
      <c r="D708" s="14">
        <v>45694</v>
      </c>
      <c r="E708">
        <v>2025</v>
      </c>
      <c r="F708">
        <v>2</v>
      </c>
      <c r="G708" t="s">
        <v>132</v>
      </c>
      <c r="H708" t="s">
        <v>133</v>
      </c>
      <c r="I708" t="s">
        <v>134</v>
      </c>
      <c r="J708" s="15">
        <v>0</v>
      </c>
      <c r="K708" s="15">
        <v>31206.79</v>
      </c>
      <c r="L708" s="15">
        <f t="shared" si="50"/>
        <v>-31206.79</v>
      </c>
      <c r="M708" t="s">
        <v>209</v>
      </c>
      <c r="N708" t="s">
        <v>1591</v>
      </c>
      <c r="O708" t="s">
        <v>211</v>
      </c>
      <c r="P708" t="s">
        <v>129</v>
      </c>
      <c r="Q708" t="s">
        <v>150</v>
      </c>
      <c r="R708" s="16">
        <v>45696.802083333299</v>
      </c>
      <c r="S708" t="s">
        <v>130</v>
      </c>
      <c r="T708" t="s">
        <v>251</v>
      </c>
      <c r="U708" t="s">
        <v>1591</v>
      </c>
      <c r="V708" t="b">
        <f t="shared" si="51"/>
        <v>0</v>
      </c>
      <c r="W708" t="b">
        <f>AND(OR(WEEKDAY(C708,2)=5,WEEKDAY(C708,2)=6),'01_Parameters'!$C$11="Enabled")</f>
        <v>1</v>
      </c>
      <c r="X708" t="b">
        <f t="shared" si="52"/>
        <v>1</v>
      </c>
      <c r="Y708" t="b">
        <f t="shared" si="53"/>
        <v>0</v>
      </c>
      <c r="Z708" t="b">
        <f t="shared" si="54"/>
        <v>0</v>
      </c>
    </row>
    <row r="709" spans="1:26" ht="15" customHeight="1">
      <c r="A709" t="s">
        <v>1593</v>
      </c>
      <c r="B709" t="s">
        <v>1594</v>
      </c>
      <c r="C709" s="14">
        <v>45753</v>
      </c>
      <c r="D709" s="14">
        <v>45753</v>
      </c>
      <c r="E709">
        <v>2025</v>
      </c>
      <c r="F709">
        <v>4</v>
      </c>
      <c r="G709" t="s">
        <v>158</v>
      </c>
      <c r="H709" t="s">
        <v>159</v>
      </c>
      <c r="I709" t="s">
        <v>124</v>
      </c>
      <c r="J709" s="15">
        <v>61274.21</v>
      </c>
      <c r="K709" s="15">
        <v>0</v>
      </c>
      <c r="L709" s="15">
        <f t="shared" ref="L709:L772" si="55">J709-K709</f>
        <v>61274.21</v>
      </c>
      <c r="M709" t="s">
        <v>160</v>
      </c>
      <c r="N709" t="s">
        <v>1595</v>
      </c>
      <c r="O709" t="s">
        <v>162</v>
      </c>
      <c r="P709" t="s">
        <v>128</v>
      </c>
      <c r="Q709" t="s">
        <v>175</v>
      </c>
      <c r="R709" s="16">
        <v>45753.416666666701</v>
      </c>
      <c r="S709" t="s">
        <v>130</v>
      </c>
      <c r="V709" t="b">
        <f t="shared" ref="V709:V772" si="56">AND(C709&gt;=Year_End_Window_Start,C709&lt;=Year_End_Window_End)</f>
        <v>0</v>
      </c>
      <c r="W709" t="b">
        <f>AND(OR(WEEKDAY(C709,2)=5,WEEKDAY(C709,2)=6),'01_Parameters'!$C$11="Enabled")</f>
        <v>0</v>
      </c>
      <c r="X709" t="b">
        <f t="shared" ref="X709:X772" si="57">AND(HOUR(R709)&lt;Business_Day_Start,HOUR(R709)&gt;=0)+AND(HOUR(R709)&gt;=Business_Day_End,HOUR(R709)&lt;=23)&gt;0</f>
        <v>0</v>
      </c>
      <c r="Y709" t="b">
        <f t="shared" ref="Y709:Y772" si="58">ABS(L709)&gt;High_Value_GL_Threshold</f>
        <v>0</v>
      </c>
      <c r="Z709" t="b">
        <f t="shared" ref="Z709:Z772" si="59">AND(ABS(L709)&gt;=Round_Number_Threshold,MOD(ABS(L709),Round_Number_Threshold)=0)</f>
        <v>0</v>
      </c>
    </row>
    <row r="710" spans="1:26" ht="15" customHeight="1">
      <c r="A710" t="s">
        <v>1593</v>
      </c>
      <c r="B710" t="s">
        <v>1596</v>
      </c>
      <c r="C710" s="14">
        <v>45753</v>
      </c>
      <c r="D710" s="14">
        <v>45753</v>
      </c>
      <c r="E710">
        <v>2025</v>
      </c>
      <c r="F710">
        <v>4</v>
      </c>
      <c r="G710" t="s">
        <v>164</v>
      </c>
      <c r="H710" t="s">
        <v>165</v>
      </c>
      <c r="I710" t="s">
        <v>146</v>
      </c>
      <c r="J710" s="15">
        <v>0</v>
      </c>
      <c r="K710" s="15">
        <v>61274.21</v>
      </c>
      <c r="L710" s="15">
        <f t="shared" si="55"/>
        <v>-61274.21</v>
      </c>
      <c r="M710" t="s">
        <v>160</v>
      </c>
      <c r="N710" t="s">
        <v>1595</v>
      </c>
      <c r="O710" t="s">
        <v>162</v>
      </c>
      <c r="P710" t="s">
        <v>128</v>
      </c>
      <c r="Q710" t="s">
        <v>175</v>
      </c>
      <c r="R710" s="16">
        <v>45753.416666666701</v>
      </c>
      <c r="S710" t="s">
        <v>130</v>
      </c>
      <c r="V710" t="b">
        <f t="shared" si="56"/>
        <v>0</v>
      </c>
      <c r="W710" t="b">
        <f>AND(OR(WEEKDAY(C710,2)=5,WEEKDAY(C710,2)=6),'01_Parameters'!$C$11="Enabled")</f>
        <v>0</v>
      </c>
      <c r="X710" t="b">
        <f t="shared" si="57"/>
        <v>0</v>
      </c>
      <c r="Y710" t="b">
        <f t="shared" si="58"/>
        <v>0</v>
      </c>
      <c r="Z710" t="b">
        <f t="shared" si="59"/>
        <v>0</v>
      </c>
    </row>
    <row r="711" spans="1:26" ht="15" customHeight="1">
      <c r="A711" t="s">
        <v>1597</v>
      </c>
      <c r="B711" t="s">
        <v>1598</v>
      </c>
      <c r="C711" s="14">
        <v>45807</v>
      </c>
      <c r="D711" s="14">
        <v>45804</v>
      </c>
      <c r="E711">
        <v>2025</v>
      </c>
      <c r="F711">
        <v>5</v>
      </c>
      <c r="G711" t="s">
        <v>137</v>
      </c>
      <c r="H711" t="s">
        <v>138</v>
      </c>
      <c r="I711" t="s">
        <v>124</v>
      </c>
      <c r="J711" s="15">
        <v>61513.04</v>
      </c>
      <c r="K711" s="15">
        <v>0</v>
      </c>
      <c r="L711" s="15">
        <f t="shared" si="55"/>
        <v>61513.04</v>
      </c>
      <c r="M711" t="s">
        <v>209</v>
      </c>
      <c r="N711" t="s">
        <v>1599</v>
      </c>
      <c r="O711" t="s">
        <v>211</v>
      </c>
      <c r="P711" t="s">
        <v>128</v>
      </c>
      <c r="Q711" t="s">
        <v>150</v>
      </c>
      <c r="R711" s="16">
        <v>45807.65625</v>
      </c>
      <c r="S711" t="s">
        <v>130</v>
      </c>
      <c r="T711" t="s">
        <v>440</v>
      </c>
      <c r="U711" t="s">
        <v>1599</v>
      </c>
      <c r="V711" t="b">
        <f t="shared" si="56"/>
        <v>0</v>
      </c>
      <c r="W711" t="b">
        <f>AND(OR(WEEKDAY(C711,2)=5,WEEKDAY(C711,2)=6),'01_Parameters'!$C$11="Enabled")</f>
        <v>1</v>
      </c>
      <c r="X711" t="b">
        <f t="shared" si="57"/>
        <v>0</v>
      </c>
      <c r="Y711" t="b">
        <f t="shared" si="58"/>
        <v>0</v>
      </c>
      <c r="Z711" t="b">
        <f t="shared" si="59"/>
        <v>0</v>
      </c>
    </row>
    <row r="712" spans="1:26" ht="15" customHeight="1">
      <c r="A712" t="s">
        <v>1597</v>
      </c>
      <c r="B712" t="s">
        <v>1600</v>
      </c>
      <c r="C712" s="14">
        <v>45807</v>
      </c>
      <c r="D712" s="14">
        <v>45804</v>
      </c>
      <c r="E712">
        <v>2025</v>
      </c>
      <c r="F712">
        <v>5</v>
      </c>
      <c r="G712" t="s">
        <v>132</v>
      </c>
      <c r="H712" t="s">
        <v>133</v>
      </c>
      <c r="I712" t="s">
        <v>134</v>
      </c>
      <c r="J712" s="15">
        <v>0</v>
      </c>
      <c r="K712" s="15">
        <v>61513.04</v>
      </c>
      <c r="L712" s="15">
        <f t="shared" si="55"/>
        <v>-61513.04</v>
      </c>
      <c r="M712" t="s">
        <v>209</v>
      </c>
      <c r="N712" t="s">
        <v>1599</v>
      </c>
      <c r="O712" t="s">
        <v>211</v>
      </c>
      <c r="P712" t="s">
        <v>128</v>
      </c>
      <c r="Q712" t="s">
        <v>150</v>
      </c>
      <c r="R712" s="16">
        <v>45807.65625</v>
      </c>
      <c r="S712" t="s">
        <v>130</v>
      </c>
      <c r="T712" t="s">
        <v>440</v>
      </c>
      <c r="U712" t="s">
        <v>1599</v>
      </c>
      <c r="V712" t="b">
        <f t="shared" si="56"/>
        <v>0</v>
      </c>
      <c r="W712" t="b">
        <f>AND(OR(WEEKDAY(C712,2)=5,WEEKDAY(C712,2)=6),'01_Parameters'!$C$11="Enabled")</f>
        <v>1</v>
      </c>
      <c r="X712" t="b">
        <f t="shared" si="57"/>
        <v>0</v>
      </c>
      <c r="Y712" t="b">
        <f t="shared" si="58"/>
        <v>0</v>
      </c>
      <c r="Z712" t="b">
        <f t="shared" si="59"/>
        <v>0</v>
      </c>
    </row>
    <row r="713" spans="1:26" ht="15" customHeight="1">
      <c r="A713" t="s">
        <v>1601</v>
      </c>
      <c r="B713" t="s">
        <v>1602</v>
      </c>
      <c r="C713" s="14">
        <v>45989</v>
      </c>
      <c r="D713" s="14">
        <v>45986</v>
      </c>
      <c r="E713">
        <v>2025</v>
      </c>
      <c r="F713">
        <v>11</v>
      </c>
      <c r="G713" t="s">
        <v>137</v>
      </c>
      <c r="H713" t="s">
        <v>138</v>
      </c>
      <c r="I713" t="s">
        <v>124</v>
      </c>
      <c r="J713" s="15">
        <v>42930.36</v>
      </c>
      <c r="K713" s="15">
        <v>0</v>
      </c>
      <c r="L713" s="15">
        <f t="shared" si="55"/>
        <v>42930.36</v>
      </c>
      <c r="M713" t="s">
        <v>125</v>
      </c>
      <c r="N713" t="s">
        <v>1603</v>
      </c>
      <c r="O713" t="s">
        <v>127</v>
      </c>
      <c r="P713" t="s">
        <v>129</v>
      </c>
      <c r="Q713" t="s">
        <v>128</v>
      </c>
      <c r="R713" s="16">
        <v>45989.666666666701</v>
      </c>
      <c r="S713" t="s">
        <v>130</v>
      </c>
      <c r="V713" t="b">
        <f t="shared" si="56"/>
        <v>0</v>
      </c>
      <c r="W713" t="b">
        <f>AND(OR(WEEKDAY(C713,2)=5,WEEKDAY(C713,2)=6),'01_Parameters'!$C$11="Enabled")</f>
        <v>1</v>
      </c>
      <c r="X713" t="b">
        <f t="shared" si="57"/>
        <v>0</v>
      </c>
      <c r="Y713" t="b">
        <f t="shared" si="58"/>
        <v>0</v>
      </c>
      <c r="Z713" t="b">
        <f t="shared" si="59"/>
        <v>0</v>
      </c>
    </row>
    <row r="714" spans="1:26" ht="15" customHeight="1">
      <c r="A714" t="s">
        <v>1601</v>
      </c>
      <c r="B714" t="s">
        <v>1604</v>
      </c>
      <c r="C714" s="14">
        <v>45989</v>
      </c>
      <c r="D714" s="14">
        <v>45986</v>
      </c>
      <c r="E714">
        <v>2025</v>
      </c>
      <c r="F714">
        <v>11</v>
      </c>
      <c r="G714" t="s">
        <v>132</v>
      </c>
      <c r="H714" t="s">
        <v>133</v>
      </c>
      <c r="I714" t="s">
        <v>134</v>
      </c>
      <c r="J714" s="15">
        <v>0</v>
      </c>
      <c r="K714" s="15">
        <v>42930.36</v>
      </c>
      <c r="L714" s="15">
        <f t="shared" si="55"/>
        <v>-42930.36</v>
      </c>
      <c r="M714" t="s">
        <v>125</v>
      </c>
      <c r="N714" t="s">
        <v>1603</v>
      </c>
      <c r="O714" t="s">
        <v>127</v>
      </c>
      <c r="P714" t="s">
        <v>129</v>
      </c>
      <c r="Q714" t="s">
        <v>128</v>
      </c>
      <c r="R714" s="16">
        <v>45989.666666666701</v>
      </c>
      <c r="S714" t="s">
        <v>130</v>
      </c>
      <c r="V714" t="b">
        <f t="shared" si="56"/>
        <v>0</v>
      </c>
      <c r="W714" t="b">
        <f>AND(OR(WEEKDAY(C714,2)=5,WEEKDAY(C714,2)=6),'01_Parameters'!$C$11="Enabled")</f>
        <v>1</v>
      </c>
      <c r="X714" t="b">
        <f t="shared" si="57"/>
        <v>0</v>
      </c>
      <c r="Y714" t="b">
        <f t="shared" si="58"/>
        <v>0</v>
      </c>
      <c r="Z714" t="b">
        <f t="shared" si="59"/>
        <v>0</v>
      </c>
    </row>
    <row r="715" spans="1:26" ht="15" customHeight="1">
      <c r="A715" t="s">
        <v>1605</v>
      </c>
      <c r="B715" t="s">
        <v>1606</v>
      </c>
      <c r="C715" s="14">
        <v>45959</v>
      </c>
      <c r="D715" s="14">
        <v>45959</v>
      </c>
      <c r="E715">
        <v>2025</v>
      </c>
      <c r="F715">
        <v>10</v>
      </c>
      <c r="G715" t="s">
        <v>144</v>
      </c>
      <c r="H715" t="s">
        <v>145</v>
      </c>
      <c r="I715" t="s">
        <v>146</v>
      </c>
      <c r="J715" s="15">
        <v>15181.47</v>
      </c>
      <c r="K715" s="15">
        <v>0</v>
      </c>
      <c r="L715" s="15">
        <f t="shared" si="55"/>
        <v>15181.47</v>
      </c>
      <c r="M715" t="s">
        <v>147</v>
      </c>
      <c r="N715" t="s">
        <v>1607</v>
      </c>
      <c r="O715" t="s">
        <v>149</v>
      </c>
      <c r="P715" t="s">
        <v>140</v>
      </c>
      <c r="Q715" t="s">
        <v>151</v>
      </c>
      <c r="R715" s="16">
        <v>45959.864583333299</v>
      </c>
      <c r="S715" t="s">
        <v>130</v>
      </c>
      <c r="V715" t="b">
        <f t="shared" si="56"/>
        <v>0</v>
      </c>
      <c r="W715" t="b">
        <f>AND(OR(WEEKDAY(C715,2)=5,WEEKDAY(C715,2)=6),'01_Parameters'!$C$11="Enabled")</f>
        <v>0</v>
      </c>
      <c r="X715" t="b">
        <f t="shared" si="57"/>
        <v>1</v>
      </c>
      <c r="Y715" t="b">
        <f t="shared" si="58"/>
        <v>0</v>
      </c>
      <c r="Z715" t="b">
        <f t="shared" si="59"/>
        <v>0</v>
      </c>
    </row>
    <row r="716" spans="1:26" ht="15" customHeight="1">
      <c r="A716" t="s">
        <v>1605</v>
      </c>
      <c r="B716" t="s">
        <v>1608</v>
      </c>
      <c r="C716" s="14">
        <v>45959</v>
      </c>
      <c r="D716" s="14">
        <v>45959</v>
      </c>
      <c r="E716">
        <v>2025</v>
      </c>
      <c r="F716">
        <v>10</v>
      </c>
      <c r="G716" t="s">
        <v>153</v>
      </c>
      <c r="H716" t="s">
        <v>154</v>
      </c>
      <c r="I716" t="s">
        <v>155</v>
      </c>
      <c r="J716" s="15">
        <v>0</v>
      </c>
      <c r="K716" s="15">
        <v>15181.47</v>
      </c>
      <c r="L716" s="15">
        <f t="shared" si="55"/>
        <v>-15181.47</v>
      </c>
      <c r="M716" t="s">
        <v>147</v>
      </c>
      <c r="N716" t="s">
        <v>1607</v>
      </c>
      <c r="O716" t="s">
        <v>149</v>
      </c>
      <c r="P716" t="s">
        <v>140</v>
      </c>
      <c r="Q716" t="s">
        <v>151</v>
      </c>
      <c r="R716" s="16">
        <v>45959.864583333299</v>
      </c>
      <c r="S716" t="s">
        <v>130</v>
      </c>
      <c r="V716" t="b">
        <f t="shared" si="56"/>
        <v>0</v>
      </c>
      <c r="W716" t="b">
        <f>AND(OR(WEEKDAY(C716,2)=5,WEEKDAY(C716,2)=6),'01_Parameters'!$C$11="Enabled")</f>
        <v>0</v>
      </c>
      <c r="X716" t="b">
        <f t="shared" si="57"/>
        <v>1</v>
      </c>
      <c r="Y716" t="b">
        <f t="shared" si="58"/>
        <v>0</v>
      </c>
      <c r="Z716" t="b">
        <f t="shared" si="59"/>
        <v>0</v>
      </c>
    </row>
    <row r="717" spans="1:26" ht="15" customHeight="1">
      <c r="A717" t="s">
        <v>1609</v>
      </c>
      <c r="B717" t="s">
        <v>1610</v>
      </c>
      <c r="C717" s="14">
        <v>45836</v>
      </c>
      <c r="D717" s="14">
        <v>45836</v>
      </c>
      <c r="E717">
        <v>2025</v>
      </c>
      <c r="F717">
        <v>6</v>
      </c>
      <c r="G717" t="s">
        <v>158</v>
      </c>
      <c r="H717" t="s">
        <v>159</v>
      </c>
      <c r="I717" t="s">
        <v>124</v>
      </c>
      <c r="J717" s="15">
        <v>23723.54</v>
      </c>
      <c r="K717" s="15">
        <v>0</v>
      </c>
      <c r="L717" s="15">
        <f t="shared" si="55"/>
        <v>23723.54</v>
      </c>
      <c r="M717" t="s">
        <v>160</v>
      </c>
      <c r="N717" t="s">
        <v>1611</v>
      </c>
      <c r="O717" t="s">
        <v>162</v>
      </c>
      <c r="P717" t="s">
        <v>129</v>
      </c>
      <c r="Q717" t="s">
        <v>140</v>
      </c>
      <c r="R717" s="16">
        <v>45836.510416666701</v>
      </c>
      <c r="S717" t="s">
        <v>130</v>
      </c>
      <c r="V717" t="b">
        <f t="shared" si="56"/>
        <v>0</v>
      </c>
      <c r="W717" t="b">
        <f>AND(OR(WEEKDAY(C717,2)=5,WEEKDAY(C717,2)=6),'01_Parameters'!$C$11="Enabled")</f>
        <v>1</v>
      </c>
      <c r="X717" t="b">
        <f t="shared" si="57"/>
        <v>0</v>
      </c>
      <c r="Y717" t="b">
        <f t="shared" si="58"/>
        <v>0</v>
      </c>
      <c r="Z717" t="b">
        <f t="shared" si="59"/>
        <v>0</v>
      </c>
    </row>
    <row r="718" spans="1:26" ht="15" customHeight="1">
      <c r="A718" t="s">
        <v>1609</v>
      </c>
      <c r="B718" t="s">
        <v>1612</v>
      </c>
      <c r="C718" s="14">
        <v>45836</v>
      </c>
      <c r="D718" s="14">
        <v>45836</v>
      </c>
      <c r="E718">
        <v>2025</v>
      </c>
      <c r="F718">
        <v>6</v>
      </c>
      <c r="G718" t="s">
        <v>164</v>
      </c>
      <c r="H718" t="s">
        <v>165</v>
      </c>
      <c r="I718" t="s">
        <v>146</v>
      </c>
      <c r="J718" s="15">
        <v>0</v>
      </c>
      <c r="K718" s="15">
        <v>23723.54</v>
      </c>
      <c r="L718" s="15">
        <f t="shared" si="55"/>
        <v>-23723.54</v>
      </c>
      <c r="M718" t="s">
        <v>160</v>
      </c>
      <c r="N718" t="s">
        <v>1611</v>
      </c>
      <c r="O718" t="s">
        <v>162</v>
      </c>
      <c r="P718" t="s">
        <v>129</v>
      </c>
      <c r="Q718" t="s">
        <v>140</v>
      </c>
      <c r="R718" s="16">
        <v>45836.510416666701</v>
      </c>
      <c r="S718" t="s">
        <v>130</v>
      </c>
      <c r="V718" t="b">
        <f t="shared" si="56"/>
        <v>0</v>
      </c>
      <c r="W718" t="b">
        <f>AND(OR(WEEKDAY(C718,2)=5,WEEKDAY(C718,2)=6),'01_Parameters'!$C$11="Enabled")</f>
        <v>1</v>
      </c>
      <c r="X718" t="b">
        <f t="shared" si="57"/>
        <v>0</v>
      </c>
      <c r="Y718" t="b">
        <f t="shared" si="58"/>
        <v>0</v>
      </c>
      <c r="Z718" t="b">
        <f t="shared" si="59"/>
        <v>0</v>
      </c>
    </row>
    <row r="719" spans="1:26" ht="15" customHeight="1">
      <c r="A719" t="s">
        <v>1613</v>
      </c>
      <c r="B719" t="s">
        <v>1614</v>
      </c>
      <c r="C719" s="14">
        <v>45770</v>
      </c>
      <c r="D719" s="14">
        <v>45768</v>
      </c>
      <c r="E719">
        <v>2025</v>
      </c>
      <c r="F719">
        <v>4</v>
      </c>
      <c r="G719" t="s">
        <v>417</v>
      </c>
      <c r="H719" t="s">
        <v>418</v>
      </c>
      <c r="I719" t="s">
        <v>124</v>
      </c>
      <c r="J719" s="15">
        <v>68144.570000000007</v>
      </c>
      <c r="K719" s="15">
        <v>0</v>
      </c>
      <c r="L719" s="15">
        <f t="shared" si="55"/>
        <v>68144.570000000007</v>
      </c>
      <c r="M719" t="s">
        <v>125</v>
      </c>
      <c r="N719" t="s">
        <v>1615</v>
      </c>
      <c r="O719" t="s">
        <v>127</v>
      </c>
      <c r="P719" t="s">
        <v>128</v>
      </c>
      <c r="Q719" t="s">
        <v>129</v>
      </c>
      <c r="R719" s="16">
        <v>45770.458333333299</v>
      </c>
      <c r="S719" t="s">
        <v>130</v>
      </c>
      <c r="V719" t="b">
        <f t="shared" si="56"/>
        <v>0</v>
      </c>
      <c r="W719" t="b">
        <f>AND(OR(WEEKDAY(C719,2)=5,WEEKDAY(C719,2)=6),'01_Parameters'!$C$11="Enabled")</f>
        <v>0</v>
      </c>
      <c r="X719" t="b">
        <f t="shared" si="57"/>
        <v>0</v>
      </c>
      <c r="Y719" t="b">
        <f t="shared" si="58"/>
        <v>0</v>
      </c>
      <c r="Z719" t="b">
        <f t="shared" si="59"/>
        <v>0</v>
      </c>
    </row>
    <row r="720" spans="1:26" ht="15" customHeight="1">
      <c r="A720" t="s">
        <v>1613</v>
      </c>
      <c r="B720" t="s">
        <v>1616</v>
      </c>
      <c r="C720" s="14">
        <v>45770</v>
      </c>
      <c r="D720" s="14">
        <v>45768</v>
      </c>
      <c r="E720">
        <v>2025</v>
      </c>
      <c r="F720">
        <v>4</v>
      </c>
      <c r="G720" t="s">
        <v>132</v>
      </c>
      <c r="H720" t="s">
        <v>133</v>
      </c>
      <c r="I720" t="s">
        <v>134</v>
      </c>
      <c r="J720" s="15">
        <v>0</v>
      </c>
      <c r="K720" s="15">
        <v>68144.570000000007</v>
      </c>
      <c r="L720" s="15">
        <f t="shared" si="55"/>
        <v>-68144.570000000007</v>
      </c>
      <c r="M720" t="s">
        <v>125</v>
      </c>
      <c r="N720" t="s">
        <v>1615</v>
      </c>
      <c r="O720" t="s">
        <v>127</v>
      </c>
      <c r="P720" t="s">
        <v>128</v>
      </c>
      <c r="Q720" t="s">
        <v>129</v>
      </c>
      <c r="R720" s="16">
        <v>45770.458333333299</v>
      </c>
      <c r="S720" t="s">
        <v>130</v>
      </c>
      <c r="V720" t="b">
        <f t="shared" si="56"/>
        <v>0</v>
      </c>
      <c r="W720" t="b">
        <f>AND(OR(WEEKDAY(C720,2)=5,WEEKDAY(C720,2)=6),'01_Parameters'!$C$11="Enabled")</f>
        <v>0</v>
      </c>
      <c r="X720" t="b">
        <f t="shared" si="57"/>
        <v>0</v>
      </c>
      <c r="Y720" t="b">
        <f t="shared" si="58"/>
        <v>0</v>
      </c>
      <c r="Z720" t="b">
        <f t="shared" si="59"/>
        <v>0</v>
      </c>
    </row>
    <row r="721" spans="1:26" ht="15" customHeight="1">
      <c r="A721" t="s">
        <v>1617</v>
      </c>
      <c r="B721" t="s">
        <v>1618</v>
      </c>
      <c r="C721" s="14">
        <v>45976</v>
      </c>
      <c r="D721" s="14">
        <v>45973</v>
      </c>
      <c r="E721">
        <v>2025</v>
      </c>
      <c r="F721">
        <v>11</v>
      </c>
      <c r="G721" t="s">
        <v>122</v>
      </c>
      <c r="H721" t="s">
        <v>123</v>
      </c>
      <c r="I721" t="s">
        <v>124</v>
      </c>
      <c r="J721" s="15">
        <v>93576.44</v>
      </c>
      <c r="K721" s="15">
        <v>0</v>
      </c>
      <c r="L721" s="15">
        <f t="shared" si="55"/>
        <v>93576.44</v>
      </c>
      <c r="M721" t="s">
        <v>125</v>
      </c>
      <c r="N721" t="s">
        <v>1619</v>
      </c>
      <c r="O721" t="s">
        <v>127</v>
      </c>
      <c r="P721" t="s">
        <v>151</v>
      </c>
      <c r="Q721" t="s">
        <v>140</v>
      </c>
      <c r="R721" s="16">
        <v>45976.302083333299</v>
      </c>
      <c r="S721" t="s">
        <v>130</v>
      </c>
      <c r="V721" t="b">
        <f t="shared" si="56"/>
        <v>0</v>
      </c>
      <c r="W721" t="b">
        <f>AND(OR(WEEKDAY(C721,2)=5,WEEKDAY(C721,2)=6),'01_Parameters'!$C$11="Enabled")</f>
        <v>1</v>
      </c>
      <c r="X721" t="b">
        <f t="shared" si="57"/>
        <v>1</v>
      </c>
      <c r="Y721" t="b">
        <f t="shared" si="58"/>
        <v>0</v>
      </c>
      <c r="Z721" t="b">
        <f t="shared" si="59"/>
        <v>0</v>
      </c>
    </row>
    <row r="722" spans="1:26" ht="15" customHeight="1">
      <c r="A722" t="s">
        <v>1617</v>
      </c>
      <c r="B722" t="s">
        <v>1620</v>
      </c>
      <c r="C722" s="14">
        <v>45976</v>
      </c>
      <c r="D722" s="14">
        <v>45973</v>
      </c>
      <c r="E722">
        <v>2025</v>
      </c>
      <c r="F722">
        <v>11</v>
      </c>
      <c r="G722" t="s">
        <v>132</v>
      </c>
      <c r="H722" t="s">
        <v>133</v>
      </c>
      <c r="I722" t="s">
        <v>134</v>
      </c>
      <c r="J722" s="15">
        <v>0</v>
      </c>
      <c r="K722" s="15">
        <v>93576.44</v>
      </c>
      <c r="L722" s="15">
        <f t="shared" si="55"/>
        <v>-93576.44</v>
      </c>
      <c r="M722" t="s">
        <v>125</v>
      </c>
      <c r="N722" t="s">
        <v>1619</v>
      </c>
      <c r="O722" t="s">
        <v>127</v>
      </c>
      <c r="P722" t="s">
        <v>151</v>
      </c>
      <c r="Q722" t="s">
        <v>140</v>
      </c>
      <c r="R722" s="16">
        <v>45976.302083333299</v>
      </c>
      <c r="S722" t="s">
        <v>130</v>
      </c>
      <c r="V722" t="b">
        <f t="shared" si="56"/>
        <v>0</v>
      </c>
      <c r="W722" t="b">
        <f>AND(OR(WEEKDAY(C722,2)=5,WEEKDAY(C722,2)=6),'01_Parameters'!$C$11="Enabled")</f>
        <v>1</v>
      </c>
      <c r="X722" t="b">
        <f t="shared" si="57"/>
        <v>1</v>
      </c>
      <c r="Y722" t="b">
        <f t="shared" si="58"/>
        <v>0</v>
      </c>
      <c r="Z722" t="b">
        <f t="shared" si="59"/>
        <v>0</v>
      </c>
    </row>
    <row r="723" spans="1:26" ht="15" customHeight="1">
      <c r="A723" t="s">
        <v>1621</v>
      </c>
      <c r="B723" t="s">
        <v>1622</v>
      </c>
      <c r="C723" s="14">
        <v>45674</v>
      </c>
      <c r="D723" s="14">
        <v>45671</v>
      </c>
      <c r="E723">
        <v>2025</v>
      </c>
      <c r="F723">
        <v>1</v>
      </c>
      <c r="G723" t="s">
        <v>122</v>
      </c>
      <c r="H723" t="s">
        <v>123</v>
      </c>
      <c r="I723" t="s">
        <v>124</v>
      </c>
      <c r="J723" s="15">
        <v>25307.57</v>
      </c>
      <c r="K723" s="15">
        <v>0</v>
      </c>
      <c r="L723" s="15">
        <f t="shared" si="55"/>
        <v>25307.57</v>
      </c>
      <c r="M723" t="s">
        <v>209</v>
      </c>
      <c r="N723" t="s">
        <v>1623</v>
      </c>
      <c r="O723" t="s">
        <v>211</v>
      </c>
      <c r="P723" t="s">
        <v>128</v>
      </c>
      <c r="Q723" t="s">
        <v>150</v>
      </c>
      <c r="R723" s="16">
        <v>45674.90625</v>
      </c>
      <c r="S723" t="s">
        <v>130</v>
      </c>
      <c r="T723" t="s">
        <v>440</v>
      </c>
      <c r="U723" t="s">
        <v>1623</v>
      </c>
      <c r="V723" t="b">
        <f t="shared" si="56"/>
        <v>0</v>
      </c>
      <c r="W723" t="b">
        <f>AND(OR(WEEKDAY(C723,2)=5,WEEKDAY(C723,2)=6),'01_Parameters'!$C$11="Enabled")</f>
        <v>1</v>
      </c>
      <c r="X723" t="b">
        <f t="shared" si="57"/>
        <v>1</v>
      </c>
      <c r="Y723" t="b">
        <f t="shared" si="58"/>
        <v>0</v>
      </c>
      <c r="Z723" t="b">
        <f t="shared" si="59"/>
        <v>0</v>
      </c>
    </row>
    <row r="724" spans="1:26" ht="15" customHeight="1">
      <c r="A724" t="s">
        <v>1621</v>
      </c>
      <c r="B724" t="s">
        <v>1624</v>
      </c>
      <c r="C724" s="14">
        <v>45674</v>
      </c>
      <c r="D724" s="14">
        <v>45671</v>
      </c>
      <c r="E724">
        <v>2025</v>
      </c>
      <c r="F724">
        <v>1</v>
      </c>
      <c r="G724" t="s">
        <v>132</v>
      </c>
      <c r="H724" t="s">
        <v>133</v>
      </c>
      <c r="I724" t="s">
        <v>134</v>
      </c>
      <c r="J724" s="15">
        <v>0</v>
      </c>
      <c r="K724" s="15">
        <v>25307.57</v>
      </c>
      <c r="L724" s="15">
        <f t="shared" si="55"/>
        <v>-25307.57</v>
      </c>
      <c r="M724" t="s">
        <v>209</v>
      </c>
      <c r="N724" t="s">
        <v>1623</v>
      </c>
      <c r="O724" t="s">
        <v>211</v>
      </c>
      <c r="P724" t="s">
        <v>128</v>
      </c>
      <c r="Q724" t="s">
        <v>150</v>
      </c>
      <c r="R724" s="16">
        <v>45674.90625</v>
      </c>
      <c r="S724" t="s">
        <v>130</v>
      </c>
      <c r="T724" t="s">
        <v>440</v>
      </c>
      <c r="U724" t="s">
        <v>1623</v>
      </c>
      <c r="V724" t="b">
        <f t="shared" si="56"/>
        <v>0</v>
      </c>
      <c r="W724" t="b">
        <f>AND(OR(WEEKDAY(C724,2)=5,WEEKDAY(C724,2)=6),'01_Parameters'!$C$11="Enabled")</f>
        <v>1</v>
      </c>
      <c r="X724" t="b">
        <f t="shared" si="57"/>
        <v>1</v>
      </c>
      <c r="Y724" t="b">
        <f t="shared" si="58"/>
        <v>0</v>
      </c>
      <c r="Z724" t="b">
        <f t="shared" si="59"/>
        <v>0</v>
      </c>
    </row>
    <row r="725" spans="1:26" ht="15" customHeight="1">
      <c r="A725" t="s">
        <v>1625</v>
      </c>
      <c r="B725" t="s">
        <v>1626</v>
      </c>
      <c r="C725" s="14">
        <v>45892</v>
      </c>
      <c r="D725" s="14">
        <v>45890</v>
      </c>
      <c r="E725">
        <v>2025</v>
      </c>
      <c r="F725">
        <v>8</v>
      </c>
      <c r="G725" t="s">
        <v>122</v>
      </c>
      <c r="H725" t="s">
        <v>123</v>
      </c>
      <c r="I725" t="s">
        <v>124</v>
      </c>
      <c r="J725" s="15">
        <v>52203.49</v>
      </c>
      <c r="K725" s="15">
        <v>0</v>
      </c>
      <c r="L725" s="15">
        <f t="shared" si="55"/>
        <v>52203.49</v>
      </c>
      <c r="M725" t="s">
        <v>209</v>
      </c>
      <c r="N725" t="s">
        <v>1627</v>
      </c>
      <c r="O725" t="s">
        <v>211</v>
      </c>
      <c r="P725" t="s">
        <v>129</v>
      </c>
      <c r="Q725" t="s">
        <v>175</v>
      </c>
      <c r="R725" s="16">
        <v>45892.25</v>
      </c>
      <c r="S725" t="s">
        <v>130</v>
      </c>
      <c r="T725" t="s">
        <v>887</v>
      </c>
      <c r="U725" t="s">
        <v>1627</v>
      </c>
      <c r="V725" t="b">
        <f t="shared" si="56"/>
        <v>0</v>
      </c>
      <c r="W725" t="b">
        <f>AND(OR(WEEKDAY(C725,2)=5,WEEKDAY(C725,2)=6),'01_Parameters'!$C$11="Enabled")</f>
        <v>1</v>
      </c>
      <c r="X725" t="b">
        <f t="shared" si="57"/>
        <v>1</v>
      </c>
      <c r="Y725" t="b">
        <f t="shared" si="58"/>
        <v>0</v>
      </c>
      <c r="Z725" t="b">
        <f t="shared" si="59"/>
        <v>0</v>
      </c>
    </row>
    <row r="726" spans="1:26" ht="15" customHeight="1">
      <c r="A726" t="s">
        <v>1625</v>
      </c>
      <c r="B726" t="s">
        <v>1628</v>
      </c>
      <c r="C726" s="14">
        <v>45892</v>
      </c>
      <c r="D726" s="14">
        <v>45890</v>
      </c>
      <c r="E726">
        <v>2025</v>
      </c>
      <c r="F726">
        <v>8</v>
      </c>
      <c r="G726" t="s">
        <v>132</v>
      </c>
      <c r="H726" t="s">
        <v>133</v>
      </c>
      <c r="I726" t="s">
        <v>134</v>
      </c>
      <c r="J726" s="15">
        <v>0</v>
      </c>
      <c r="K726" s="15">
        <v>52203.49</v>
      </c>
      <c r="L726" s="15">
        <f t="shared" si="55"/>
        <v>-52203.49</v>
      </c>
      <c r="M726" t="s">
        <v>209</v>
      </c>
      <c r="N726" t="s">
        <v>1627</v>
      </c>
      <c r="O726" t="s">
        <v>211</v>
      </c>
      <c r="P726" t="s">
        <v>129</v>
      </c>
      <c r="Q726" t="s">
        <v>175</v>
      </c>
      <c r="R726" s="16">
        <v>45892.25</v>
      </c>
      <c r="S726" t="s">
        <v>130</v>
      </c>
      <c r="T726" t="s">
        <v>887</v>
      </c>
      <c r="U726" t="s">
        <v>1627</v>
      </c>
      <c r="V726" t="b">
        <f t="shared" si="56"/>
        <v>0</v>
      </c>
      <c r="W726" t="b">
        <f>AND(OR(WEEKDAY(C726,2)=5,WEEKDAY(C726,2)=6),'01_Parameters'!$C$11="Enabled")</f>
        <v>1</v>
      </c>
      <c r="X726" t="b">
        <f t="shared" si="57"/>
        <v>1</v>
      </c>
      <c r="Y726" t="b">
        <f t="shared" si="58"/>
        <v>0</v>
      </c>
      <c r="Z726" t="b">
        <f t="shared" si="59"/>
        <v>0</v>
      </c>
    </row>
    <row r="727" spans="1:26" ht="15" customHeight="1">
      <c r="A727" t="s">
        <v>1629</v>
      </c>
      <c r="B727" t="s">
        <v>1630</v>
      </c>
      <c r="C727" s="14">
        <v>45789</v>
      </c>
      <c r="D727" s="14">
        <v>45785</v>
      </c>
      <c r="E727">
        <v>2025</v>
      </c>
      <c r="F727">
        <v>5</v>
      </c>
      <c r="G727" t="s">
        <v>158</v>
      </c>
      <c r="H727" t="s">
        <v>159</v>
      </c>
      <c r="I727" t="s">
        <v>124</v>
      </c>
      <c r="J727" s="15">
        <v>84453.39</v>
      </c>
      <c r="K727" s="15">
        <v>0</v>
      </c>
      <c r="L727" s="15">
        <f t="shared" si="55"/>
        <v>84453.39</v>
      </c>
      <c r="M727" t="s">
        <v>160</v>
      </c>
      <c r="N727" t="s">
        <v>1631</v>
      </c>
      <c r="O727" t="s">
        <v>162</v>
      </c>
      <c r="P727" t="s">
        <v>175</v>
      </c>
      <c r="Q727" t="s">
        <v>128</v>
      </c>
      <c r="R727" s="16">
        <v>45789.3125</v>
      </c>
      <c r="S727" t="s">
        <v>130</v>
      </c>
      <c r="V727" t="b">
        <f t="shared" si="56"/>
        <v>0</v>
      </c>
      <c r="W727" t="b">
        <f>AND(OR(WEEKDAY(C727,2)=5,WEEKDAY(C727,2)=6),'01_Parameters'!$C$11="Enabled")</f>
        <v>0</v>
      </c>
      <c r="X727" t="b">
        <f t="shared" si="57"/>
        <v>1</v>
      </c>
      <c r="Y727" t="b">
        <f t="shared" si="58"/>
        <v>0</v>
      </c>
      <c r="Z727" t="b">
        <f t="shared" si="59"/>
        <v>0</v>
      </c>
    </row>
    <row r="728" spans="1:26" ht="15" customHeight="1">
      <c r="A728" t="s">
        <v>1629</v>
      </c>
      <c r="B728" t="s">
        <v>1632</v>
      </c>
      <c r="C728" s="14">
        <v>45789</v>
      </c>
      <c r="D728" s="14">
        <v>45785</v>
      </c>
      <c r="E728">
        <v>2025</v>
      </c>
      <c r="F728">
        <v>5</v>
      </c>
      <c r="G728" t="s">
        <v>164</v>
      </c>
      <c r="H728" t="s">
        <v>165</v>
      </c>
      <c r="I728" t="s">
        <v>146</v>
      </c>
      <c r="J728" s="15">
        <v>0</v>
      </c>
      <c r="K728" s="15">
        <v>84453.39</v>
      </c>
      <c r="L728" s="15">
        <f t="shared" si="55"/>
        <v>-84453.39</v>
      </c>
      <c r="M728" t="s">
        <v>160</v>
      </c>
      <c r="N728" t="s">
        <v>1631</v>
      </c>
      <c r="O728" t="s">
        <v>162</v>
      </c>
      <c r="P728" t="s">
        <v>175</v>
      </c>
      <c r="Q728" t="s">
        <v>128</v>
      </c>
      <c r="R728" s="16">
        <v>45789.3125</v>
      </c>
      <c r="S728" t="s">
        <v>130</v>
      </c>
      <c r="V728" t="b">
        <f t="shared" si="56"/>
        <v>0</v>
      </c>
      <c r="W728" t="b">
        <f>AND(OR(WEEKDAY(C728,2)=5,WEEKDAY(C728,2)=6),'01_Parameters'!$C$11="Enabled")</f>
        <v>0</v>
      </c>
      <c r="X728" t="b">
        <f t="shared" si="57"/>
        <v>1</v>
      </c>
      <c r="Y728" t="b">
        <f t="shared" si="58"/>
        <v>0</v>
      </c>
      <c r="Z728" t="b">
        <f t="shared" si="59"/>
        <v>0</v>
      </c>
    </row>
    <row r="729" spans="1:26" ht="15" customHeight="1">
      <c r="A729" t="s">
        <v>1633</v>
      </c>
      <c r="B729" t="s">
        <v>1634</v>
      </c>
      <c r="C729" s="14">
        <v>45888</v>
      </c>
      <c r="D729" s="14">
        <v>45885</v>
      </c>
      <c r="E729">
        <v>2025</v>
      </c>
      <c r="F729">
        <v>8</v>
      </c>
      <c r="G729" t="s">
        <v>144</v>
      </c>
      <c r="H729" t="s">
        <v>145</v>
      </c>
      <c r="I729" t="s">
        <v>146</v>
      </c>
      <c r="J729" s="15">
        <v>27519.61</v>
      </c>
      <c r="K729" s="15">
        <v>0</v>
      </c>
      <c r="L729" s="15">
        <f t="shared" si="55"/>
        <v>27519.61</v>
      </c>
      <c r="M729" t="s">
        <v>147</v>
      </c>
      <c r="N729" t="s">
        <v>1635</v>
      </c>
      <c r="O729" t="s">
        <v>149</v>
      </c>
      <c r="P729" t="s">
        <v>129</v>
      </c>
      <c r="Q729" t="s">
        <v>150</v>
      </c>
      <c r="R729" s="16">
        <v>45888.427083333299</v>
      </c>
      <c r="S729" t="s">
        <v>130</v>
      </c>
      <c r="V729" t="b">
        <f t="shared" si="56"/>
        <v>0</v>
      </c>
      <c r="W729" t="b">
        <f>AND(OR(WEEKDAY(C729,2)=5,WEEKDAY(C729,2)=6),'01_Parameters'!$C$11="Enabled")</f>
        <v>0</v>
      </c>
      <c r="X729" t="b">
        <f t="shared" si="57"/>
        <v>0</v>
      </c>
      <c r="Y729" t="b">
        <f t="shared" si="58"/>
        <v>0</v>
      </c>
      <c r="Z729" t="b">
        <f t="shared" si="59"/>
        <v>0</v>
      </c>
    </row>
    <row r="730" spans="1:26" ht="15" customHeight="1">
      <c r="A730" t="s">
        <v>1633</v>
      </c>
      <c r="B730" t="s">
        <v>1636</v>
      </c>
      <c r="C730" s="14">
        <v>45888</v>
      </c>
      <c r="D730" s="14">
        <v>45885</v>
      </c>
      <c r="E730">
        <v>2025</v>
      </c>
      <c r="F730">
        <v>8</v>
      </c>
      <c r="G730" t="s">
        <v>153</v>
      </c>
      <c r="H730" t="s">
        <v>154</v>
      </c>
      <c r="I730" t="s">
        <v>155</v>
      </c>
      <c r="J730" s="15">
        <v>0</v>
      </c>
      <c r="K730" s="15">
        <v>27519.61</v>
      </c>
      <c r="L730" s="15">
        <f t="shared" si="55"/>
        <v>-27519.61</v>
      </c>
      <c r="M730" t="s">
        <v>147</v>
      </c>
      <c r="N730" t="s">
        <v>1635</v>
      </c>
      <c r="O730" t="s">
        <v>149</v>
      </c>
      <c r="P730" t="s">
        <v>129</v>
      </c>
      <c r="Q730" t="s">
        <v>150</v>
      </c>
      <c r="R730" s="16">
        <v>45888.427083333299</v>
      </c>
      <c r="S730" t="s">
        <v>130</v>
      </c>
      <c r="V730" t="b">
        <f t="shared" si="56"/>
        <v>0</v>
      </c>
      <c r="W730" t="b">
        <f>AND(OR(WEEKDAY(C730,2)=5,WEEKDAY(C730,2)=6),'01_Parameters'!$C$11="Enabled")</f>
        <v>0</v>
      </c>
      <c r="X730" t="b">
        <f t="shared" si="57"/>
        <v>0</v>
      </c>
      <c r="Y730" t="b">
        <f t="shared" si="58"/>
        <v>0</v>
      </c>
      <c r="Z730" t="b">
        <f t="shared" si="59"/>
        <v>0</v>
      </c>
    </row>
    <row r="731" spans="1:26" ht="15" customHeight="1">
      <c r="A731" t="s">
        <v>1637</v>
      </c>
      <c r="B731" t="s">
        <v>1638</v>
      </c>
      <c r="C731" s="14">
        <v>45966</v>
      </c>
      <c r="D731" s="14">
        <v>45965</v>
      </c>
      <c r="E731">
        <v>2025</v>
      </c>
      <c r="F731">
        <v>11</v>
      </c>
      <c r="G731" t="s">
        <v>179</v>
      </c>
      <c r="H731" t="s">
        <v>180</v>
      </c>
      <c r="I731" t="s">
        <v>124</v>
      </c>
      <c r="J731" s="15">
        <v>64218.66</v>
      </c>
      <c r="K731" s="15">
        <v>0</v>
      </c>
      <c r="L731" s="15">
        <f t="shared" si="55"/>
        <v>64218.66</v>
      </c>
      <c r="M731" t="s">
        <v>181</v>
      </c>
      <c r="N731" t="s">
        <v>1639</v>
      </c>
      <c r="O731" t="s">
        <v>183</v>
      </c>
      <c r="P731" t="s">
        <v>151</v>
      </c>
      <c r="Q731" t="s">
        <v>150</v>
      </c>
      <c r="R731" s="16">
        <v>45966.635416666701</v>
      </c>
      <c r="S731" t="s">
        <v>130</v>
      </c>
      <c r="V731" t="b">
        <f t="shared" si="56"/>
        <v>0</v>
      </c>
      <c r="W731" t="b">
        <f>AND(OR(WEEKDAY(C731,2)=5,WEEKDAY(C731,2)=6),'01_Parameters'!$C$11="Enabled")</f>
        <v>0</v>
      </c>
      <c r="X731" t="b">
        <f t="shared" si="57"/>
        <v>0</v>
      </c>
      <c r="Y731" t="b">
        <f t="shared" si="58"/>
        <v>0</v>
      </c>
      <c r="Z731" t="b">
        <f t="shared" si="59"/>
        <v>0</v>
      </c>
    </row>
    <row r="732" spans="1:26" ht="15" customHeight="1">
      <c r="A732" t="s">
        <v>1637</v>
      </c>
      <c r="B732" t="s">
        <v>1640</v>
      </c>
      <c r="C732" s="14">
        <v>45966</v>
      </c>
      <c r="D732" s="14">
        <v>45965</v>
      </c>
      <c r="E732">
        <v>2025</v>
      </c>
      <c r="F732">
        <v>11</v>
      </c>
      <c r="G732" t="s">
        <v>185</v>
      </c>
      <c r="H732" t="s">
        <v>186</v>
      </c>
      <c r="I732" t="s">
        <v>134</v>
      </c>
      <c r="J732" s="15">
        <v>0</v>
      </c>
      <c r="K732" s="15">
        <v>64218.66</v>
      </c>
      <c r="L732" s="15">
        <f t="shared" si="55"/>
        <v>-64218.66</v>
      </c>
      <c r="M732" t="s">
        <v>181</v>
      </c>
      <c r="N732" t="s">
        <v>1639</v>
      </c>
      <c r="O732" t="s">
        <v>183</v>
      </c>
      <c r="P732" t="s">
        <v>151</v>
      </c>
      <c r="Q732" t="s">
        <v>150</v>
      </c>
      <c r="R732" s="16">
        <v>45966.635416666701</v>
      </c>
      <c r="S732" t="s">
        <v>130</v>
      </c>
      <c r="V732" t="b">
        <f t="shared" si="56"/>
        <v>0</v>
      </c>
      <c r="W732" t="b">
        <f>AND(OR(WEEKDAY(C732,2)=5,WEEKDAY(C732,2)=6),'01_Parameters'!$C$11="Enabled")</f>
        <v>0</v>
      </c>
      <c r="X732" t="b">
        <f t="shared" si="57"/>
        <v>0</v>
      </c>
      <c r="Y732" t="b">
        <f t="shared" si="58"/>
        <v>0</v>
      </c>
      <c r="Z732" t="b">
        <f t="shared" si="59"/>
        <v>0</v>
      </c>
    </row>
    <row r="733" spans="1:26" ht="15" customHeight="1">
      <c r="A733" t="s">
        <v>1641</v>
      </c>
      <c r="B733" t="s">
        <v>1642</v>
      </c>
      <c r="C733" s="14">
        <v>45815</v>
      </c>
      <c r="D733" s="14">
        <v>45813</v>
      </c>
      <c r="E733">
        <v>2025</v>
      </c>
      <c r="F733">
        <v>6</v>
      </c>
      <c r="G733" t="s">
        <v>137</v>
      </c>
      <c r="H733" t="s">
        <v>138</v>
      </c>
      <c r="I733" t="s">
        <v>124</v>
      </c>
      <c r="J733" s="15">
        <v>17105.86</v>
      </c>
      <c r="K733" s="15">
        <v>0</v>
      </c>
      <c r="L733" s="15">
        <f t="shared" si="55"/>
        <v>17105.86</v>
      </c>
      <c r="M733" t="s">
        <v>209</v>
      </c>
      <c r="N733" t="s">
        <v>439</v>
      </c>
      <c r="O733" t="s">
        <v>211</v>
      </c>
      <c r="P733" t="s">
        <v>128</v>
      </c>
      <c r="Q733" t="s">
        <v>140</v>
      </c>
      <c r="R733" s="16">
        <v>45815.885416666701</v>
      </c>
      <c r="S733" t="s">
        <v>130</v>
      </c>
      <c r="T733" t="s">
        <v>440</v>
      </c>
      <c r="U733" t="s">
        <v>439</v>
      </c>
      <c r="V733" t="b">
        <f t="shared" si="56"/>
        <v>0</v>
      </c>
      <c r="W733" t="b">
        <f>AND(OR(WEEKDAY(C733,2)=5,WEEKDAY(C733,2)=6),'01_Parameters'!$C$11="Enabled")</f>
        <v>1</v>
      </c>
      <c r="X733" t="b">
        <f t="shared" si="57"/>
        <v>1</v>
      </c>
      <c r="Y733" t="b">
        <f t="shared" si="58"/>
        <v>0</v>
      </c>
      <c r="Z733" t="b">
        <f t="shared" si="59"/>
        <v>0</v>
      </c>
    </row>
    <row r="734" spans="1:26" ht="15" customHeight="1">
      <c r="A734" t="s">
        <v>1641</v>
      </c>
      <c r="B734" t="s">
        <v>1643</v>
      </c>
      <c r="C734" s="14">
        <v>45815</v>
      </c>
      <c r="D734" s="14">
        <v>45813</v>
      </c>
      <c r="E734">
        <v>2025</v>
      </c>
      <c r="F734">
        <v>6</v>
      </c>
      <c r="G734" t="s">
        <v>132</v>
      </c>
      <c r="H734" t="s">
        <v>133</v>
      </c>
      <c r="I734" t="s">
        <v>134</v>
      </c>
      <c r="J734" s="15">
        <v>0</v>
      </c>
      <c r="K734" s="15">
        <v>17105.86</v>
      </c>
      <c r="L734" s="15">
        <f t="shared" si="55"/>
        <v>-17105.86</v>
      </c>
      <c r="M734" t="s">
        <v>209</v>
      </c>
      <c r="N734" t="s">
        <v>439</v>
      </c>
      <c r="O734" t="s">
        <v>211</v>
      </c>
      <c r="P734" t="s">
        <v>128</v>
      </c>
      <c r="Q734" t="s">
        <v>140</v>
      </c>
      <c r="R734" s="16">
        <v>45815.885416666701</v>
      </c>
      <c r="S734" t="s">
        <v>130</v>
      </c>
      <c r="T734" t="s">
        <v>440</v>
      </c>
      <c r="U734" t="s">
        <v>439</v>
      </c>
      <c r="V734" t="b">
        <f t="shared" si="56"/>
        <v>0</v>
      </c>
      <c r="W734" t="b">
        <f>AND(OR(WEEKDAY(C734,2)=5,WEEKDAY(C734,2)=6),'01_Parameters'!$C$11="Enabled")</f>
        <v>1</v>
      </c>
      <c r="X734" t="b">
        <f t="shared" si="57"/>
        <v>1</v>
      </c>
      <c r="Y734" t="b">
        <f t="shared" si="58"/>
        <v>0</v>
      </c>
      <c r="Z734" t="b">
        <f t="shared" si="59"/>
        <v>0</v>
      </c>
    </row>
    <row r="735" spans="1:26" ht="15" customHeight="1">
      <c r="A735" t="s">
        <v>1644</v>
      </c>
      <c r="B735" t="s">
        <v>1645</v>
      </c>
      <c r="C735" s="14">
        <v>45966</v>
      </c>
      <c r="D735" s="14">
        <v>45961</v>
      </c>
      <c r="E735">
        <v>2025</v>
      </c>
      <c r="F735">
        <v>11</v>
      </c>
      <c r="G735" t="s">
        <v>144</v>
      </c>
      <c r="H735" t="s">
        <v>145</v>
      </c>
      <c r="I735" t="s">
        <v>146</v>
      </c>
      <c r="J735" s="15">
        <v>61791.91</v>
      </c>
      <c r="K735" s="15">
        <v>0</v>
      </c>
      <c r="L735" s="15">
        <f t="shared" si="55"/>
        <v>61791.91</v>
      </c>
      <c r="M735" t="s">
        <v>147</v>
      </c>
      <c r="N735" t="s">
        <v>1646</v>
      </c>
      <c r="O735" t="s">
        <v>149</v>
      </c>
      <c r="P735" t="s">
        <v>151</v>
      </c>
      <c r="Q735" t="s">
        <v>140</v>
      </c>
      <c r="R735" s="16">
        <v>45966.510416666701</v>
      </c>
      <c r="S735" t="s">
        <v>130</v>
      </c>
      <c r="V735" t="b">
        <f t="shared" si="56"/>
        <v>0</v>
      </c>
      <c r="W735" t="b">
        <f>AND(OR(WEEKDAY(C735,2)=5,WEEKDAY(C735,2)=6),'01_Parameters'!$C$11="Enabled")</f>
        <v>0</v>
      </c>
      <c r="X735" t="b">
        <f t="shared" si="57"/>
        <v>0</v>
      </c>
      <c r="Y735" t="b">
        <f t="shared" si="58"/>
        <v>0</v>
      </c>
      <c r="Z735" t="b">
        <f t="shared" si="59"/>
        <v>0</v>
      </c>
    </row>
    <row r="736" spans="1:26" ht="15" customHeight="1">
      <c r="A736" t="s">
        <v>1644</v>
      </c>
      <c r="B736" t="s">
        <v>1647</v>
      </c>
      <c r="C736" s="14">
        <v>45966</v>
      </c>
      <c r="D736" s="14">
        <v>45961</v>
      </c>
      <c r="E736">
        <v>2025</v>
      </c>
      <c r="F736">
        <v>11</v>
      </c>
      <c r="G736" t="s">
        <v>153</v>
      </c>
      <c r="H736" t="s">
        <v>154</v>
      </c>
      <c r="I736" t="s">
        <v>155</v>
      </c>
      <c r="J736" s="15">
        <v>0</v>
      </c>
      <c r="K736" s="15">
        <v>61791.91</v>
      </c>
      <c r="L736" s="15">
        <f t="shared" si="55"/>
        <v>-61791.91</v>
      </c>
      <c r="M736" t="s">
        <v>147</v>
      </c>
      <c r="N736" t="s">
        <v>1646</v>
      </c>
      <c r="O736" t="s">
        <v>149</v>
      </c>
      <c r="P736" t="s">
        <v>151</v>
      </c>
      <c r="Q736" t="s">
        <v>140</v>
      </c>
      <c r="R736" s="16">
        <v>45966.510416666701</v>
      </c>
      <c r="S736" t="s">
        <v>130</v>
      </c>
      <c r="V736" t="b">
        <f t="shared" si="56"/>
        <v>0</v>
      </c>
      <c r="W736" t="b">
        <f>AND(OR(WEEKDAY(C736,2)=5,WEEKDAY(C736,2)=6),'01_Parameters'!$C$11="Enabled")</f>
        <v>0</v>
      </c>
      <c r="X736" t="b">
        <f t="shared" si="57"/>
        <v>0</v>
      </c>
      <c r="Y736" t="b">
        <f t="shared" si="58"/>
        <v>0</v>
      </c>
      <c r="Z736" t="b">
        <f t="shared" si="59"/>
        <v>0</v>
      </c>
    </row>
    <row r="737" spans="1:26" ht="15" customHeight="1">
      <c r="A737" t="s">
        <v>1648</v>
      </c>
      <c r="B737" t="s">
        <v>1649</v>
      </c>
      <c r="C737" s="14">
        <v>45944</v>
      </c>
      <c r="D737" s="14">
        <v>45942</v>
      </c>
      <c r="E737">
        <v>2025</v>
      </c>
      <c r="F737">
        <v>10</v>
      </c>
      <c r="G737" t="s">
        <v>334</v>
      </c>
      <c r="H737" t="s">
        <v>335</v>
      </c>
      <c r="I737" t="s">
        <v>124</v>
      </c>
      <c r="J737" s="15">
        <v>176792.95999999999</v>
      </c>
      <c r="K737" s="15">
        <v>0</v>
      </c>
      <c r="L737" s="15">
        <f t="shared" si="55"/>
        <v>176792.95999999999</v>
      </c>
      <c r="M737" t="s">
        <v>125</v>
      </c>
      <c r="N737" t="s">
        <v>1650</v>
      </c>
      <c r="O737" t="s">
        <v>127</v>
      </c>
      <c r="P737" t="s">
        <v>150</v>
      </c>
      <c r="Q737" t="s">
        <v>175</v>
      </c>
      <c r="R737" s="16">
        <v>45944.572916666701</v>
      </c>
      <c r="S737" t="s">
        <v>130</v>
      </c>
      <c r="V737" t="b">
        <f t="shared" si="56"/>
        <v>0</v>
      </c>
      <c r="W737" t="b">
        <f>AND(OR(WEEKDAY(C737,2)=5,WEEKDAY(C737,2)=6),'01_Parameters'!$C$11="Enabled")</f>
        <v>0</v>
      </c>
      <c r="X737" t="b">
        <f t="shared" si="57"/>
        <v>0</v>
      </c>
      <c r="Y737" t="b">
        <f t="shared" si="58"/>
        <v>1</v>
      </c>
      <c r="Z737" t="b">
        <f t="shared" si="59"/>
        <v>0</v>
      </c>
    </row>
    <row r="738" spans="1:26" ht="15" customHeight="1">
      <c r="A738" t="s">
        <v>1648</v>
      </c>
      <c r="B738" t="s">
        <v>1651</v>
      </c>
      <c r="C738" s="14">
        <v>45944</v>
      </c>
      <c r="D738" s="14">
        <v>45942</v>
      </c>
      <c r="E738">
        <v>2025</v>
      </c>
      <c r="F738">
        <v>10</v>
      </c>
      <c r="G738" t="s">
        <v>132</v>
      </c>
      <c r="H738" t="s">
        <v>133</v>
      </c>
      <c r="I738" t="s">
        <v>134</v>
      </c>
      <c r="J738" s="15">
        <v>0</v>
      </c>
      <c r="K738" s="15">
        <v>176792.95999999999</v>
      </c>
      <c r="L738" s="15">
        <f t="shared" si="55"/>
        <v>-176792.95999999999</v>
      </c>
      <c r="M738" t="s">
        <v>125</v>
      </c>
      <c r="N738" t="s">
        <v>1650</v>
      </c>
      <c r="O738" t="s">
        <v>127</v>
      </c>
      <c r="P738" t="s">
        <v>150</v>
      </c>
      <c r="Q738" t="s">
        <v>175</v>
      </c>
      <c r="R738" s="16">
        <v>45944.572916666701</v>
      </c>
      <c r="S738" t="s">
        <v>130</v>
      </c>
      <c r="V738" t="b">
        <f t="shared" si="56"/>
        <v>0</v>
      </c>
      <c r="W738" t="b">
        <f>AND(OR(WEEKDAY(C738,2)=5,WEEKDAY(C738,2)=6),'01_Parameters'!$C$11="Enabled")</f>
        <v>0</v>
      </c>
      <c r="X738" t="b">
        <f t="shared" si="57"/>
        <v>0</v>
      </c>
      <c r="Y738" t="b">
        <f t="shared" si="58"/>
        <v>1</v>
      </c>
      <c r="Z738" t="b">
        <f t="shared" si="59"/>
        <v>0</v>
      </c>
    </row>
    <row r="739" spans="1:26" ht="15" customHeight="1">
      <c r="A739" t="s">
        <v>1652</v>
      </c>
      <c r="B739" t="s">
        <v>1653</v>
      </c>
      <c r="C739" s="14">
        <v>45758</v>
      </c>
      <c r="D739" s="14">
        <v>45756</v>
      </c>
      <c r="E739">
        <v>2025</v>
      </c>
      <c r="F739">
        <v>4</v>
      </c>
      <c r="G739" t="s">
        <v>207</v>
      </c>
      <c r="H739" t="s">
        <v>208</v>
      </c>
      <c r="I739" t="s">
        <v>124</v>
      </c>
      <c r="J739" s="15">
        <v>11388.1</v>
      </c>
      <c r="K739" s="15">
        <v>0</v>
      </c>
      <c r="L739" s="15">
        <f t="shared" si="55"/>
        <v>11388.1</v>
      </c>
      <c r="M739" t="s">
        <v>209</v>
      </c>
      <c r="N739" t="s">
        <v>1654</v>
      </c>
      <c r="O739" t="s">
        <v>211</v>
      </c>
      <c r="P739" t="s">
        <v>140</v>
      </c>
      <c r="Q739" t="s">
        <v>150</v>
      </c>
      <c r="R739" s="16">
        <v>45758.416666666701</v>
      </c>
      <c r="S739" t="s">
        <v>130</v>
      </c>
      <c r="T739" t="s">
        <v>782</v>
      </c>
      <c r="U739" t="s">
        <v>1654</v>
      </c>
      <c r="V739" t="b">
        <f t="shared" si="56"/>
        <v>0</v>
      </c>
      <c r="W739" t="b">
        <f>AND(OR(WEEKDAY(C739,2)=5,WEEKDAY(C739,2)=6),'01_Parameters'!$C$11="Enabled")</f>
        <v>1</v>
      </c>
      <c r="X739" t="b">
        <f t="shared" si="57"/>
        <v>0</v>
      </c>
      <c r="Y739" t="b">
        <f t="shared" si="58"/>
        <v>0</v>
      </c>
      <c r="Z739" t="b">
        <f t="shared" si="59"/>
        <v>0</v>
      </c>
    </row>
    <row r="740" spans="1:26" ht="15" customHeight="1">
      <c r="A740" t="s">
        <v>1652</v>
      </c>
      <c r="B740" t="s">
        <v>1655</v>
      </c>
      <c r="C740" s="14">
        <v>45758</v>
      </c>
      <c r="D740" s="14">
        <v>45756</v>
      </c>
      <c r="E740">
        <v>2025</v>
      </c>
      <c r="F740">
        <v>4</v>
      </c>
      <c r="G740" t="s">
        <v>132</v>
      </c>
      <c r="H740" t="s">
        <v>133</v>
      </c>
      <c r="I740" t="s">
        <v>134</v>
      </c>
      <c r="J740" s="15">
        <v>0</v>
      </c>
      <c r="K740" s="15">
        <v>11388.1</v>
      </c>
      <c r="L740" s="15">
        <f t="shared" si="55"/>
        <v>-11388.1</v>
      </c>
      <c r="M740" t="s">
        <v>209</v>
      </c>
      <c r="N740" t="s">
        <v>1654</v>
      </c>
      <c r="O740" t="s">
        <v>211</v>
      </c>
      <c r="P740" t="s">
        <v>140</v>
      </c>
      <c r="Q740" t="s">
        <v>150</v>
      </c>
      <c r="R740" s="16">
        <v>45758.416666666701</v>
      </c>
      <c r="S740" t="s">
        <v>130</v>
      </c>
      <c r="T740" t="s">
        <v>782</v>
      </c>
      <c r="U740" t="s">
        <v>1654</v>
      </c>
      <c r="V740" t="b">
        <f t="shared" si="56"/>
        <v>0</v>
      </c>
      <c r="W740" t="b">
        <f>AND(OR(WEEKDAY(C740,2)=5,WEEKDAY(C740,2)=6),'01_Parameters'!$C$11="Enabled")</f>
        <v>1</v>
      </c>
      <c r="X740" t="b">
        <f t="shared" si="57"/>
        <v>0</v>
      </c>
      <c r="Y740" t="b">
        <f t="shared" si="58"/>
        <v>0</v>
      </c>
      <c r="Z740" t="b">
        <f t="shared" si="59"/>
        <v>0</v>
      </c>
    </row>
    <row r="741" spans="1:26" ht="15" customHeight="1">
      <c r="A741" t="s">
        <v>1656</v>
      </c>
      <c r="B741" t="s">
        <v>1657</v>
      </c>
      <c r="C741" s="14">
        <v>45844</v>
      </c>
      <c r="D741" s="14">
        <v>45843</v>
      </c>
      <c r="E741">
        <v>2025</v>
      </c>
      <c r="F741">
        <v>7</v>
      </c>
      <c r="G741" t="s">
        <v>193</v>
      </c>
      <c r="H741" t="s">
        <v>194</v>
      </c>
      <c r="I741" t="s">
        <v>124</v>
      </c>
      <c r="J741" s="15">
        <v>15038.56</v>
      </c>
      <c r="K741" s="15">
        <v>0</v>
      </c>
      <c r="L741" s="15">
        <f t="shared" si="55"/>
        <v>15038.56</v>
      </c>
      <c r="M741" t="s">
        <v>195</v>
      </c>
      <c r="N741" t="s">
        <v>1658</v>
      </c>
      <c r="O741" t="s">
        <v>197</v>
      </c>
      <c r="P741" t="s">
        <v>151</v>
      </c>
      <c r="Q741" t="s">
        <v>150</v>
      </c>
      <c r="R741" s="16">
        <v>45844.697916666701</v>
      </c>
      <c r="S741" t="s">
        <v>130</v>
      </c>
      <c r="V741" t="b">
        <f t="shared" si="56"/>
        <v>0</v>
      </c>
      <c r="W741" t="b">
        <f>AND(OR(WEEKDAY(C741,2)=5,WEEKDAY(C741,2)=6),'01_Parameters'!$C$11="Enabled")</f>
        <v>0</v>
      </c>
      <c r="X741" t="b">
        <f t="shared" si="57"/>
        <v>0</v>
      </c>
      <c r="Y741" t="b">
        <f t="shared" si="58"/>
        <v>0</v>
      </c>
      <c r="Z741" t="b">
        <f t="shared" si="59"/>
        <v>0</v>
      </c>
    </row>
    <row r="742" spans="1:26" ht="15" customHeight="1">
      <c r="A742" t="s">
        <v>1656</v>
      </c>
      <c r="B742" t="s">
        <v>1659</v>
      </c>
      <c r="C742" s="14">
        <v>45844</v>
      </c>
      <c r="D742" s="14">
        <v>45843</v>
      </c>
      <c r="E742">
        <v>2025</v>
      </c>
      <c r="F742">
        <v>7</v>
      </c>
      <c r="G742" t="s">
        <v>199</v>
      </c>
      <c r="H742" t="s">
        <v>200</v>
      </c>
      <c r="I742" t="s">
        <v>146</v>
      </c>
      <c r="J742" s="15">
        <v>0</v>
      </c>
      <c r="K742" s="15">
        <v>15038.56</v>
      </c>
      <c r="L742" s="15">
        <f t="shared" si="55"/>
        <v>-15038.56</v>
      </c>
      <c r="M742" t="s">
        <v>195</v>
      </c>
      <c r="N742" t="s">
        <v>1658</v>
      </c>
      <c r="O742" t="s">
        <v>197</v>
      </c>
      <c r="P742" t="s">
        <v>151</v>
      </c>
      <c r="Q742" t="s">
        <v>150</v>
      </c>
      <c r="R742" s="16">
        <v>45844.697916666701</v>
      </c>
      <c r="S742" t="s">
        <v>130</v>
      </c>
      <c r="V742" t="b">
        <f t="shared" si="56"/>
        <v>0</v>
      </c>
      <c r="W742" t="b">
        <f>AND(OR(WEEKDAY(C742,2)=5,WEEKDAY(C742,2)=6),'01_Parameters'!$C$11="Enabled")</f>
        <v>0</v>
      </c>
      <c r="X742" t="b">
        <f t="shared" si="57"/>
        <v>0</v>
      </c>
      <c r="Y742" t="b">
        <f t="shared" si="58"/>
        <v>0</v>
      </c>
      <c r="Z742" t="b">
        <f t="shared" si="59"/>
        <v>0</v>
      </c>
    </row>
    <row r="743" spans="1:26" ht="15" customHeight="1">
      <c r="A743" t="s">
        <v>1660</v>
      </c>
      <c r="B743" t="s">
        <v>1661</v>
      </c>
      <c r="C743" s="14">
        <v>45874</v>
      </c>
      <c r="D743" s="14">
        <v>45874</v>
      </c>
      <c r="E743">
        <v>2025</v>
      </c>
      <c r="F743">
        <v>8</v>
      </c>
      <c r="G743" t="s">
        <v>417</v>
      </c>
      <c r="H743" t="s">
        <v>418</v>
      </c>
      <c r="I743" t="s">
        <v>124</v>
      </c>
      <c r="J743" s="15">
        <v>44134.34</v>
      </c>
      <c r="K743" s="15">
        <v>0</v>
      </c>
      <c r="L743" s="15">
        <f t="shared" si="55"/>
        <v>44134.34</v>
      </c>
      <c r="M743" t="s">
        <v>125</v>
      </c>
      <c r="N743" t="s">
        <v>1662</v>
      </c>
      <c r="O743" t="s">
        <v>127</v>
      </c>
      <c r="P743" t="s">
        <v>151</v>
      </c>
      <c r="Q743" t="s">
        <v>150</v>
      </c>
      <c r="R743" s="16">
        <v>45874.864583333299</v>
      </c>
      <c r="S743" t="s">
        <v>130</v>
      </c>
      <c r="V743" t="b">
        <f t="shared" si="56"/>
        <v>0</v>
      </c>
      <c r="W743" t="b">
        <f>AND(OR(WEEKDAY(C743,2)=5,WEEKDAY(C743,2)=6),'01_Parameters'!$C$11="Enabled")</f>
        <v>0</v>
      </c>
      <c r="X743" t="b">
        <f t="shared" si="57"/>
        <v>1</v>
      </c>
      <c r="Y743" t="b">
        <f t="shared" si="58"/>
        <v>0</v>
      </c>
      <c r="Z743" t="b">
        <f t="shared" si="59"/>
        <v>0</v>
      </c>
    </row>
    <row r="744" spans="1:26" ht="15" customHeight="1">
      <c r="A744" t="s">
        <v>1660</v>
      </c>
      <c r="B744" t="s">
        <v>1663</v>
      </c>
      <c r="C744" s="14">
        <v>45874</v>
      </c>
      <c r="D744" s="14">
        <v>45874</v>
      </c>
      <c r="E744">
        <v>2025</v>
      </c>
      <c r="F744">
        <v>8</v>
      </c>
      <c r="G744" t="s">
        <v>132</v>
      </c>
      <c r="H744" t="s">
        <v>133</v>
      </c>
      <c r="I744" t="s">
        <v>134</v>
      </c>
      <c r="J744" s="15">
        <v>0</v>
      </c>
      <c r="K744" s="15">
        <v>44134.34</v>
      </c>
      <c r="L744" s="15">
        <f t="shared" si="55"/>
        <v>-44134.34</v>
      </c>
      <c r="M744" t="s">
        <v>125</v>
      </c>
      <c r="N744" t="s">
        <v>1662</v>
      </c>
      <c r="O744" t="s">
        <v>127</v>
      </c>
      <c r="P744" t="s">
        <v>151</v>
      </c>
      <c r="Q744" t="s">
        <v>150</v>
      </c>
      <c r="R744" s="16">
        <v>45874.864583333299</v>
      </c>
      <c r="S744" t="s">
        <v>130</v>
      </c>
      <c r="V744" t="b">
        <f t="shared" si="56"/>
        <v>0</v>
      </c>
      <c r="W744" t="b">
        <f>AND(OR(WEEKDAY(C744,2)=5,WEEKDAY(C744,2)=6),'01_Parameters'!$C$11="Enabled")</f>
        <v>0</v>
      </c>
      <c r="X744" t="b">
        <f t="shared" si="57"/>
        <v>1</v>
      </c>
      <c r="Y744" t="b">
        <f t="shared" si="58"/>
        <v>0</v>
      </c>
      <c r="Z744" t="b">
        <f t="shared" si="59"/>
        <v>0</v>
      </c>
    </row>
    <row r="745" spans="1:26" ht="15" customHeight="1">
      <c r="A745" t="s">
        <v>1664</v>
      </c>
      <c r="B745" t="s">
        <v>1665</v>
      </c>
      <c r="C745" s="14">
        <v>46017</v>
      </c>
      <c r="D745" s="14">
        <v>46013</v>
      </c>
      <c r="E745">
        <v>2025</v>
      </c>
      <c r="F745">
        <v>12</v>
      </c>
      <c r="G745" t="s">
        <v>158</v>
      </c>
      <c r="H745" t="s">
        <v>159</v>
      </c>
      <c r="I745" t="s">
        <v>124</v>
      </c>
      <c r="J745" s="15">
        <v>80795.570000000007</v>
      </c>
      <c r="K745" s="15">
        <v>0</v>
      </c>
      <c r="L745" s="15">
        <f t="shared" si="55"/>
        <v>80795.570000000007</v>
      </c>
      <c r="M745" t="s">
        <v>160</v>
      </c>
      <c r="N745" t="s">
        <v>1666</v>
      </c>
      <c r="O745" t="s">
        <v>162</v>
      </c>
      <c r="P745" t="s">
        <v>150</v>
      </c>
      <c r="Q745" t="s">
        <v>175</v>
      </c>
      <c r="R745" s="16">
        <v>46017.885416666701</v>
      </c>
      <c r="S745" t="s">
        <v>130</v>
      </c>
      <c r="V745" t="b">
        <f t="shared" si="56"/>
        <v>1</v>
      </c>
      <c r="W745" t="b">
        <f>AND(OR(WEEKDAY(C745,2)=5,WEEKDAY(C745,2)=6),'01_Parameters'!$C$11="Enabled")</f>
        <v>1</v>
      </c>
      <c r="X745" t="b">
        <f t="shared" si="57"/>
        <v>1</v>
      </c>
      <c r="Y745" t="b">
        <f t="shared" si="58"/>
        <v>0</v>
      </c>
      <c r="Z745" t="b">
        <f t="shared" si="59"/>
        <v>0</v>
      </c>
    </row>
    <row r="746" spans="1:26" ht="15" customHeight="1">
      <c r="A746" t="s">
        <v>1664</v>
      </c>
      <c r="B746" t="s">
        <v>1667</v>
      </c>
      <c r="C746" s="14">
        <v>46017</v>
      </c>
      <c r="D746" s="14">
        <v>46013</v>
      </c>
      <c r="E746">
        <v>2025</v>
      </c>
      <c r="F746">
        <v>12</v>
      </c>
      <c r="G746" t="s">
        <v>164</v>
      </c>
      <c r="H746" t="s">
        <v>165</v>
      </c>
      <c r="I746" t="s">
        <v>146</v>
      </c>
      <c r="J746" s="15">
        <v>0</v>
      </c>
      <c r="K746" s="15">
        <v>80795.570000000007</v>
      </c>
      <c r="L746" s="15">
        <f t="shared" si="55"/>
        <v>-80795.570000000007</v>
      </c>
      <c r="M746" t="s">
        <v>160</v>
      </c>
      <c r="N746" t="s">
        <v>1666</v>
      </c>
      <c r="O746" t="s">
        <v>162</v>
      </c>
      <c r="P746" t="s">
        <v>150</v>
      </c>
      <c r="Q746" t="s">
        <v>175</v>
      </c>
      <c r="R746" s="16">
        <v>46017.885416666701</v>
      </c>
      <c r="S746" t="s">
        <v>130</v>
      </c>
      <c r="V746" t="b">
        <f t="shared" si="56"/>
        <v>1</v>
      </c>
      <c r="W746" t="b">
        <f>AND(OR(WEEKDAY(C746,2)=5,WEEKDAY(C746,2)=6),'01_Parameters'!$C$11="Enabled")</f>
        <v>1</v>
      </c>
      <c r="X746" t="b">
        <f t="shared" si="57"/>
        <v>1</v>
      </c>
      <c r="Y746" t="b">
        <f t="shared" si="58"/>
        <v>0</v>
      </c>
      <c r="Z746" t="b">
        <f t="shared" si="59"/>
        <v>0</v>
      </c>
    </row>
    <row r="747" spans="1:26" ht="15" customHeight="1">
      <c r="A747" t="s">
        <v>1668</v>
      </c>
      <c r="B747" t="s">
        <v>1669</v>
      </c>
      <c r="C747" s="14">
        <v>46019</v>
      </c>
      <c r="D747" s="14">
        <v>46015</v>
      </c>
      <c r="E747">
        <v>2025</v>
      </c>
      <c r="F747">
        <v>12</v>
      </c>
      <c r="G747" t="s">
        <v>193</v>
      </c>
      <c r="H747" t="s">
        <v>194</v>
      </c>
      <c r="I747" t="s">
        <v>124</v>
      </c>
      <c r="J747" s="15">
        <v>40942.97</v>
      </c>
      <c r="K747" s="15">
        <v>0</v>
      </c>
      <c r="L747" s="15">
        <f t="shared" si="55"/>
        <v>40942.97</v>
      </c>
      <c r="M747" t="s">
        <v>195</v>
      </c>
      <c r="N747" t="s">
        <v>1670</v>
      </c>
      <c r="O747" t="s">
        <v>197</v>
      </c>
      <c r="P747" t="s">
        <v>129</v>
      </c>
      <c r="Q747" t="s">
        <v>150</v>
      </c>
      <c r="R747" s="16">
        <v>46019.364583333299</v>
      </c>
      <c r="S747" t="s">
        <v>130</v>
      </c>
      <c r="V747" t="b">
        <f t="shared" si="56"/>
        <v>1</v>
      </c>
      <c r="W747" t="b">
        <f>AND(OR(WEEKDAY(C747,2)=5,WEEKDAY(C747,2)=6),'01_Parameters'!$C$11="Enabled")</f>
        <v>0</v>
      </c>
      <c r="X747" t="b">
        <f t="shared" si="57"/>
        <v>0</v>
      </c>
      <c r="Y747" t="b">
        <f t="shared" si="58"/>
        <v>0</v>
      </c>
      <c r="Z747" t="b">
        <f t="shared" si="59"/>
        <v>0</v>
      </c>
    </row>
    <row r="748" spans="1:26" ht="15" customHeight="1">
      <c r="A748" t="s">
        <v>1668</v>
      </c>
      <c r="B748" t="s">
        <v>1671</v>
      </c>
      <c r="C748" s="14">
        <v>46019</v>
      </c>
      <c r="D748" s="14">
        <v>46015</v>
      </c>
      <c r="E748">
        <v>2025</v>
      </c>
      <c r="F748">
        <v>12</v>
      </c>
      <c r="G748" t="s">
        <v>199</v>
      </c>
      <c r="H748" t="s">
        <v>200</v>
      </c>
      <c r="I748" t="s">
        <v>146</v>
      </c>
      <c r="J748" s="15">
        <v>0</v>
      </c>
      <c r="K748" s="15">
        <v>40942.97</v>
      </c>
      <c r="L748" s="15">
        <f t="shared" si="55"/>
        <v>-40942.97</v>
      </c>
      <c r="M748" t="s">
        <v>195</v>
      </c>
      <c r="N748" t="s">
        <v>1670</v>
      </c>
      <c r="O748" t="s">
        <v>197</v>
      </c>
      <c r="P748" t="s">
        <v>129</v>
      </c>
      <c r="Q748" t="s">
        <v>150</v>
      </c>
      <c r="R748" s="16">
        <v>46019.364583333299</v>
      </c>
      <c r="S748" t="s">
        <v>130</v>
      </c>
      <c r="V748" t="b">
        <f t="shared" si="56"/>
        <v>1</v>
      </c>
      <c r="W748" t="b">
        <f>AND(OR(WEEKDAY(C748,2)=5,WEEKDAY(C748,2)=6),'01_Parameters'!$C$11="Enabled")</f>
        <v>0</v>
      </c>
      <c r="X748" t="b">
        <f t="shared" si="57"/>
        <v>0</v>
      </c>
      <c r="Y748" t="b">
        <f t="shared" si="58"/>
        <v>0</v>
      </c>
      <c r="Z748" t="b">
        <f t="shared" si="59"/>
        <v>0</v>
      </c>
    </row>
    <row r="749" spans="1:26" ht="15" customHeight="1">
      <c r="A749" t="s">
        <v>1672</v>
      </c>
      <c r="B749" t="s">
        <v>1673</v>
      </c>
      <c r="C749" s="14">
        <v>45723</v>
      </c>
      <c r="D749" s="14">
        <v>45719</v>
      </c>
      <c r="E749">
        <v>2025</v>
      </c>
      <c r="F749">
        <v>3</v>
      </c>
      <c r="G749" t="s">
        <v>179</v>
      </c>
      <c r="H749" t="s">
        <v>180</v>
      </c>
      <c r="I749" t="s">
        <v>124</v>
      </c>
      <c r="J749" s="15">
        <v>29458.77</v>
      </c>
      <c r="K749" s="15">
        <v>0</v>
      </c>
      <c r="L749" s="15">
        <f t="shared" si="55"/>
        <v>29458.77</v>
      </c>
      <c r="M749" t="s">
        <v>181</v>
      </c>
      <c r="N749" t="s">
        <v>1674</v>
      </c>
      <c r="O749" t="s">
        <v>183</v>
      </c>
      <c r="P749" t="s">
        <v>128</v>
      </c>
      <c r="Q749" t="s">
        <v>129</v>
      </c>
      <c r="R749" s="16">
        <v>45723.375</v>
      </c>
      <c r="S749" t="s">
        <v>130</v>
      </c>
      <c r="V749" t="b">
        <f t="shared" si="56"/>
        <v>0</v>
      </c>
      <c r="W749" t="b">
        <f>AND(OR(WEEKDAY(C749,2)=5,WEEKDAY(C749,2)=6),'01_Parameters'!$C$11="Enabled")</f>
        <v>1</v>
      </c>
      <c r="X749" t="b">
        <f t="shared" si="57"/>
        <v>0</v>
      </c>
      <c r="Y749" t="b">
        <f t="shared" si="58"/>
        <v>0</v>
      </c>
      <c r="Z749" t="b">
        <f t="shared" si="59"/>
        <v>0</v>
      </c>
    </row>
    <row r="750" spans="1:26" ht="15" customHeight="1">
      <c r="A750" t="s">
        <v>1672</v>
      </c>
      <c r="B750" t="s">
        <v>1675</v>
      </c>
      <c r="C750" s="14">
        <v>45723</v>
      </c>
      <c r="D750" s="14">
        <v>45719</v>
      </c>
      <c r="E750">
        <v>2025</v>
      </c>
      <c r="F750">
        <v>3</v>
      </c>
      <c r="G750" t="s">
        <v>185</v>
      </c>
      <c r="H750" t="s">
        <v>186</v>
      </c>
      <c r="I750" t="s">
        <v>134</v>
      </c>
      <c r="J750" s="15">
        <v>0</v>
      </c>
      <c r="K750" s="15">
        <v>29458.77</v>
      </c>
      <c r="L750" s="15">
        <f t="shared" si="55"/>
        <v>-29458.77</v>
      </c>
      <c r="M750" t="s">
        <v>181</v>
      </c>
      <c r="N750" t="s">
        <v>1674</v>
      </c>
      <c r="O750" t="s">
        <v>183</v>
      </c>
      <c r="P750" t="s">
        <v>128</v>
      </c>
      <c r="Q750" t="s">
        <v>129</v>
      </c>
      <c r="R750" s="16">
        <v>45723.375</v>
      </c>
      <c r="S750" t="s">
        <v>130</v>
      </c>
      <c r="V750" t="b">
        <f t="shared" si="56"/>
        <v>0</v>
      </c>
      <c r="W750" t="b">
        <f>AND(OR(WEEKDAY(C750,2)=5,WEEKDAY(C750,2)=6),'01_Parameters'!$C$11="Enabled")</f>
        <v>1</v>
      </c>
      <c r="X750" t="b">
        <f t="shared" si="57"/>
        <v>0</v>
      </c>
      <c r="Y750" t="b">
        <f t="shared" si="58"/>
        <v>0</v>
      </c>
      <c r="Z750" t="b">
        <f t="shared" si="59"/>
        <v>0</v>
      </c>
    </row>
    <row r="751" spans="1:26" ht="15" customHeight="1">
      <c r="A751" t="s">
        <v>1676</v>
      </c>
      <c r="B751" t="s">
        <v>1677</v>
      </c>
      <c r="C751" s="14">
        <v>45806</v>
      </c>
      <c r="D751" s="14">
        <v>45802</v>
      </c>
      <c r="E751">
        <v>2025</v>
      </c>
      <c r="F751">
        <v>5</v>
      </c>
      <c r="G751" t="s">
        <v>144</v>
      </c>
      <c r="H751" t="s">
        <v>145</v>
      </c>
      <c r="I751" t="s">
        <v>146</v>
      </c>
      <c r="J751" s="15">
        <v>2491.0700000000002</v>
      </c>
      <c r="K751" s="15">
        <v>0</v>
      </c>
      <c r="L751" s="15">
        <f t="shared" si="55"/>
        <v>2491.0700000000002</v>
      </c>
      <c r="M751" t="s">
        <v>147</v>
      </c>
      <c r="N751" t="s">
        <v>1678</v>
      </c>
      <c r="O751" t="s">
        <v>149</v>
      </c>
      <c r="P751" t="s">
        <v>140</v>
      </c>
      <c r="Q751" t="s">
        <v>128</v>
      </c>
      <c r="R751" s="16">
        <v>45806.802083333299</v>
      </c>
      <c r="S751" t="s">
        <v>130</v>
      </c>
      <c r="V751" t="b">
        <f t="shared" si="56"/>
        <v>0</v>
      </c>
      <c r="W751" t="b">
        <f>AND(OR(WEEKDAY(C751,2)=5,WEEKDAY(C751,2)=6),'01_Parameters'!$C$11="Enabled")</f>
        <v>0</v>
      </c>
      <c r="X751" t="b">
        <f t="shared" si="57"/>
        <v>1</v>
      </c>
      <c r="Y751" t="b">
        <f t="shared" si="58"/>
        <v>0</v>
      </c>
      <c r="Z751" t="b">
        <f t="shared" si="59"/>
        <v>0</v>
      </c>
    </row>
    <row r="752" spans="1:26" ht="15" customHeight="1">
      <c r="A752" t="s">
        <v>1676</v>
      </c>
      <c r="B752" t="s">
        <v>1679</v>
      </c>
      <c r="C752" s="14">
        <v>45806</v>
      </c>
      <c r="D752" s="14">
        <v>45802</v>
      </c>
      <c r="E752">
        <v>2025</v>
      </c>
      <c r="F752">
        <v>5</v>
      </c>
      <c r="G752" t="s">
        <v>153</v>
      </c>
      <c r="H752" t="s">
        <v>154</v>
      </c>
      <c r="I752" t="s">
        <v>155</v>
      </c>
      <c r="J752" s="15">
        <v>0</v>
      </c>
      <c r="K752" s="15">
        <v>2491.0700000000002</v>
      </c>
      <c r="L752" s="15">
        <f t="shared" si="55"/>
        <v>-2491.0700000000002</v>
      </c>
      <c r="M752" t="s">
        <v>147</v>
      </c>
      <c r="N752" t="s">
        <v>1678</v>
      </c>
      <c r="O752" t="s">
        <v>149</v>
      </c>
      <c r="P752" t="s">
        <v>140</v>
      </c>
      <c r="Q752" t="s">
        <v>128</v>
      </c>
      <c r="R752" s="16">
        <v>45806.802083333299</v>
      </c>
      <c r="S752" t="s">
        <v>130</v>
      </c>
      <c r="V752" t="b">
        <f t="shared" si="56"/>
        <v>0</v>
      </c>
      <c r="W752" t="b">
        <f>AND(OR(WEEKDAY(C752,2)=5,WEEKDAY(C752,2)=6),'01_Parameters'!$C$11="Enabled")</f>
        <v>0</v>
      </c>
      <c r="X752" t="b">
        <f t="shared" si="57"/>
        <v>1</v>
      </c>
      <c r="Y752" t="b">
        <f t="shared" si="58"/>
        <v>0</v>
      </c>
      <c r="Z752" t="b">
        <f t="shared" si="59"/>
        <v>0</v>
      </c>
    </row>
    <row r="753" spans="1:26" ht="15" customHeight="1">
      <c r="A753" t="s">
        <v>1680</v>
      </c>
      <c r="B753" t="s">
        <v>1681</v>
      </c>
      <c r="C753" s="14">
        <v>45715</v>
      </c>
      <c r="D753" s="14">
        <v>45714</v>
      </c>
      <c r="E753">
        <v>2025</v>
      </c>
      <c r="F753">
        <v>2</v>
      </c>
      <c r="G753" t="s">
        <v>179</v>
      </c>
      <c r="H753" t="s">
        <v>180</v>
      </c>
      <c r="I753" t="s">
        <v>124</v>
      </c>
      <c r="J753" s="15">
        <v>13742.97</v>
      </c>
      <c r="K753" s="15">
        <v>0</v>
      </c>
      <c r="L753" s="15">
        <f t="shared" si="55"/>
        <v>13742.97</v>
      </c>
      <c r="M753" t="s">
        <v>181</v>
      </c>
      <c r="N753" t="s">
        <v>1682</v>
      </c>
      <c r="O753" t="s">
        <v>183</v>
      </c>
      <c r="P753" t="s">
        <v>129</v>
      </c>
      <c r="Q753" t="s">
        <v>128</v>
      </c>
      <c r="R753" s="16">
        <v>45715.489583333299</v>
      </c>
      <c r="S753" t="s">
        <v>288</v>
      </c>
      <c r="V753" t="b">
        <f t="shared" si="56"/>
        <v>0</v>
      </c>
      <c r="W753" t="b">
        <f>AND(OR(WEEKDAY(C753,2)=5,WEEKDAY(C753,2)=6),'01_Parameters'!$C$11="Enabled")</f>
        <v>0</v>
      </c>
      <c r="X753" t="b">
        <f t="shared" si="57"/>
        <v>0</v>
      </c>
      <c r="Y753" t="b">
        <f t="shared" si="58"/>
        <v>0</v>
      </c>
      <c r="Z753" t="b">
        <f t="shared" si="59"/>
        <v>0</v>
      </c>
    </row>
    <row r="754" spans="1:26" ht="15" customHeight="1">
      <c r="A754" t="s">
        <v>1680</v>
      </c>
      <c r="B754" t="s">
        <v>1683</v>
      </c>
      <c r="C754" s="14">
        <v>45715</v>
      </c>
      <c r="D754" s="14">
        <v>45714</v>
      </c>
      <c r="E754">
        <v>2025</v>
      </c>
      <c r="F754">
        <v>2</v>
      </c>
      <c r="G754" t="s">
        <v>185</v>
      </c>
      <c r="H754" t="s">
        <v>186</v>
      </c>
      <c r="I754" t="s">
        <v>134</v>
      </c>
      <c r="J754" s="15">
        <v>0</v>
      </c>
      <c r="K754" s="15">
        <v>13742.97</v>
      </c>
      <c r="L754" s="15">
        <f t="shared" si="55"/>
        <v>-13742.97</v>
      </c>
      <c r="M754" t="s">
        <v>181</v>
      </c>
      <c r="N754" t="s">
        <v>1682</v>
      </c>
      <c r="O754" t="s">
        <v>183</v>
      </c>
      <c r="P754" t="s">
        <v>129</v>
      </c>
      <c r="Q754" t="s">
        <v>128</v>
      </c>
      <c r="R754" s="16">
        <v>45715.489583333299</v>
      </c>
      <c r="S754" t="s">
        <v>288</v>
      </c>
      <c r="V754" t="b">
        <f t="shared" si="56"/>
        <v>0</v>
      </c>
      <c r="W754" t="b">
        <f>AND(OR(WEEKDAY(C754,2)=5,WEEKDAY(C754,2)=6),'01_Parameters'!$C$11="Enabled")</f>
        <v>0</v>
      </c>
      <c r="X754" t="b">
        <f t="shared" si="57"/>
        <v>0</v>
      </c>
      <c r="Y754" t="b">
        <f t="shared" si="58"/>
        <v>0</v>
      </c>
      <c r="Z754" t="b">
        <f t="shared" si="59"/>
        <v>0</v>
      </c>
    </row>
    <row r="755" spans="1:26" ht="15" customHeight="1">
      <c r="A755" t="s">
        <v>1684</v>
      </c>
      <c r="B755" t="s">
        <v>1685</v>
      </c>
      <c r="C755" s="14">
        <v>45995</v>
      </c>
      <c r="D755" s="14">
        <v>45994</v>
      </c>
      <c r="E755">
        <v>2025</v>
      </c>
      <c r="F755">
        <v>12</v>
      </c>
      <c r="G755" t="s">
        <v>179</v>
      </c>
      <c r="H755" t="s">
        <v>180</v>
      </c>
      <c r="I755" t="s">
        <v>124</v>
      </c>
      <c r="J755" s="15">
        <v>2535.4899999999998</v>
      </c>
      <c r="K755" s="15">
        <v>0</v>
      </c>
      <c r="L755" s="15">
        <f t="shared" si="55"/>
        <v>2535.4899999999998</v>
      </c>
      <c r="M755" t="s">
        <v>181</v>
      </c>
      <c r="N755" t="s">
        <v>1686</v>
      </c>
      <c r="O755" t="s">
        <v>183</v>
      </c>
      <c r="P755" t="s">
        <v>140</v>
      </c>
      <c r="Q755" t="s">
        <v>128</v>
      </c>
      <c r="R755" s="16">
        <v>45995.84375</v>
      </c>
      <c r="S755" t="s">
        <v>130</v>
      </c>
      <c r="V755" t="b">
        <f t="shared" si="56"/>
        <v>0</v>
      </c>
      <c r="W755" t="b">
        <f>AND(OR(WEEKDAY(C755,2)=5,WEEKDAY(C755,2)=6),'01_Parameters'!$C$11="Enabled")</f>
        <v>0</v>
      </c>
      <c r="X755" t="b">
        <f t="shared" si="57"/>
        <v>1</v>
      </c>
      <c r="Y755" t="b">
        <f t="shared" si="58"/>
        <v>0</v>
      </c>
      <c r="Z755" t="b">
        <f t="shared" si="59"/>
        <v>0</v>
      </c>
    </row>
    <row r="756" spans="1:26" ht="15" customHeight="1">
      <c r="A756" t="s">
        <v>1684</v>
      </c>
      <c r="B756" t="s">
        <v>1687</v>
      </c>
      <c r="C756" s="14">
        <v>45995</v>
      </c>
      <c r="D756" s="14">
        <v>45994</v>
      </c>
      <c r="E756">
        <v>2025</v>
      </c>
      <c r="F756">
        <v>12</v>
      </c>
      <c r="G756" t="s">
        <v>185</v>
      </c>
      <c r="H756" t="s">
        <v>186</v>
      </c>
      <c r="I756" t="s">
        <v>134</v>
      </c>
      <c r="J756" s="15">
        <v>0</v>
      </c>
      <c r="K756" s="15">
        <v>2535.4899999999998</v>
      </c>
      <c r="L756" s="15">
        <f t="shared" si="55"/>
        <v>-2535.4899999999998</v>
      </c>
      <c r="M756" t="s">
        <v>181</v>
      </c>
      <c r="N756" t="s">
        <v>1686</v>
      </c>
      <c r="O756" t="s">
        <v>183</v>
      </c>
      <c r="P756" t="s">
        <v>140</v>
      </c>
      <c r="Q756" t="s">
        <v>128</v>
      </c>
      <c r="R756" s="16">
        <v>45995.84375</v>
      </c>
      <c r="S756" t="s">
        <v>130</v>
      </c>
      <c r="V756" t="b">
        <f t="shared" si="56"/>
        <v>0</v>
      </c>
      <c r="W756" t="b">
        <f>AND(OR(WEEKDAY(C756,2)=5,WEEKDAY(C756,2)=6),'01_Parameters'!$C$11="Enabled")</f>
        <v>0</v>
      </c>
      <c r="X756" t="b">
        <f t="shared" si="57"/>
        <v>1</v>
      </c>
      <c r="Y756" t="b">
        <f t="shared" si="58"/>
        <v>0</v>
      </c>
      <c r="Z756" t="b">
        <f t="shared" si="59"/>
        <v>0</v>
      </c>
    </row>
    <row r="757" spans="1:26" ht="15" customHeight="1">
      <c r="A757" t="s">
        <v>1688</v>
      </c>
      <c r="B757" t="s">
        <v>1689</v>
      </c>
      <c r="C757" s="14">
        <v>45670</v>
      </c>
      <c r="D757" s="14">
        <v>45667</v>
      </c>
      <c r="E757">
        <v>2025</v>
      </c>
      <c r="F757">
        <v>1</v>
      </c>
      <c r="G757" t="s">
        <v>179</v>
      </c>
      <c r="H757" t="s">
        <v>180</v>
      </c>
      <c r="I757" t="s">
        <v>124</v>
      </c>
      <c r="J757" s="15">
        <v>71323.289999999994</v>
      </c>
      <c r="K757" s="15">
        <v>0</v>
      </c>
      <c r="L757" s="15">
        <f t="shared" si="55"/>
        <v>71323.289999999994</v>
      </c>
      <c r="M757" t="s">
        <v>181</v>
      </c>
      <c r="N757" t="s">
        <v>1690</v>
      </c>
      <c r="O757" t="s">
        <v>183</v>
      </c>
      <c r="P757" t="s">
        <v>175</v>
      </c>
      <c r="Q757" t="s">
        <v>150</v>
      </c>
      <c r="R757" s="16">
        <v>45670.895833333299</v>
      </c>
      <c r="S757" t="s">
        <v>130</v>
      </c>
      <c r="V757" t="b">
        <f t="shared" si="56"/>
        <v>0</v>
      </c>
      <c r="W757" t="b">
        <f>AND(OR(WEEKDAY(C757,2)=5,WEEKDAY(C757,2)=6),'01_Parameters'!$C$11="Enabled")</f>
        <v>0</v>
      </c>
      <c r="X757" t="b">
        <f t="shared" si="57"/>
        <v>1</v>
      </c>
      <c r="Y757" t="b">
        <f t="shared" si="58"/>
        <v>0</v>
      </c>
      <c r="Z757" t="b">
        <f t="shared" si="59"/>
        <v>0</v>
      </c>
    </row>
    <row r="758" spans="1:26" ht="15" customHeight="1">
      <c r="A758" t="s">
        <v>1688</v>
      </c>
      <c r="B758" t="s">
        <v>1691</v>
      </c>
      <c r="C758" s="14">
        <v>45670</v>
      </c>
      <c r="D758" s="14">
        <v>45667</v>
      </c>
      <c r="E758">
        <v>2025</v>
      </c>
      <c r="F758">
        <v>1</v>
      </c>
      <c r="G758" t="s">
        <v>185</v>
      </c>
      <c r="H758" t="s">
        <v>186</v>
      </c>
      <c r="I758" t="s">
        <v>134</v>
      </c>
      <c r="J758" s="15">
        <v>0</v>
      </c>
      <c r="K758" s="15">
        <v>71323.289999999994</v>
      </c>
      <c r="L758" s="15">
        <f t="shared" si="55"/>
        <v>-71323.289999999994</v>
      </c>
      <c r="M758" t="s">
        <v>181</v>
      </c>
      <c r="N758" t="s">
        <v>1690</v>
      </c>
      <c r="O758" t="s">
        <v>183</v>
      </c>
      <c r="P758" t="s">
        <v>175</v>
      </c>
      <c r="Q758" t="s">
        <v>150</v>
      </c>
      <c r="R758" s="16">
        <v>45670.895833333299</v>
      </c>
      <c r="S758" t="s">
        <v>130</v>
      </c>
      <c r="V758" t="b">
        <f t="shared" si="56"/>
        <v>0</v>
      </c>
      <c r="W758" t="b">
        <f>AND(OR(WEEKDAY(C758,2)=5,WEEKDAY(C758,2)=6),'01_Parameters'!$C$11="Enabled")</f>
        <v>0</v>
      </c>
      <c r="X758" t="b">
        <f t="shared" si="57"/>
        <v>1</v>
      </c>
      <c r="Y758" t="b">
        <f t="shared" si="58"/>
        <v>0</v>
      </c>
      <c r="Z758" t="b">
        <f t="shared" si="59"/>
        <v>0</v>
      </c>
    </row>
    <row r="759" spans="1:26" ht="15" customHeight="1">
      <c r="A759" t="s">
        <v>1692</v>
      </c>
      <c r="B759" t="s">
        <v>1693</v>
      </c>
      <c r="C759" s="14">
        <v>45797</v>
      </c>
      <c r="D759" s="14">
        <v>45793</v>
      </c>
      <c r="E759">
        <v>2025</v>
      </c>
      <c r="F759">
        <v>5</v>
      </c>
      <c r="G759" t="s">
        <v>193</v>
      </c>
      <c r="H759" t="s">
        <v>194</v>
      </c>
      <c r="I759" t="s">
        <v>124</v>
      </c>
      <c r="J759" s="15">
        <v>46513.11</v>
      </c>
      <c r="K759" s="15">
        <v>0</v>
      </c>
      <c r="L759" s="15">
        <f t="shared" si="55"/>
        <v>46513.11</v>
      </c>
      <c r="M759" t="s">
        <v>195</v>
      </c>
      <c r="N759" t="s">
        <v>1694</v>
      </c>
      <c r="O759" t="s">
        <v>197</v>
      </c>
      <c r="P759" t="s">
        <v>128</v>
      </c>
      <c r="Q759" t="s">
        <v>129</v>
      </c>
      <c r="R759" s="16">
        <v>45797.770833333299</v>
      </c>
      <c r="S759" t="s">
        <v>130</v>
      </c>
      <c r="V759" t="b">
        <f t="shared" si="56"/>
        <v>0</v>
      </c>
      <c r="W759" t="b">
        <f>AND(OR(WEEKDAY(C759,2)=5,WEEKDAY(C759,2)=6),'01_Parameters'!$C$11="Enabled")</f>
        <v>0</v>
      </c>
      <c r="X759" t="b">
        <f t="shared" si="57"/>
        <v>1</v>
      </c>
      <c r="Y759" t="b">
        <f t="shared" si="58"/>
        <v>0</v>
      </c>
      <c r="Z759" t="b">
        <f t="shared" si="59"/>
        <v>0</v>
      </c>
    </row>
    <row r="760" spans="1:26" ht="15" customHeight="1">
      <c r="A760" t="s">
        <v>1692</v>
      </c>
      <c r="B760" t="s">
        <v>1695</v>
      </c>
      <c r="C760" s="14">
        <v>45797</v>
      </c>
      <c r="D760" s="14">
        <v>45793</v>
      </c>
      <c r="E760">
        <v>2025</v>
      </c>
      <c r="F760">
        <v>5</v>
      </c>
      <c r="G760" t="s">
        <v>199</v>
      </c>
      <c r="H760" t="s">
        <v>200</v>
      </c>
      <c r="I760" t="s">
        <v>146</v>
      </c>
      <c r="J760" s="15">
        <v>0</v>
      </c>
      <c r="K760" s="15">
        <v>46513.11</v>
      </c>
      <c r="L760" s="15">
        <f t="shared" si="55"/>
        <v>-46513.11</v>
      </c>
      <c r="M760" t="s">
        <v>195</v>
      </c>
      <c r="N760" t="s">
        <v>1694</v>
      </c>
      <c r="O760" t="s">
        <v>197</v>
      </c>
      <c r="P760" t="s">
        <v>128</v>
      </c>
      <c r="Q760" t="s">
        <v>129</v>
      </c>
      <c r="R760" s="16">
        <v>45797.770833333299</v>
      </c>
      <c r="S760" t="s">
        <v>130</v>
      </c>
      <c r="V760" t="b">
        <f t="shared" si="56"/>
        <v>0</v>
      </c>
      <c r="W760" t="b">
        <f>AND(OR(WEEKDAY(C760,2)=5,WEEKDAY(C760,2)=6),'01_Parameters'!$C$11="Enabled")</f>
        <v>0</v>
      </c>
      <c r="X760" t="b">
        <f t="shared" si="57"/>
        <v>1</v>
      </c>
      <c r="Y760" t="b">
        <f t="shared" si="58"/>
        <v>0</v>
      </c>
      <c r="Z760" t="b">
        <f t="shared" si="59"/>
        <v>0</v>
      </c>
    </row>
    <row r="761" spans="1:26" ht="15" customHeight="1">
      <c r="A761" t="s">
        <v>1696</v>
      </c>
      <c r="B761" t="s">
        <v>1697</v>
      </c>
      <c r="C761" s="14">
        <v>45955</v>
      </c>
      <c r="D761" s="14">
        <v>45955</v>
      </c>
      <c r="E761">
        <v>2025</v>
      </c>
      <c r="F761">
        <v>10</v>
      </c>
      <c r="G761" t="s">
        <v>137</v>
      </c>
      <c r="H761" t="s">
        <v>138</v>
      </c>
      <c r="I761" t="s">
        <v>124</v>
      </c>
      <c r="J761" s="15">
        <v>164876.95000000001</v>
      </c>
      <c r="K761" s="15">
        <v>0</v>
      </c>
      <c r="L761" s="15">
        <f t="shared" si="55"/>
        <v>164876.95000000001</v>
      </c>
      <c r="M761" t="s">
        <v>125</v>
      </c>
      <c r="N761" t="s">
        <v>1698</v>
      </c>
      <c r="O761" t="s">
        <v>127</v>
      </c>
      <c r="P761" t="s">
        <v>175</v>
      </c>
      <c r="Q761" t="s">
        <v>140</v>
      </c>
      <c r="R761" s="16">
        <v>45955.666666666701</v>
      </c>
      <c r="S761" t="s">
        <v>130</v>
      </c>
      <c r="V761" t="b">
        <f t="shared" si="56"/>
        <v>0</v>
      </c>
      <c r="W761" t="b">
        <f>AND(OR(WEEKDAY(C761,2)=5,WEEKDAY(C761,2)=6),'01_Parameters'!$C$11="Enabled")</f>
        <v>1</v>
      </c>
      <c r="X761" t="b">
        <f t="shared" si="57"/>
        <v>0</v>
      </c>
      <c r="Y761" t="b">
        <f t="shared" si="58"/>
        <v>1</v>
      </c>
      <c r="Z761" t="b">
        <f t="shared" si="59"/>
        <v>0</v>
      </c>
    </row>
    <row r="762" spans="1:26" ht="15" customHeight="1">
      <c r="A762" t="s">
        <v>1696</v>
      </c>
      <c r="B762" t="s">
        <v>1699</v>
      </c>
      <c r="C762" s="14">
        <v>45955</v>
      </c>
      <c r="D762" s="14">
        <v>45955</v>
      </c>
      <c r="E762">
        <v>2025</v>
      </c>
      <c r="F762">
        <v>10</v>
      </c>
      <c r="G762" t="s">
        <v>132</v>
      </c>
      <c r="H762" t="s">
        <v>133</v>
      </c>
      <c r="I762" t="s">
        <v>134</v>
      </c>
      <c r="J762" s="15">
        <v>0</v>
      </c>
      <c r="K762" s="15">
        <v>164876.95000000001</v>
      </c>
      <c r="L762" s="15">
        <f t="shared" si="55"/>
        <v>-164876.95000000001</v>
      </c>
      <c r="M762" t="s">
        <v>125</v>
      </c>
      <c r="N762" t="s">
        <v>1698</v>
      </c>
      <c r="O762" t="s">
        <v>127</v>
      </c>
      <c r="P762" t="s">
        <v>175</v>
      </c>
      <c r="Q762" t="s">
        <v>140</v>
      </c>
      <c r="R762" s="16">
        <v>45955.666666666701</v>
      </c>
      <c r="S762" t="s">
        <v>130</v>
      </c>
      <c r="V762" t="b">
        <f t="shared" si="56"/>
        <v>0</v>
      </c>
      <c r="W762" t="b">
        <f>AND(OR(WEEKDAY(C762,2)=5,WEEKDAY(C762,2)=6),'01_Parameters'!$C$11="Enabled")</f>
        <v>1</v>
      </c>
      <c r="X762" t="b">
        <f t="shared" si="57"/>
        <v>0</v>
      </c>
      <c r="Y762" t="b">
        <f t="shared" si="58"/>
        <v>1</v>
      </c>
      <c r="Z762" t="b">
        <f t="shared" si="59"/>
        <v>0</v>
      </c>
    </row>
    <row r="763" spans="1:26" ht="15" customHeight="1">
      <c r="A763" t="s">
        <v>1700</v>
      </c>
      <c r="B763" t="s">
        <v>1701</v>
      </c>
      <c r="C763" s="14">
        <v>45880</v>
      </c>
      <c r="D763" s="14">
        <v>45878</v>
      </c>
      <c r="E763">
        <v>2025</v>
      </c>
      <c r="F763">
        <v>8</v>
      </c>
      <c r="G763" t="s">
        <v>193</v>
      </c>
      <c r="H763" t="s">
        <v>194</v>
      </c>
      <c r="I763" t="s">
        <v>124</v>
      </c>
      <c r="J763" s="15">
        <v>13787.75</v>
      </c>
      <c r="K763" s="15">
        <v>0</v>
      </c>
      <c r="L763" s="15">
        <f t="shared" si="55"/>
        <v>13787.75</v>
      </c>
      <c r="M763" t="s">
        <v>195</v>
      </c>
      <c r="N763" t="s">
        <v>1702</v>
      </c>
      <c r="O763" t="s">
        <v>197</v>
      </c>
      <c r="P763" t="s">
        <v>175</v>
      </c>
      <c r="Q763" t="s">
        <v>150</v>
      </c>
      <c r="R763" s="16">
        <v>45880.71875</v>
      </c>
      <c r="S763" t="s">
        <v>130</v>
      </c>
      <c r="V763" t="b">
        <f t="shared" si="56"/>
        <v>0</v>
      </c>
      <c r="W763" t="b">
        <f>AND(OR(WEEKDAY(C763,2)=5,WEEKDAY(C763,2)=6),'01_Parameters'!$C$11="Enabled")</f>
        <v>0</v>
      </c>
      <c r="X763" t="b">
        <f t="shared" si="57"/>
        <v>0</v>
      </c>
      <c r="Y763" t="b">
        <f t="shared" si="58"/>
        <v>0</v>
      </c>
      <c r="Z763" t="b">
        <f t="shared" si="59"/>
        <v>0</v>
      </c>
    </row>
    <row r="764" spans="1:26" ht="15" customHeight="1">
      <c r="A764" t="s">
        <v>1700</v>
      </c>
      <c r="B764" t="s">
        <v>1703</v>
      </c>
      <c r="C764" s="14">
        <v>45880</v>
      </c>
      <c r="D764" s="14">
        <v>45878</v>
      </c>
      <c r="E764">
        <v>2025</v>
      </c>
      <c r="F764">
        <v>8</v>
      </c>
      <c r="G764" t="s">
        <v>199</v>
      </c>
      <c r="H764" t="s">
        <v>200</v>
      </c>
      <c r="I764" t="s">
        <v>146</v>
      </c>
      <c r="J764" s="15">
        <v>0</v>
      </c>
      <c r="K764" s="15">
        <v>13787.75</v>
      </c>
      <c r="L764" s="15">
        <f t="shared" si="55"/>
        <v>-13787.75</v>
      </c>
      <c r="M764" t="s">
        <v>195</v>
      </c>
      <c r="N764" t="s">
        <v>1702</v>
      </c>
      <c r="O764" t="s">
        <v>197</v>
      </c>
      <c r="P764" t="s">
        <v>175</v>
      </c>
      <c r="Q764" t="s">
        <v>150</v>
      </c>
      <c r="R764" s="16">
        <v>45880.71875</v>
      </c>
      <c r="S764" t="s">
        <v>130</v>
      </c>
      <c r="V764" t="b">
        <f t="shared" si="56"/>
        <v>0</v>
      </c>
      <c r="W764" t="b">
        <f>AND(OR(WEEKDAY(C764,2)=5,WEEKDAY(C764,2)=6),'01_Parameters'!$C$11="Enabled")</f>
        <v>0</v>
      </c>
      <c r="X764" t="b">
        <f t="shared" si="57"/>
        <v>0</v>
      </c>
      <c r="Y764" t="b">
        <f t="shared" si="58"/>
        <v>0</v>
      </c>
      <c r="Z764" t="b">
        <f t="shared" si="59"/>
        <v>0</v>
      </c>
    </row>
    <row r="765" spans="1:26" ht="15" customHeight="1">
      <c r="A765" t="s">
        <v>1704</v>
      </c>
      <c r="B765" t="s">
        <v>1705</v>
      </c>
      <c r="C765" s="14">
        <v>45822</v>
      </c>
      <c r="D765" s="14">
        <v>45817</v>
      </c>
      <c r="E765">
        <v>2025</v>
      </c>
      <c r="F765">
        <v>6</v>
      </c>
      <c r="G765" t="s">
        <v>158</v>
      </c>
      <c r="H765" t="s">
        <v>159</v>
      </c>
      <c r="I765" t="s">
        <v>124</v>
      </c>
      <c r="J765" s="15">
        <v>38477.56</v>
      </c>
      <c r="K765" s="15">
        <v>0</v>
      </c>
      <c r="L765" s="15">
        <f t="shared" si="55"/>
        <v>38477.56</v>
      </c>
      <c r="M765" t="s">
        <v>160</v>
      </c>
      <c r="N765" t="s">
        <v>1706</v>
      </c>
      <c r="O765" t="s">
        <v>162</v>
      </c>
      <c r="P765" t="s">
        <v>150</v>
      </c>
      <c r="Q765" t="s">
        <v>140</v>
      </c>
      <c r="R765" s="16">
        <v>45822.59375</v>
      </c>
      <c r="S765" t="s">
        <v>130</v>
      </c>
      <c r="V765" t="b">
        <f t="shared" si="56"/>
        <v>0</v>
      </c>
      <c r="W765" t="b">
        <f>AND(OR(WEEKDAY(C765,2)=5,WEEKDAY(C765,2)=6),'01_Parameters'!$C$11="Enabled")</f>
        <v>1</v>
      </c>
      <c r="X765" t="b">
        <f t="shared" si="57"/>
        <v>0</v>
      </c>
      <c r="Y765" t="b">
        <f t="shared" si="58"/>
        <v>0</v>
      </c>
      <c r="Z765" t="b">
        <f t="shared" si="59"/>
        <v>0</v>
      </c>
    </row>
    <row r="766" spans="1:26" ht="15" customHeight="1">
      <c r="A766" t="s">
        <v>1704</v>
      </c>
      <c r="B766" t="s">
        <v>1707</v>
      </c>
      <c r="C766" s="14">
        <v>45822</v>
      </c>
      <c r="D766" s="14">
        <v>45817</v>
      </c>
      <c r="E766">
        <v>2025</v>
      </c>
      <c r="F766">
        <v>6</v>
      </c>
      <c r="G766" t="s">
        <v>164</v>
      </c>
      <c r="H766" t="s">
        <v>165</v>
      </c>
      <c r="I766" t="s">
        <v>146</v>
      </c>
      <c r="J766" s="15">
        <v>0</v>
      </c>
      <c r="K766" s="15">
        <v>38477.56</v>
      </c>
      <c r="L766" s="15">
        <f t="shared" si="55"/>
        <v>-38477.56</v>
      </c>
      <c r="M766" t="s">
        <v>160</v>
      </c>
      <c r="N766" t="s">
        <v>1706</v>
      </c>
      <c r="O766" t="s">
        <v>162</v>
      </c>
      <c r="P766" t="s">
        <v>150</v>
      </c>
      <c r="Q766" t="s">
        <v>140</v>
      </c>
      <c r="R766" s="16">
        <v>45822.59375</v>
      </c>
      <c r="S766" t="s">
        <v>130</v>
      </c>
      <c r="V766" t="b">
        <f t="shared" si="56"/>
        <v>0</v>
      </c>
      <c r="W766" t="b">
        <f>AND(OR(WEEKDAY(C766,2)=5,WEEKDAY(C766,2)=6),'01_Parameters'!$C$11="Enabled")</f>
        <v>1</v>
      </c>
      <c r="X766" t="b">
        <f t="shared" si="57"/>
        <v>0</v>
      </c>
      <c r="Y766" t="b">
        <f t="shared" si="58"/>
        <v>0</v>
      </c>
      <c r="Z766" t="b">
        <f t="shared" si="59"/>
        <v>0</v>
      </c>
    </row>
    <row r="767" spans="1:26" ht="15" customHeight="1">
      <c r="A767" t="s">
        <v>1708</v>
      </c>
      <c r="B767" t="s">
        <v>1709</v>
      </c>
      <c r="C767" s="14">
        <v>45894</v>
      </c>
      <c r="D767" s="14">
        <v>45894</v>
      </c>
      <c r="E767">
        <v>2025</v>
      </c>
      <c r="F767">
        <v>8</v>
      </c>
      <c r="G767" t="s">
        <v>179</v>
      </c>
      <c r="H767" t="s">
        <v>180</v>
      </c>
      <c r="I767" t="s">
        <v>124</v>
      </c>
      <c r="J767" s="15">
        <v>42176.01</v>
      </c>
      <c r="K767" s="15">
        <v>0</v>
      </c>
      <c r="L767" s="15">
        <f t="shared" si="55"/>
        <v>42176.01</v>
      </c>
      <c r="M767" t="s">
        <v>181</v>
      </c>
      <c r="N767" t="s">
        <v>1710</v>
      </c>
      <c r="O767" t="s">
        <v>183</v>
      </c>
      <c r="P767" t="s">
        <v>129</v>
      </c>
      <c r="Q767" t="s">
        <v>175</v>
      </c>
      <c r="R767" s="16">
        <v>45894.65625</v>
      </c>
      <c r="S767" t="s">
        <v>130</v>
      </c>
      <c r="V767" t="b">
        <f t="shared" si="56"/>
        <v>0</v>
      </c>
      <c r="W767" t="b">
        <f>AND(OR(WEEKDAY(C767,2)=5,WEEKDAY(C767,2)=6),'01_Parameters'!$C$11="Enabled")</f>
        <v>0</v>
      </c>
      <c r="X767" t="b">
        <f t="shared" si="57"/>
        <v>0</v>
      </c>
      <c r="Y767" t="b">
        <f t="shared" si="58"/>
        <v>0</v>
      </c>
      <c r="Z767" t="b">
        <f t="shared" si="59"/>
        <v>0</v>
      </c>
    </row>
    <row r="768" spans="1:26" ht="15" customHeight="1">
      <c r="A768" t="s">
        <v>1708</v>
      </c>
      <c r="B768" t="s">
        <v>1711</v>
      </c>
      <c r="C768" s="14">
        <v>45894</v>
      </c>
      <c r="D768" s="14">
        <v>45894</v>
      </c>
      <c r="E768">
        <v>2025</v>
      </c>
      <c r="F768">
        <v>8</v>
      </c>
      <c r="G768" t="s">
        <v>185</v>
      </c>
      <c r="H768" t="s">
        <v>186</v>
      </c>
      <c r="I768" t="s">
        <v>134</v>
      </c>
      <c r="J768" s="15">
        <v>0</v>
      </c>
      <c r="K768" s="15">
        <v>42176.01</v>
      </c>
      <c r="L768" s="15">
        <f t="shared" si="55"/>
        <v>-42176.01</v>
      </c>
      <c r="M768" t="s">
        <v>181</v>
      </c>
      <c r="N768" t="s">
        <v>1710</v>
      </c>
      <c r="O768" t="s">
        <v>183</v>
      </c>
      <c r="P768" t="s">
        <v>129</v>
      </c>
      <c r="Q768" t="s">
        <v>175</v>
      </c>
      <c r="R768" s="16">
        <v>45894.65625</v>
      </c>
      <c r="S768" t="s">
        <v>130</v>
      </c>
      <c r="V768" t="b">
        <f t="shared" si="56"/>
        <v>0</v>
      </c>
      <c r="W768" t="b">
        <f>AND(OR(WEEKDAY(C768,2)=5,WEEKDAY(C768,2)=6),'01_Parameters'!$C$11="Enabled")</f>
        <v>0</v>
      </c>
      <c r="X768" t="b">
        <f t="shared" si="57"/>
        <v>0</v>
      </c>
      <c r="Y768" t="b">
        <f t="shared" si="58"/>
        <v>0</v>
      </c>
      <c r="Z768" t="b">
        <f t="shared" si="59"/>
        <v>0</v>
      </c>
    </row>
    <row r="769" spans="1:26" ht="15" customHeight="1">
      <c r="A769" t="s">
        <v>1712</v>
      </c>
      <c r="B769" t="s">
        <v>1713</v>
      </c>
      <c r="C769" s="14">
        <v>45661</v>
      </c>
      <c r="D769" s="14">
        <v>45656</v>
      </c>
      <c r="E769">
        <v>2025</v>
      </c>
      <c r="F769">
        <v>1</v>
      </c>
      <c r="G769" t="s">
        <v>417</v>
      </c>
      <c r="H769" t="s">
        <v>418</v>
      </c>
      <c r="I769" t="s">
        <v>124</v>
      </c>
      <c r="J769" s="15">
        <v>145547.37</v>
      </c>
      <c r="K769" s="15">
        <v>0</v>
      </c>
      <c r="L769" s="15">
        <f t="shared" si="55"/>
        <v>145547.37</v>
      </c>
      <c r="M769" t="s">
        <v>125</v>
      </c>
      <c r="N769" t="s">
        <v>1714</v>
      </c>
      <c r="O769" t="s">
        <v>127</v>
      </c>
      <c r="P769" t="s">
        <v>151</v>
      </c>
      <c r="Q769" t="s">
        <v>150</v>
      </c>
      <c r="R769" s="16">
        <v>45661.864583333299</v>
      </c>
      <c r="S769" t="s">
        <v>130</v>
      </c>
      <c r="V769" t="b">
        <f t="shared" si="56"/>
        <v>0</v>
      </c>
      <c r="W769" t="b">
        <f>AND(OR(WEEKDAY(C769,2)=5,WEEKDAY(C769,2)=6),'01_Parameters'!$C$11="Enabled")</f>
        <v>1</v>
      </c>
      <c r="X769" t="b">
        <f t="shared" si="57"/>
        <v>1</v>
      </c>
      <c r="Y769" t="b">
        <f t="shared" si="58"/>
        <v>1</v>
      </c>
      <c r="Z769" t="b">
        <f t="shared" si="59"/>
        <v>0</v>
      </c>
    </row>
    <row r="770" spans="1:26" ht="15" customHeight="1">
      <c r="A770" t="s">
        <v>1712</v>
      </c>
      <c r="B770" t="s">
        <v>1715</v>
      </c>
      <c r="C770" s="14">
        <v>45661</v>
      </c>
      <c r="D770" s="14">
        <v>45656</v>
      </c>
      <c r="E770">
        <v>2025</v>
      </c>
      <c r="F770">
        <v>1</v>
      </c>
      <c r="G770" t="s">
        <v>132</v>
      </c>
      <c r="H770" t="s">
        <v>133</v>
      </c>
      <c r="I770" t="s">
        <v>134</v>
      </c>
      <c r="J770" s="15">
        <v>0</v>
      </c>
      <c r="K770" s="15">
        <v>145547.37</v>
      </c>
      <c r="L770" s="15">
        <f t="shared" si="55"/>
        <v>-145547.37</v>
      </c>
      <c r="M770" t="s">
        <v>125</v>
      </c>
      <c r="N770" t="s">
        <v>1714</v>
      </c>
      <c r="O770" t="s">
        <v>127</v>
      </c>
      <c r="P770" t="s">
        <v>151</v>
      </c>
      <c r="Q770" t="s">
        <v>150</v>
      </c>
      <c r="R770" s="16">
        <v>45661.864583333299</v>
      </c>
      <c r="S770" t="s">
        <v>130</v>
      </c>
      <c r="V770" t="b">
        <f t="shared" si="56"/>
        <v>0</v>
      </c>
      <c r="W770" t="b">
        <f>AND(OR(WEEKDAY(C770,2)=5,WEEKDAY(C770,2)=6),'01_Parameters'!$C$11="Enabled")</f>
        <v>1</v>
      </c>
      <c r="X770" t="b">
        <f t="shared" si="57"/>
        <v>1</v>
      </c>
      <c r="Y770" t="b">
        <f t="shared" si="58"/>
        <v>1</v>
      </c>
      <c r="Z770" t="b">
        <f t="shared" si="59"/>
        <v>0</v>
      </c>
    </row>
    <row r="771" spans="1:26" ht="15" customHeight="1">
      <c r="A771" t="s">
        <v>1716</v>
      </c>
      <c r="B771" t="s">
        <v>1717</v>
      </c>
      <c r="C771" s="14">
        <v>45991</v>
      </c>
      <c r="D771" s="14">
        <v>45986</v>
      </c>
      <c r="E771">
        <v>2025</v>
      </c>
      <c r="F771">
        <v>11</v>
      </c>
      <c r="G771" t="s">
        <v>158</v>
      </c>
      <c r="H771" t="s">
        <v>159</v>
      </c>
      <c r="I771" t="s">
        <v>124</v>
      </c>
      <c r="J771" s="15">
        <v>84274.66</v>
      </c>
      <c r="K771" s="15">
        <v>0</v>
      </c>
      <c r="L771" s="15">
        <f t="shared" si="55"/>
        <v>84274.66</v>
      </c>
      <c r="M771" t="s">
        <v>160</v>
      </c>
      <c r="N771" t="s">
        <v>1718</v>
      </c>
      <c r="O771" t="s">
        <v>162</v>
      </c>
      <c r="P771" t="s">
        <v>129</v>
      </c>
      <c r="Q771" t="s">
        <v>151</v>
      </c>
      <c r="R771" s="16">
        <v>45991.614583333299</v>
      </c>
      <c r="S771" t="s">
        <v>130</v>
      </c>
      <c r="V771" t="b">
        <f t="shared" si="56"/>
        <v>0</v>
      </c>
      <c r="W771" t="b">
        <f>AND(OR(WEEKDAY(C771,2)=5,WEEKDAY(C771,2)=6),'01_Parameters'!$C$11="Enabled")</f>
        <v>0</v>
      </c>
      <c r="X771" t="b">
        <f t="shared" si="57"/>
        <v>0</v>
      </c>
      <c r="Y771" t="b">
        <f t="shared" si="58"/>
        <v>0</v>
      </c>
      <c r="Z771" t="b">
        <f t="shared" si="59"/>
        <v>0</v>
      </c>
    </row>
    <row r="772" spans="1:26" ht="15" customHeight="1">
      <c r="A772" t="s">
        <v>1716</v>
      </c>
      <c r="B772" t="s">
        <v>1719</v>
      </c>
      <c r="C772" s="14">
        <v>45991</v>
      </c>
      <c r="D772" s="14">
        <v>45986</v>
      </c>
      <c r="E772">
        <v>2025</v>
      </c>
      <c r="F772">
        <v>11</v>
      </c>
      <c r="G772" t="s">
        <v>164</v>
      </c>
      <c r="H772" t="s">
        <v>165</v>
      </c>
      <c r="I772" t="s">
        <v>146</v>
      </c>
      <c r="J772" s="15">
        <v>0</v>
      </c>
      <c r="K772" s="15">
        <v>84274.66</v>
      </c>
      <c r="L772" s="15">
        <f t="shared" si="55"/>
        <v>-84274.66</v>
      </c>
      <c r="M772" t="s">
        <v>160</v>
      </c>
      <c r="N772" t="s">
        <v>1718</v>
      </c>
      <c r="O772" t="s">
        <v>162</v>
      </c>
      <c r="P772" t="s">
        <v>129</v>
      </c>
      <c r="Q772" t="s">
        <v>151</v>
      </c>
      <c r="R772" s="16">
        <v>45991.614583333299</v>
      </c>
      <c r="S772" t="s">
        <v>130</v>
      </c>
      <c r="V772" t="b">
        <f t="shared" si="56"/>
        <v>0</v>
      </c>
      <c r="W772" t="b">
        <f>AND(OR(WEEKDAY(C772,2)=5,WEEKDAY(C772,2)=6),'01_Parameters'!$C$11="Enabled")</f>
        <v>0</v>
      </c>
      <c r="X772" t="b">
        <f t="shared" si="57"/>
        <v>0</v>
      </c>
      <c r="Y772" t="b">
        <f t="shared" si="58"/>
        <v>0</v>
      </c>
      <c r="Z772" t="b">
        <f t="shared" si="59"/>
        <v>0</v>
      </c>
    </row>
    <row r="773" spans="1:26" ht="15" customHeight="1">
      <c r="A773" t="s">
        <v>1720</v>
      </c>
      <c r="B773" t="s">
        <v>1721</v>
      </c>
      <c r="C773" s="14">
        <v>45877</v>
      </c>
      <c r="D773" s="14">
        <v>45876</v>
      </c>
      <c r="E773">
        <v>2025</v>
      </c>
      <c r="F773">
        <v>8</v>
      </c>
      <c r="G773" t="s">
        <v>158</v>
      </c>
      <c r="H773" t="s">
        <v>159</v>
      </c>
      <c r="I773" t="s">
        <v>124</v>
      </c>
      <c r="J773" s="15">
        <v>31299.79</v>
      </c>
      <c r="K773" s="15">
        <v>0</v>
      </c>
      <c r="L773" s="15">
        <f t="shared" ref="L773:L836" si="60">J773-K773</f>
        <v>31299.79</v>
      </c>
      <c r="M773" t="s">
        <v>160</v>
      </c>
      <c r="N773" t="s">
        <v>1722</v>
      </c>
      <c r="O773" t="s">
        <v>162</v>
      </c>
      <c r="P773" t="s">
        <v>128</v>
      </c>
      <c r="Q773" t="s">
        <v>150</v>
      </c>
      <c r="R773" s="16">
        <v>45877.260416666701</v>
      </c>
      <c r="S773" t="s">
        <v>130</v>
      </c>
      <c r="V773" t="b">
        <f t="shared" ref="V773:V836" si="61">AND(C773&gt;=Year_End_Window_Start,C773&lt;=Year_End_Window_End)</f>
        <v>0</v>
      </c>
      <c r="W773" t="b">
        <f>AND(OR(WEEKDAY(C773,2)=5,WEEKDAY(C773,2)=6),'01_Parameters'!$C$11="Enabled")</f>
        <v>1</v>
      </c>
      <c r="X773" t="b">
        <f t="shared" ref="X773:X836" si="62">AND(HOUR(R773)&lt;Business_Day_Start,HOUR(R773)&gt;=0)+AND(HOUR(R773)&gt;=Business_Day_End,HOUR(R773)&lt;=23)&gt;0</f>
        <v>1</v>
      </c>
      <c r="Y773" t="b">
        <f t="shared" ref="Y773:Y836" si="63">ABS(L773)&gt;High_Value_GL_Threshold</f>
        <v>0</v>
      </c>
      <c r="Z773" t="b">
        <f t="shared" ref="Z773:Z836" si="64">AND(ABS(L773)&gt;=Round_Number_Threshold,MOD(ABS(L773),Round_Number_Threshold)=0)</f>
        <v>0</v>
      </c>
    </row>
    <row r="774" spans="1:26" ht="15" customHeight="1">
      <c r="A774" t="s">
        <v>1720</v>
      </c>
      <c r="B774" t="s">
        <v>1723</v>
      </c>
      <c r="C774" s="14">
        <v>45877</v>
      </c>
      <c r="D774" s="14">
        <v>45876</v>
      </c>
      <c r="E774">
        <v>2025</v>
      </c>
      <c r="F774">
        <v>8</v>
      </c>
      <c r="G774" t="s">
        <v>164</v>
      </c>
      <c r="H774" t="s">
        <v>165</v>
      </c>
      <c r="I774" t="s">
        <v>146</v>
      </c>
      <c r="J774" s="15">
        <v>0</v>
      </c>
      <c r="K774" s="15">
        <v>31299.79</v>
      </c>
      <c r="L774" s="15">
        <f t="shared" si="60"/>
        <v>-31299.79</v>
      </c>
      <c r="M774" t="s">
        <v>160</v>
      </c>
      <c r="N774" t="s">
        <v>1722</v>
      </c>
      <c r="O774" t="s">
        <v>162</v>
      </c>
      <c r="P774" t="s">
        <v>128</v>
      </c>
      <c r="Q774" t="s">
        <v>150</v>
      </c>
      <c r="R774" s="16">
        <v>45877.260416666701</v>
      </c>
      <c r="S774" t="s">
        <v>130</v>
      </c>
      <c r="V774" t="b">
        <f t="shared" si="61"/>
        <v>0</v>
      </c>
      <c r="W774" t="b">
        <f>AND(OR(WEEKDAY(C774,2)=5,WEEKDAY(C774,2)=6),'01_Parameters'!$C$11="Enabled")</f>
        <v>1</v>
      </c>
      <c r="X774" t="b">
        <f t="shared" si="62"/>
        <v>1</v>
      </c>
      <c r="Y774" t="b">
        <f t="shared" si="63"/>
        <v>0</v>
      </c>
      <c r="Z774" t="b">
        <f t="shared" si="64"/>
        <v>0</v>
      </c>
    </row>
    <row r="775" spans="1:26" ht="15" customHeight="1">
      <c r="A775" t="s">
        <v>1724</v>
      </c>
      <c r="B775" t="s">
        <v>1725</v>
      </c>
      <c r="C775" s="14">
        <v>45896</v>
      </c>
      <c r="D775" s="14">
        <v>45896</v>
      </c>
      <c r="E775">
        <v>2025</v>
      </c>
      <c r="F775">
        <v>8</v>
      </c>
      <c r="G775" t="s">
        <v>193</v>
      </c>
      <c r="H775" t="s">
        <v>194</v>
      </c>
      <c r="I775" t="s">
        <v>124</v>
      </c>
      <c r="J775" s="15">
        <v>1881.83</v>
      </c>
      <c r="K775" s="15">
        <v>0</v>
      </c>
      <c r="L775" s="15">
        <f t="shared" si="60"/>
        <v>1881.83</v>
      </c>
      <c r="M775" t="s">
        <v>195</v>
      </c>
      <c r="N775" t="s">
        <v>1726</v>
      </c>
      <c r="O775" t="s">
        <v>197</v>
      </c>
      <c r="P775" t="s">
        <v>140</v>
      </c>
      <c r="Q775" t="s">
        <v>151</v>
      </c>
      <c r="R775" s="16">
        <v>45896.583333333299</v>
      </c>
      <c r="S775" t="s">
        <v>130</v>
      </c>
      <c r="V775" t="b">
        <f t="shared" si="61"/>
        <v>0</v>
      </c>
      <c r="W775" t="b">
        <f>AND(OR(WEEKDAY(C775,2)=5,WEEKDAY(C775,2)=6),'01_Parameters'!$C$11="Enabled")</f>
        <v>0</v>
      </c>
      <c r="X775" t="b">
        <f t="shared" si="62"/>
        <v>0</v>
      </c>
      <c r="Y775" t="b">
        <f t="shared" si="63"/>
        <v>0</v>
      </c>
      <c r="Z775" t="b">
        <f t="shared" si="64"/>
        <v>0</v>
      </c>
    </row>
    <row r="776" spans="1:26" ht="15" customHeight="1">
      <c r="A776" t="s">
        <v>1724</v>
      </c>
      <c r="B776" t="s">
        <v>1727</v>
      </c>
      <c r="C776" s="14">
        <v>45896</v>
      </c>
      <c r="D776" s="14">
        <v>45896</v>
      </c>
      <c r="E776">
        <v>2025</v>
      </c>
      <c r="F776">
        <v>8</v>
      </c>
      <c r="G776" t="s">
        <v>199</v>
      </c>
      <c r="H776" t="s">
        <v>200</v>
      </c>
      <c r="I776" t="s">
        <v>146</v>
      </c>
      <c r="J776" s="15">
        <v>0</v>
      </c>
      <c r="K776" s="15">
        <v>1881.83</v>
      </c>
      <c r="L776" s="15">
        <f t="shared" si="60"/>
        <v>-1881.83</v>
      </c>
      <c r="M776" t="s">
        <v>195</v>
      </c>
      <c r="N776" t="s">
        <v>1726</v>
      </c>
      <c r="O776" t="s">
        <v>197</v>
      </c>
      <c r="P776" t="s">
        <v>140</v>
      </c>
      <c r="Q776" t="s">
        <v>151</v>
      </c>
      <c r="R776" s="16">
        <v>45896.583333333299</v>
      </c>
      <c r="S776" t="s">
        <v>130</v>
      </c>
      <c r="V776" t="b">
        <f t="shared" si="61"/>
        <v>0</v>
      </c>
      <c r="W776" t="b">
        <f>AND(OR(WEEKDAY(C776,2)=5,WEEKDAY(C776,2)=6),'01_Parameters'!$C$11="Enabled")</f>
        <v>0</v>
      </c>
      <c r="X776" t="b">
        <f t="shared" si="62"/>
        <v>0</v>
      </c>
      <c r="Y776" t="b">
        <f t="shared" si="63"/>
        <v>0</v>
      </c>
      <c r="Z776" t="b">
        <f t="shared" si="64"/>
        <v>0</v>
      </c>
    </row>
    <row r="777" spans="1:26" ht="15" customHeight="1">
      <c r="A777" t="s">
        <v>1728</v>
      </c>
      <c r="B777" t="s">
        <v>1729</v>
      </c>
      <c r="C777" s="14">
        <v>45956</v>
      </c>
      <c r="D777" s="14">
        <v>45951</v>
      </c>
      <c r="E777">
        <v>2025</v>
      </c>
      <c r="F777">
        <v>10</v>
      </c>
      <c r="G777" t="s">
        <v>144</v>
      </c>
      <c r="H777" t="s">
        <v>145</v>
      </c>
      <c r="I777" t="s">
        <v>146</v>
      </c>
      <c r="J777" s="15">
        <v>10385.34</v>
      </c>
      <c r="K777" s="15">
        <v>0</v>
      </c>
      <c r="L777" s="15">
        <f t="shared" si="60"/>
        <v>10385.34</v>
      </c>
      <c r="M777" t="s">
        <v>147</v>
      </c>
      <c r="N777" t="s">
        <v>1730</v>
      </c>
      <c r="O777" t="s">
        <v>149</v>
      </c>
      <c r="P777" t="s">
        <v>128</v>
      </c>
      <c r="Q777" t="s">
        <v>140</v>
      </c>
      <c r="R777" s="16">
        <v>45956.291666666701</v>
      </c>
      <c r="S777" t="s">
        <v>130</v>
      </c>
      <c r="V777" t="b">
        <f t="shared" si="61"/>
        <v>0</v>
      </c>
      <c r="W777" t="b">
        <f>AND(OR(WEEKDAY(C777,2)=5,WEEKDAY(C777,2)=6),'01_Parameters'!$C$11="Enabled")</f>
        <v>0</v>
      </c>
      <c r="X777" t="b">
        <f t="shared" si="62"/>
        <v>1</v>
      </c>
      <c r="Y777" t="b">
        <f t="shared" si="63"/>
        <v>0</v>
      </c>
      <c r="Z777" t="b">
        <f t="shared" si="64"/>
        <v>0</v>
      </c>
    </row>
    <row r="778" spans="1:26" ht="15" customHeight="1">
      <c r="A778" t="s">
        <v>1728</v>
      </c>
      <c r="B778" t="s">
        <v>1731</v>
      </c>
      <c r="C778" s="14">
        <v>45956</v>
      </c>
      <c r="D778" s="14">
        <v>45951</v>
      </c>
      <c r="E778">
        <v>2025</v>
      </c>
      <c r="F778">
        <v>10</v>
      </c>
      <c r="G778" t="s">
        <v>153</v>
      </c>
      <c r="H778" t="s">
        <v>154</v>
      </c>
      <c r="I778" t="s">
        <v>155</v>
      </c>
      <c r="J778" s="15">
        <v>0</v>
      </c>
      <c r="K778" s="15">
        <v>10385.34</v>
      </c>
      <c r="L778" s="15">
        <f t="shared" si="60"/>
        <v>-10385.34</v>
      </c>
      <c r="M778" t="s">
        <v>147</v>
      </c>
      <c r="N778" t="s">
        <v>1730</v>
      </c>
      <c r="O778" t="s">
        <v>149</v>
      </c>
      <c r="P778" t="s">
        <v>128</v>
      </c>
      <c r="Q778" t="s">
        <v>140</v>
      </c>
      <c r="R778" s="16">
        <v>45956.291666666701</v>
      </c>
      <c r="S778" t="s">
        <v>130</v>
      </c>
      <c r="V778" t="b">
        <f t="shared" si="61"/>
        <v>0</v>
      </c>
      <c r="W778" t="b">
        <f>AND(OR(WEEKDAY(C778,2)=5,WEEKDAY(C778,2)=6),'01_Parameters'!$C$11="Enabled")</f>
        <v>0</v>
      </c>
      <c r="X778" t="b">
        <f t="shared" si="62"/>
        <v>1</v>
      </c>
      <c r="Y778" t="b">
        <f t="shared" si="63"/>
        <v>0</v>
      </c>
      <c r="Z778" t="b">
        <f t="shared" si="64"/>
        <v>0</v>
      </c>
    </row>
    <row r="779" spans="1:26" ht="15" customHeight="1">
      <c r="A779" t="s">
        <v>1732</v>
      </c>
      <c r="B779" t="s">
        <v>1733</v>
      </c>
      <c r="C779" s="14">
        <v>45915</v>
      </c>
      <c r="D779" s="14">
        <v>45910</v>
      </c>
      <c r="E779">
        <v>2025</v>
      </c>
      <c r="F779">
        <v>9</v>
      </c>
      <c r="G779" t="s">
        <v>193</v>
      </c>
      <c r="H779" t="s">
        <v>194</v>
      </c>
      <c r="I779" t="s">
        <v>124</v>
      </c>
      <c r="J779" s="15">
        <v>61765.1</v>
      </c>
      <c r="K779" s="15">
        <v>0</v>
      </c>
      <c r="L779" s="15">
        <f t="shared" si="60"/>
        <v>61765.1</v>
      </c>
      <c r="M779" t="s">
        <v>195</v>
      </c>
      <c r="N779" t="s">
        <v>1734</v>
      </c>
      <c r="O779" t="s">
        <v>197</v>
      </c>
      <c r="P779" t="s">
        <v>151</v>
      </c>
      <c r="Q779" t="s">
        <v>129</v>
      </c>
      <c r="R779" s="16">
        <v>45915.927083333299</v>
      </c>
      <c r="S779" t="s">
        <v>130</v>
      </c>
      <c r="V779" t="b">
        <f t="shared" si="61"/>
        <v>0</v>
      </c>
      <c r="W779" t="b">
        <f>AND(OR(WEEKDAY(C779,2)=5,WEEKDAY(C779,2)=6),'01_Parameters'!$C$11="Enabled")</f>
        <v>0</v>
      </c>
      <c r="X779" t="b">
        <f t="shared" si="62"/>
        <v>1</v>
      </c>
      <c r="Y779" t="b">
        <f t="shared" si="63"/>
        <v>0</v>
      </c>
      <c r="Z779" t="b">
        <f t="shared" si="64"/>
        <v>0</v>
      </c>
    </row>
    <row r="780" spans="1:26" ht="15" customHeight="1">
      <c r="A780" t="s">
        <v>1732</v>
      </c>
      <c r="B780" t="s">
        <v>1735</v>
      </c>
      <c r="C780" s="14">
        <v>45915</v>
      </c>
      <c r="D780" s="14">
        <v>45910</v>
      </c>
      <c r="E780">
        <v>2025</v>
      </c>
      <c r="F780">
        <v>9</v>
      </c>
      <c r="G780" t="s">
        <v>199</v>
      </c>
      <c r="H780" t="s">
        <v>200</v>
      </c>
      <c r="I780" t="s">
        <v>146</v>
      </c>
      <c r="J780" s="15">
        <v>0</v>
      </c>
      <c r="K780" s="15">
        <v>61765.1</v>
      </c>
      <c r="L780" s="15">
        <f t="shared" si="60"/>
        <v>-61765.1</v>
      </c>
      <c r="M780" t="s">
        <v>195</v>
      </c>
      <c r="N780" t="s">
        <v>1734</v>
      </c>
      <c r="O780" t="s">
        <v>197</v>
      </c>
      <c r="P780" t="s">
        <v>151</v>
      </c>
      <c r="Q780" t="s">
        <v>129</v>
      </c>
      <c r="R780" s="16">
        <v>45915.927083333299</v>
      </c>
      <c r="S780" t="s">
        <v>130</v>
      </c>
      <c r="V780" t="b">
        <f t="shared" si="61"/>
        <v>0</v>
      </c>
      <c r="W780" t="b">
        <f>AND(OR(WEEKDAY(C780,2)=5,WEEKDAY(C780,2)=6),'01_Parameters'!$C$11="Enabled")</f>
        <v>0</v>
      </c>
      <c r="X780" t="b">
        <f t="shared" si="62"/>
        <v>1</v>
      </c>
      <c r="Y780" t="b">
        <f t="shared" si="63"/>
        <v>0</v>
      </c>
      <c r="Z780" t="b">
        <f t="shared" si="64"/>
        <v>0</v>
      </c>
    </row>
    <row r="781" spans="1:26" ht="15" customHeight="1">
      <c r="A781" t="s">
        <v>1736</v>
      </c>
      <c r="B781" t="s">
        <v>1737</v>
      </c>
      <c r="C781" s="14">
        <v>45953</v>
      </c>
      <c r="D781" s="14">
        <v>45949</v>
      </c>
      <c r="E781">
        <v>2025</v>
      </c>
      <c r="F781">
        <v>10</v>
      </c>
      <c r="G781" t="s">
        <v>193</v>
      </c>
      <c r="H781" t="s">
        <v>194</v>
      </c>
      <c r="I781" t="s">
        <v>124</v>
      </c>
      <c r="J781" s="15">
        <v>84845.62</v>
      </c>
      <c r="K781" s="15">
        <v>0</v>
      </c>
      <c r="L781" s="15">
        <f t="shared" si="60"/>
        <v>84845.62</v>
      </c>
      <c r="M781" t="s">
        <v>195</v>
      </c>
      <c r="N781" t="s">
        <v>1738</v>
      </c>
      <c r="O781" t="s">
        <v>197</v>
      </c>
      <c r="P781" t="s">
        <v>140</v>
      </c>
      <c r="Q781" t="s">
        <v>150</v>
      </c>
      <c r="R781" s="16">
        <v>45953.84375</v>
      </c>
      <c r="S781" t="s">
        <v>130</v>
      </c>
      <c r="V781" t="b">
        <f t="shared" si="61"/>
        <v>0</v>
      </c>
      <c r="W781" t="b">
        <f>AND(OR(WEEKDAY(C781,2)=5,WEEKDAY(C781,2)=6),'01_Parameters'!$C$11="Enabled")</f>
        <v>0</v>
      </c>
      <c r="X781" t="b">
        <f t="shared" si="62"/>
        <v>1</v>
      </c>
      <c r="Y781" t="b">
        <f t="shared" si="63"/>
        <v>0</v>
      </c>
      <c r="Z781" t="b">
        <f t="shared" si="64"/>
        <v>0</v>
      </c>
    </row>
    <row r="782" spans="1:26" ht="15" customHeight="1">
      <c r="A782" t="s">
        <v>1736</v>
      </c>
      <c r="B782" t="s">
        <v>1739</v>
      </c>
      <c r="C782" s="14">
        <v>45953</v>
      </c>
      <c r="D782" s="14">
        <v>45949</v>
      </c>
      <c r="E782">
        <v>2025</v>
      </c>
      <c r="F782">
        <v>10</v>
      </c>
      <c r="G782" t="s">
        <v>199</v>
      </c>
      <c r="H782" t="s">
        <v>200</v>
      </c>
      <c r="I782" t="s">
        <v>146</v>
      </c>
      <c r="J782" s="15">
        <v>0</v>
      </c>
      <c r="K782" s="15">
        <v>84845.62</v>
      </c>
      <c r="L782" s="15">
        <f t="shared" si="60"/>
        <v>-84845.62</v>
      </c>
      <c r="M782" t="s">
        <v>195</v>
      </c>
      <c r="N782" t="s">
        <v>1738</v>
      </c>
      <c r="O782" t="s">
        <v>197</v>
      </c>
      <c r="P782" t="s">
        <v>140</v>
      </c>
      <c r="Q782" t="s">
        <v>150</v>
      </c>
      <c r="R782" s="16">
        <v>45953.84375</v>
      </c>
      <c r="S782" t="s">
        <v>130</v>
      </c>
      <c r="V782" t="b">
        <f t="shared" si="61"/>
        <v>0</v>
      </c>
      <c r="W782" t="b">
        <f>AND(OR(WEEKDAY(C782,2)=5,WEEKDAY(C782,2)=6),'01_Parameters'!$C$11="Enabled")</f>
        <v>0</v>
      </c>
      <c r="X782" t="b">
        <f t="shared" si="62"/>
        <v>1</v>
      </c>
      <c r="Y782" t="b">
        <f t="shared" si="63"/>
        <v>0</v>
      </c>
      <c r="Z782" t="b">
        <f t="shared" si="64"/>
        <v>0</v>
      </c>
    </row>
    <row r="783" spans="1:26" ht="15" customHeight="1">
      <c r="A783" t="s">
        <v>1740</v>
      </c>
      <c r="B783" t="s">
        <v>1741</v>
      </c>
      <c r="C783" s="14">
        <v>45788</v>
      </c>
      <c r="D783" s="14">
        <v>45784</v>
      </c>
      <c r="E783">
        <v>2025</v>
      </c>
      <c r="F783">
        <v>5</v>
      </c>
      <c r="G783" t="s">
        <v>179</v>
      </c>
      <c r="H783" t="s">
        <v>180</v>
      </c>
      <c r="I783" t="s">
        <v>124</v>
      </c>
      <c r="J783" s="15">
        <v>27517.83</v>
      </c>
      <c r="K783" s="15">
        <v>0</v>
      </c>
      <c r="L783" s="15">
        <f t="shared" si="60"/>
        <v>27517.83</v>
      </c>
      <c r="M783" t="s">
        <v>181</v>
      </c>
      <c r="N783" t="s">
        <v>1742</v>
      </c>
      <c r="O783" t="s">
        <v>183</v>
      </c>
      <c r="P783" t="s">
        <v>150</v>
      </c>
      <c r="Q783" t="s">
        <v>140</v>
      </c>
      <c r="R783" s="16">
        <v>45788.25</v>
      </c>
      <c r="S783" t="s">
        <v>130</v>
      </c>
      <c r="V783" t="b">
        <f t="shared" si="61"/>
        <v>0</v>
      </c>
      <c r="W783" t="b">
        <f>AND(OR(WEEKDAY(C783,2)=5,WEEKDAY(C783,2)=6),'01_Parameters'!$C$11="Enabled")</f>
        <v>0</v>
      </c>
      <c r="X783" t="b">
        <f t="shared" si="62"/>
        <v>1</v>
      </c>
      <c r="Y783" t="b">
        <f t="shared" si="63"/>
        <v>0</v>
      </c>
      <c r="Z783" t="b">
        <f t="shared" si="64"/>
        <v>0</v>
      </c>
    </row>
    <row r="784" spans="1:26" ht="15" customHeight="1">
      <c r="A784" t="s">
        <v>1740</v>
      </c>
      <c r="B784" t="s">
        <v>1743</v>
      </c>
      <c r="C784" s="14">
        <v>45788</v>
      </c>
      <c r="D784" s="14">
        <v>45784</v>
      </c>
      <c r="E784">
        <v>2025</v>
      </c>
      <c r="F784">
        <v>5</v>
      </c>
      <c r="G784" t="s">
        <v>185</v>
      </c>
      <c r="H784" t="s">
        <v>186</v>
      </c>
      <c r="I784" t="s">
        <v>134</v>
      </c>
      <c r="J784" s="15">
        <v>0</v>
      </c>
      <c r="K784" s="15">
        <v>27517.83</v>
      </c>
      <c r="L784" s="15">
        <f t="shared" si="60"/>
        <v>-27517.83</v>
      </c>
      <c r="M784" t="s">
        <v>181</v>
      </c>
      <c r="N784" t="s">
        <v>1742</v>
      </c>
      <c r="O784" t="s">
        <v>183</v>
      </c>
      <c r="P784" t="s">
        <v>150</v>
      </c>
      <c r="Q784" t="s">
        <v>140</v>
      </c>
      <c r="R784" s="16">
        <v>45788.25</v>
      </c>
      <c r="S784" t="s">
        <v>130</v>
      </c>
      <c r="V784" t="b">
        <f t="shared" si="61"/>
        <v>0</v>
      </c>
      <c r="W784" t="b">
        <f>AND(OR(WEEKDAY(C784,2)=5,WEEKDAY(C784,2)=6),'01_Parameters'!$C$11="Enabled")</f>
        <v>0</v>
      </c>
      <c r="X784" t="b">
        <f t="shared" si="62"/>
        <v>1</v>
      </c>
      <c r="Y784" t="b">
        <f t="shared" si="63"/>
        <v>0</v>
      </c>
      <c r="Z784" t="b">
        <f t="shared" si="64"/>
        <v>0</v>
      </c>
    </row>
    <row r="785" spans="1:26" ht="15" customHeight="1">
      <c r="A785" t="s">
        <v>1744</v>
      </c>
      <c r="B785" t="s">
        <v>1745</v>
      </c>
      <c r="C785" s="14">
        <v>45935</v>
      </c>
      <c r="D785" s="14">
        <v>45933</v>
      </c>
      <c r="E785">
        <v>2025</v>
      </c>
      <c r="F785">
        <v>10</v>
      </c>
      <c r="G785" t="s">
        <v>417</v>
      </c>
      <c r="H785" t="s">
        <v>418</v>
      </c>
      <c r="I785" t="s">
        <v>124</v>
      </c>
      <c r="J785" s="15">
        <v>125857.4</v>
      </c>
      <c r="K785" s="15">
        <v>0</v>
      </c>
      <c r="L785" s="15">
        <f t="shared" si="60"/>
        <v>125857.4</v>
      </c>
      <c r="M785" t="s">
        <v>125</v>
      </c>
      <c r="N785" t="s">
        <v>1746</v>
      </c>
      <c r="O785" t="s">
        <v>127</v>
      </c>
      <c r="P785" t="s">
        <v>140</v>
      </c>
      <c r="Q785" t="s">
        <v>151</v>
      </c>
      <c r="R785" s="16">
        <v>45935.854166666701</v>
      </c>
      <c r="S785" t="s">
        <v>130</v>
      </c>
      <c r="V785" t="b">
        <f t="shared" si="61"/>
        <v>0</v>
      </c>
      <c r="W785" t="b">
        <f>AND(OR(WEEKDAY(C785,2)=5,WEEKDAY(C785,2)=6),'01_Parameters'!$C$11="Enabled")</f>
        <v>0</v>
      </c>
      <c r="X785" t="b">
        <f t="shared" si="62"/>
        <v>1</v>
      </c>
      <c r="Y785" t="b">
        <f t="shared" si="63"/>
        <v>1</v>
      </c>
      <c r="Z785" t="b">
        <f t="shared" si="64"/>
        <v>0</v>
      </c>
    </row>
    <row r="786" spans="1:26" ht="15" customHeight="1">
      <c r="A786" t="s">
        <v>1744</v>
      </c>
      <c r="B786" t="s">
        <v>1747</v>
      </c>
      <c r="C786" s="14">
        <v>45935</v>
      </c>
      <c r="D786" s="14">
        <v>45933</v>
      </c>
      <c r="E786">
        <v>2025</v>
      </c>
      <c r="F786">
        <v>10</v>
      </c>
      <c r="G786" t="s">
        <v>132</v>
      </c>
      <c r="H786" t="s">
        <v>133</v>
      </c>
      <c r="I786" t="s">
        <v>134</v>
      </c>
      <c r="J786" s="15">
        <v>0</v>
      </c>
      <c r="K786" s="15">
        <v>125857.4</v>
      </c>
      <c r="L786" s="15">
        <f t="shared" si="60"/>
        <v>-125857.4</v>
      </c>
      <c r="M786" t="s">
        <v>125</v>
      </c>
      <c r="N786" t="s">
        <v>1746</v>
      </c>
      <c r="O786" t="s">
        <v>127</v>
      </c>
      <c r="P786" t="s">
        <v>140</v>
      </c>
      <c r="Q786" t="s">
        <v>151</v>
      </c>
      <c r="R786" s="16">
        <v>45935.854166666701</v>
      </c>
      <c r="S786" t="s">
        <v>130</v>
      </c>
      <c r="V786" t="b">
        <f t="shared" si="61"/>
        <v>0</v>
      </c>
      <c r="W786" t="b">
        <f>AND(OR(WEEKDAY(C786,2)=5,WEEKDAY(C786,2)=6),'01_Parameters'!$C$11="Enabled")</f>
        <v>0</v>
      </c>
      <c r="X786" t="b">
        <f t="shared" si="62"/>
        <v>1</v>
      </c>
      <c r="Y786" t="b">
        <f t="shared" si="63"/>
        <v>1</v>
      </c>
      <c r="Z786" t="b">
        <f t="shared" si="64"/>
        <v>0</v>
      </c>
    </row>
    <row r="787" spans="1:26" ht="15" customHeight="1">
      <c r="A787" t="s">
        <v>1748</v>
      </c>
      <c r="B787" t="s">
        <v>1749</v>
      </c>
      <c r="C787" s="14">
        <v>46004</v>
      </c>
      <c r="D787" s="14">
        <v>45999</v>
      </c>
      <c r="E787">
        <v>2025</v>
      </c>
      <c r="F787">
        <v>12</v>
      </c>
      <c r="G787" t="s">
        <v>144</v>
      </c>
      <c r="H787" t="s">
        <v>145</v>
      </c>
      <c r="I787" t="s">
        <v>146</v>
      </c>
      <c r="J787" s="15">
        <v>78455.11</v>
      </c>
      <c r="K787" s="15">
        <v>0</v>
      </c>
      <c r="L787" s="15">
        <f t="shared" si="60"/>
        <v>78455.11</v>
      </c>
      <c r="M787" t="s">
        <v>147</v>
      </c>
      <c r="N787" t="s">
        <v>1750</v>
      </c>
      <c r="O787" t="s">
        <v>149</v>
      </c>
      <c r="P787" t="s">
        <v>128</v>
      </c>
      <c r="Q787" t="s">
        <v>129</v>
      </c>
      <c r="R787" s="16">
        <v>46004.875</v>
      </c>
      <c r="S787" t="s">
        <v>130</v>
      </c>
      <c r="V787" t="b">
        <f t="shared" si="61"/>
        <v>0</v>
      </c>
      <c r="W787" t="b">
        <f>AND(OR(WEEKDAY(C787,2)=5,WEEKDAY(C787,2)=6),'01_Parameters'!$C$11="Enabled")</f>
        <v>1</v>
      </c>
      <c r="X787" t="b">
        <f t="shared" si="62"/>
        <v>1</v>
      </c>
      <c r="Y787" t="b">
        <f t="shared" si="63"/>
        <v>0</v>
      </c>
      <c r="Z787" t="b">
        <f t="shared" si="64"/>
        <v>0</v>
      </c>
    </row>
    <row r="788" spans="1:26" ht="15" customHeight="1">
      <c r="A788" t="s">
        <v>1748</v>
      </c>
      <c r="B788" t="s">
        <v>1751</v>
      </c>
      <c r="C788" s="14">
        <v>46004</v>
      </c>
      <c r="D788" s="14">
        <v>45999</v>
      </c>
      <c r="E788">
        <v>2025</v>
      </c>
      <c r="F788">
        <v>12</v>
      </c>
      <c r="G788" t="s">
        <v>153</v>
      </c>
      <c r="H788" t="s">
        <v>154</v>
      </c>
      <c r="I788" t="s">
        <v>155</v>
      </c>
      <c r="J788" s="15">
        <v>0</v>
      </c>
      <c r="K788" s="15">
        <v>78455.11</v>
      </c>
      <c r="L788" s="15">
        <f t="shared" si="60"/>
        <v>-78455.11</v>
      </c>
      <c r="M788" t="s">
        <v>147</v>
      </c>
      <c r="N788" t="s">
        <v>1750</v>
      </c>
      <c r="O788" t="s">
        <v>149</v>
      </c>
      <c r="P788" t="s">
        <v>128</v>
      </c>
      <c r="Q788" t="s">
        <v>129</v>
      </c>
      <c r="R788" s="16">
        <v>46004.875</v>
      </c>
      <c r="S788" t="s">
        <v>130</v>
      </c>
      <c r="V788" t="b">
        <f t="shared" si="61"/>
        <v>0</v>
      </c>
      <c r="W788" t="b">
        <f>AND(OR(WEEKDAY(C788,2)=5,WEEKDAY(C788,2)=6),'01_Parameters'!$C$11="Enabled")</f>
        <v>1</v>
      </c>
      <c r="X788" t="b">
        <f t="shared" si="62"/>
        <v>1</v>
      </c>
      <c r="Y788" t="b">
        <f t="shared" si="63"/>
        <v>0</v>
      </c>
      <c r="Z788" t="b">
        <f t="shared" si="64"/>
        <v>0</v>
      </c>
    </row>
    <row r="789" spans="1:26" ht="15" customHeight="1">
      <c r="A789" t="s">
        <v>1752</v>
      </c>
      <c r="B789" t="s">
        <v>1753</v>
      </c>
      <c r="C789" s="14">
        <v>45980</v>
      </c>
      <c r="D789" s="14">
        <v>45977</v>
      </c>
      <c r="E789">
        <v>2025</v>
      </c>
      <c r="F789">
        <v>11</v>
      </c>
      <c r="G789" t="s">
        <v>158</v>
      </c>
      <c r="H789" t="s">
        <v>159</v>
      </c>
      <c r="I789" t="s">
        <v>124</v>
      </c>
      <c r="J789" s="15">
        <v>71096.13</v>
      </c>
      <c r="K789" s="15">
        <v>0</v>
      </c>
      <c r="L789" s="15">
        <f t="shared" si="60"/>
        <v>71096.13</v>
      </c>
      <c r="M789" t="s">
        <v>160</v>
      </c>
      <c r="N789" t="s">
        <v>1754</v>
      </c>
      <c r="O789" t="s">
        <v>162</v>
      </c>
      <c r="P789" t="s">
        <v>128</v>
      </c>
      <c r="Q789" t="s">
        <v>150</v>
      </c>
      <c r="R789" s="16">
        <v>45980.510416666701</v>
      </c>
      <c r="S789" t="s">
        <v>130</v>
      </c>
      <c r="V789" t="b">
        <f t="shared" si="61"/>
        <v>0</v>
      </c>
      <c r="W789" t="b">
        <f>AND(OR(WEEKDAY(C789,2)=5,WEEKDAY(C789,2)=6),'01_Parameters'!$C$11="Enabled")</f>
        <v>0</v>
      </c>
      <c r="X789" t="b">
        <f t="shared" si="62"/>
        <v>0</v>
      </c>
      <c r="Y789" t="b">
        <f t="shared" si="63"/>
        <v>0</v>
      </c>
      <c r="Z789" t="b">
        <f t="shared" si="64"/>
        <v>0</v>
      </c>
    </row>
    <row r="790" spans="1:26" ht="15" customHeight="1">
      <c r="A790" t="s">
        <v>1752</v>
      </c>
      <c r="B790" t="s">
        <v>1755</v>
      </c>
      <c r="C790" s="14">
        <v>45980</v>
      </c>
      <c r="D790" s="14">
        <v>45977</v>
      </c>
      <c r="E790">
        <v>2025</v>
      </c>
      <c r="F790">
        <v>11</v>
      </c>
      <c r="G790" t="s">
        <v>164</v>
      </c>
      <c r="H790" t="s">
        <v>165</v>
      </c>
      <c r="I790" t="s">
        <v>146</v>
      </c>
      <c r="J790" s="15">
        <v>0</v>
      </c>
      <c r="K790" s="15">
        <v>71096.13</v>
      </c>
      <c r="L790" s="15">
        <f t="shared" si="60"/>
        <v>-71096.13</v>
      </c>
      <c r="M790" t="s">
        <v>160</v>
      </c>
      <c r="N790" t="s">
        <v>1754</v>
      </c>
      <c r="O790" t="s">
        <v>162</v>
      </c>
      <c r="P790" t="s">
        <v>128</v>
      </c>
      <c r="Q790" t="s">
        <v>150</v>
      </c>
      <c r="R790" s="16">
        <v>45980.510416666701</v>
      </c>
      <c r="S790" t="s">
        <v>130</v>
      </c>
      <c r="V790" t="b">
        <f t="shared" si="61"/>
        <v>0</v>
      </c>
      <c r="W790" t="b">
        <f>AND(OR(WEEKDAY(C790,2)=5,WEEKDAY(C790,2)=6),'01_Parameters'!$C$11="Enabled")</f>
        <v>0</v>
      </c>
      <c r="X790" t="b">
        <f t="shared" si="62"/>
        <v>0</v>
      </c>
      <c r="Y790" t="b">
        <f t="shared" si="63"/>
        <v>0</v>
      </c>
      <c r="Z790" t="b">
        <f t="shared" si="64"/>
        <v>0</v>
      </c>
    </row>
    <row r="791" spans="1:26" ht="15" customHeight="1">
      <c r="A791" t="s">
        <v>1756</v>
      </c>
      <c r="B791" t="s">
        <v>1757</v>
      </c>
      <c r="C791" s="14">
        <v>45983</v>
      </c>
      <c r="D791" s="14">
        <v>45980</v>
      </c>
      <c r="E791">
        <v>2025</v>
      </c>
      <c r="F791">
        <v>11</v>
      </c>
      <c r="G791" t="s">
        <v>334</v>
      </c>
      <c r="H791" t="s">
        <v>335</v>
      </c>
      <c r="I791" t="s">
        <v>124</v>
      </c>
      <c r="J791" s="15">
        <v>140472.73000000001</v>
      </c>
      <c r="K791" s="15">
        <v>0</v>
      </c>
      <c r="L791" s="15">
        <f t="shared" si="60"/>
        <v>140472.73000000001</v>
      </c>
      <c r="M791" t="s">
        <v>125</v>
      </c>
      <c r="N791" t="s">
        <v>1758</v>
      </c>
      <c r="O791" t="s">
        <v>127</v>
      </c>
      <c r="P791" t="s">
        <v>175</v>
      </c>
      <c r="Q791" t="s">
        <v>150</v>
      </c>
      <c r="R791" s="16">
        <v>45983.40625</v>
      </c>
      <c r="S791" t="s">
        <v>130</v>
      </c>
      <c r="V791" t="b">
        <f t="shared" si="61"/>
        <v>0</v>
      </c>
      <c r="W791" t="b">
        <f>AND(OR(WEEKDAY(C791,2)=5,WEEKDAY(C791,2)=6),'01_Parameters'!$C$11="Enabled")</f>
        <v>1</v>
      </c>
      <c r="X791" t="b">
        <f t="shared" si="62"/>
        <v>0</v>
      </c>
      <c r="Y791" t="b">
        <f t="shared" si="63"/>
        <v>1</v>
      </c>
      <c r="Z791" t="b">
        <f t="shared" si="64"/>
        <v>0</v>
      </c>
    </row>
    <row r="792" spans="1:26" ht="15" customHeight="1">
      <c r="A792" t="s">
        <v>1756</v>
      </c>
      <c r="B792" t="s">
        <v>1759</v>
      </c>
      <c r="C792" s="14">
        <v>45983</v>
      </c>
      <c r="D792" s="14">
        <v>45980</v>
      </c>
      <c r="E792">
        <v>2025</v>
      </c>
      <c r="F792">
        <v>11</v>
      </c>
      <c r="G792" t="s">
        <v>132</v>
      </c>
      <c r="H792" t="s">
        <v>133</v>
      </c>
      <c r="I792" t="s">
        <v>134</v>
      </c>
      <c r="J792" s="15">
        <v>0</v>
      </c>
      <c r="K792" s="15">
        <v>140472.73000000001</v>
      </c>
      <c r="L792" s="15">
        <f t="shared" si="60"/>
        <v>-140472.73000000001</v>
      </c>
      <c r="M792" t="s">
        <v>125</v>
      </c>
      <c r="N792" t="s">
        <v>1758</v>
      </c>
      <c r="O792" t="s">
        <v>127</v>
      </c>
      <c r="P792" t="s">
        <v>175</v>
      </c>
      <c r="Q792" t="s">
        <v>150</v>
      </c>
      <c r="R792" s="16">
        <v>45983.40625</v>
      </c>
      <c r="S792" t="s">
        <v>130</v>
      </c>
      <c r="V792" t="b">
        <f t="shared" si="61"/>
        <v>0</v>
      </c>
      <c r="W792" t="b">
        <f>AND(OR(WEEKDAY(C792,2)=5,WEEKDAY(C792,2)=6),'01_Parameters'!$C$11="Enabled")</f>
        <v>1</v>
      </c>
      <c r="X792" t="b">
        <f t="shared" si="62"/>
        <v>0</v>
      </c>
      <c r="Y792" t="b">
        <f t="shared" si="63"/>
        <v>1</v>
      </c>
      <c r="Z792" t="b">
        <f t="shared" si="64"/>
        <v>0</v>
      </c>
    </row>
    <row r="793" spans="1:26" ht="15" customHeight="1">
      <c r="A793" t="s">
        <v>1760</v>
      </c>
      <c r="B793" t="s">
        <v>1761</v>
      </c>
      <c r="C793" s="14">
        <v>45661</v>
      </c>
      <c r="D793" s="14">
        <v>45658</v>
      </c>
      <c r="E793">
        <v>2025</v>
      </c>
      <c r="F793">
        <v>1</v>
      </c>
      <c r="G793" t="s">
        <v>144</v>
      </c>
      <c r="H793" t="s">
        <v>145</v>
      </c>
      <c r="I793" t="s">
        <v>146</v>
      </c>
      <c r="J793" s="15">
        <v>36068.43</v>
      </c>
      <c r="K793" s="15">
        <v>0</v>
      </c>
      <c r="L793" s="15">
        <f t="shared" si="60"/>
        <v>36068.43</v>
      </c>
      <c r="M793" t="s">
        <v>147</v>
      </c>
      <c r="N793" t="s">
        <v>1762</v>
      </c>
      <c r="O793" t="s">
        <v>149</v>
      </c>
      <c r="P793" t="s">
        <v>150</v>
      </c>
      <c r="Q793" t="s">
        <v>140</v>
      </c>
      <c r="R793" s="16">
        <v>45661.791666666701</v>
      </c>
      <c r="S793" t="s">
        <v>130</v>
      </c>
      <c r="V793" t="b">
        <f t="shared" si="61"/>
        <v>0</v>
      </c>
      <c r="W793" t="b">
        <f>AND(OR(WEEKDAY(C793,2)=5,WEEKDAY(C793,2)=6),'01_Parameters'!$C$11="Enabled")</f>
        <v>1</v>
      </c>
      <c r="X793" t="b">
        <f t="shared" si="62"/>
        <v>1</v>
      </c>
      <c r="Y793" t="b">
        <f t="shared" si="63"/>
        <v>0</v>
      </c>
      <c r="Z793" t="b">
        <f t="shared" si="64"/>
        <v>0</v>
      </c>
    </row>
    <row r="794" spans="1:26" ht="15" customHeight="1">
      <c r="A794" t="s">
        <v>1760</v>
      </c>
      <c r="B794" t="s">
        <v>1763</v>
      </c>
      <c r="C794" s="14">
        <v>45661</v>
      </c>
      <c r="D794" s="14">
        <v>45658</v>
      </c>
      <c r="E794">
        <v>2025</v>
      </c>
      <c r="F794">
        <v>1</v>
      </c>
      <c r="G794" t="s">
        <v>153</v>
      </c>
      <c r="H794" t="s">
        <v>154</v>
      </c>
      <c r="I794" t="s">
        <v>155</v>
      </c>
      <c r="J794" s="15">
        <v>0</v>
      </c>
      <c r="K794" s="15">
        <v>36068.43</v>
      </c>
      <c r="L794" s="15">
        <f t="shared" si="60"/>
        <v>-36068.43</v>
      </c>
      <c r="M794" t="s">
        <v>147</v>
      </c>
      <c r="N794" t="s">
        <v>1762</v>
      </c>
      <c r="O794" t="s">
        <v>149</v>
      </c>
      <c r="P794" t="s">
        <v>150</v>
      </c>
      <c r="Q794" t="s">
        <v>140</v>
      </c>
      <c r="R794" s="16">
        <v>45661.791666666701</v>
      </c>
      <c r="S794" t="s">
        <v>130</v>
      </c>
      <c r="V794" t="b">
        <f t="shared" si="61"/>
        <v>0</v>
      </c>
      <c r="W794" t="b">
        <f>AND(OR(WEEKDAY(C794,2)=5,WEEKDAY(C794,2)=6),'01_Parameters'!$C$11="Enabled")</f>
        <v>1</v>
      </c>
      <c r="X794" t="b">
        <f t="shared" si="62"/>
        <v>1</v>
      </c>
      <c r="Y794" t="b">
        <f t="shared" si="63"/>
        <v>0</v>
      </c>
      <c r="Z794" t="b">
        <f t="shared" si="64"/>
        <v>0</v>
      </c>
    </row>
    <row r="795" spans="1:26" ht="15" customHeight="1">
      <c r="A795" t="s">
        <v>1764</v>
      </c>
      <c r="B795" t="s">
        <v>1765</v>
      </c>
      <c r="C795" s="14">
        <v>45918</v>
      </c>
      <c r="D795" s="14">
        <v>45915</v>
      </c>
      <c r="E795">
        <v>2025</v>
      </c>
      <c r="F795">
        <v>9</v>
      </c>
      <c r="G795" t="s">
        <v>193</v>
      </c>
      <c r="H795" t="s">
        <v>194</v>
      </c>
      <c r="I795" t="s">
        <v>124</v>
      </c>
      <c r="J795" s="15">
        <v>16386.43</v>
      </c>
      <c r="K795" s="15">
        <v>0</v>
      </c>
      <c r="L795" s="15">
        <f t="shared" si="60"/>
        <v>16386.43</v>
      </c>
      <c r="M795" t="s">
        <v>195</v>
      </c>
      <c r="N795" t="s">
        <v>1766</v>
      </c>
      <c r="O795" t="s">
        <v>197</v>
      </c>
      <c r="P795" t="s">
        <v>175</v>
      </c>
      <c r="Q795" t="s">
        <v>129</v>
      </c>
      <c r="R795" s="16">
        <v>45918.739583333299</v>
      </c>
      <c r="S795" t="s">
        <v>130</v>
      </c>
      <c r="V795" t="b">
        <f t="shared" si="61"/>
        <v>0</v>
      </c>
      <c r="W795" t="b">
        <f>AND(OR(WEEKDAY(C795,2)=5,WEEKDAY(C795,2)=6),'01_Parameters'!$C$11="Enabled")</f>
        <v>0</v>
      </c>
      <c r="X795" t="b">
        <f t="shared" si="62"/>
        <v>0</v>
      </c>
      <c r="Y795" t="b">
        <f t="shared" si="63"/>
        <v>0</v>
      </c>
      <c r="Z795" t="b">
        <f t="shared" si="64"/>
        <v>0</v>
      </c>
    </row>
    <row r="796" spans="1:26" ht="15" customHeight="1">
      <c r="A796" t="s">
        <v>1764</v>
      </c>
      <c r="B796" t="s">
        <v>1767</v>
      </c>
      <c r="C796" s="14">
        <v>45918</v>
      </c>
      <c r="D796" s="14">
        <v>45915</v>
      </c>
      <c r="E796">
        <v>2025</v>
      </c>
      <c r="F796">
        <v>9</v>
      </c>
      <c r="G796" t="s">
        <v>199</v>
      </c>
      <c r="H796" t="s">
        <v>200</v>
      </c>
      <c r="I796" t="s">
        <v>146</v>
      </c>
      <c r="J796" s="15">
        <v>0</v>
      </c>
      <c r="K796" s="15">
        <v>16386.43</v>
      </c>
      <c r="L796" s="15">
        <f t="shared" si="60"/>
        <v>-16386.43</v>
      </c>
      <c r="M796" t="s">
        <v>195</v>
      </c>
      <c r="N796" t="s">
        <v>1766</v>
      </c>
      <c r="O796" t="s">
        <v>197</v>
      </c>
      <c r="P796" t="s">
        <v>175</v>
      </c>
      <c r="Q796" t="s">
        <v>129</v>
      </c>
      <c r="R796" s="16">
        <v>45918.739583333299</v>
      </c>
      <c r="S796" t="s">
        <v>130</v>
      </c>
      <c r="V796" t="b">
        <f t="shared" si="61"/>
        <v>0</v>
      </c>
      <c r="W796" t="b">
        <f>AND(OR(WEEKDAY(C796,2)=5,WEEKDAY(C796,2)=6),'01_Parameters'!$C$11="Enabled")</f>
        <v>0</v>
      </c>
      <c r="X796" t="b">
        <f t="shared" si="62"/>
        <v>0</v>
      </c>
      <c r="Y796" t="b">
        <f t="shared" si="63"/>
        <v>0</v>
      </c>
      <c r="Z796" t="b">
        <f t="shared" si="64"/>
        <v>0</v>
      </c>
    </row>
    <row r="797" spans="1:26" ht="15" customHeight="1">
      <c r="A797" t="s">
        <v>1768</v>
      </c>
      <c r="B797" t="s">
        <v>1769</v>
      </c>
      <c r="C797" s="14">
        <v>45771</v>
      </c>
      <c r="D797" s="14">
        <v>45767</v>
      </c>
      <c r="E797">
        <v>2025</v>
      </c>
      <c r="F797">
        <v>4</v>
      </c>
      <c r="G797" t="s">
        <v>193</v>
      </c>
      <c r="H797" t="s">
        <v>194</v>
      </c>
      <c r="I797" t="s">
        <v>124</v>
      </c>
      <c r="J797" s="15">
        <v>75369.81</v>
      </c>
      <c r="K797" s="15">
        <v>0</v>
      </c>
      <c r="L797" s="15">
        <f t="shared" si="60"/>
        <v>75369.81</v>
      </c>
      <c r="M797" t="s">
        <v>195</v>
      </c>
      <c r="N797" t="s">
        <v>1770</v>
      </c>
      <c r="O797" t="s">
        <v>197</v>
      </c>
      <c r="P797" t="s">
        <v>129</v>
      </c>
      <c r="Q797" t="s">
        <v>151</v>
      </c>
      <c r="R797" s="16">
        <v>45771.28125</v>
      </c>
      <c r="S797" t="s">
        <v>130</v>
      </c>
      <c r="V797" t="b">
        <f t="shared" si="61"/>
        <v>0</v>
      </c>
      <c r="W797" t="b">
        <f>AND(OR(WEEKDAY(C797,2)=5,WEEKDAY(C797,2)=6),'01_Parameters'!$C$11="Enabled")</f>
        <v>0</v>
      </c>
      <c r="X797" t="b">
        <f t="shared" si="62"/>
        <v>1</v>
      </c>
      <c r="Y797" t="b">
        <f t="shared" si="63"/>
        <v>0</v>
      </c>
      <c r="Z797" t="b">
        <f t="shared" si="64"/>
        <v>0</v>
      </c>
    </row>
    <row r="798" spans="1:26" ht="15" customHeight="1">
      <c r="A798" t="s">
        <v>1768</v>
      </c>
      <c r="B798" t="s">
        <v>1771</v>
      </c>
      <c r="C798" s="14">
        <v>45771</v>
      </c>
      <c r="D798" s="14">
        <v>45767</v>
      </c>
      <c r="E798">
        <v>2025</v>
      </c>
      <c r="F798">
        <v>4</v>
      </c>
      <c r="G798" t="s">
        <v>199</v>
      </c>
      <c r="H798" t="s">
        <v>200</v>
      </c>
      <c r="I798" t="s">
        <v>146</v>
      </c>
      <c r="J798" s="15">
        <v>0</v>
      </c>
      <c r="K798" s="15">
        <v>75369.81</v>
      </c>
      <c r="L798" s="15">
        <f t="shared" si="60"/>
        <v>-75369.81</v>
      </c>
      <c r="M798" t="s">
        <v>195</v>
      </c>
      <c r="N798" t="s">
        <v>1770</v>
      </c>
      <c r="O798" t="s">
        <v>197</v>
      </c>
      <c r="P798" t="s">
        <v>129</v>
      </c>
      <c r="Q798" t="s">
        <v>151</v>
      </c>
      <c r="R798" s="16">
        <v>45771.28125</v>
      </c>
      <c r="S798" t="s">
        <v>130</v>
      </c>
      <c r="V798" t="b">
        <f t="shared" si="61"/>
        <v>0</v>
      </c>
      <c r="W798" t="b">
        <f>AND(OR(WEEKDAY(C798,2)=5,WEEKDAY(C798,2)=6),'01_Parameters'!$C$11="Enabled")</f>
        <v>0</v>
      </c>
      <c r="X798" t="b">
        <f t="shared" si="62"/>
        <v>1</v>
      </c>
      <c r="Y798" t="b">
        <f t="shared" si="63"/>
        <v>0</v>
      </c>
      <c r="Z798" t="b">
        <f t="shared" si="64"/>
        <v>0</v>
      </c>
    </row>
    <row r="799" spans="1:26" ht="15" customHeight="1">
      <c r="A799" t="s">
        <v>1772</v>
      </c>
      <c r="B799" t="s">
        <v>1773</v>
      </c>
      <c r="C799" s="14">
        <v>45993</v>
      </c>
      <c r="D799" s="14">
        <v>45991</v>
      </c>
      <c r="E799">
        <v>2025</v>
      </c>
      <c r="F799">
        <v>12</v>
      </c>
      <c r="G799" t="s">
        <v>179</v>
      </c>
      <c r="H799" t="s">
        <v>180</v>
      </c>
      <c r="I799" t="s">
        <v>124</v>
      </c>
      <c r="J799" s="15">
        <v>15754.57</v>
      </c>
      <c r="K799" s="15">
        <v>0</v>
      </c>
      <c r="L799" s="15">
        <f t="shared" si="60"/>
        <v>15754.57</v>
      </c>
      <c r="M799" t="s">
        <v>181</v>
      </c>
      <c r="N799" t="s">
        <v>1774</v>
      </c>
      <c r="O799" t="s">
        <v>183</v>
      </c>
      <c r="P799" t="s">
        <v>175</v>
      </c>
      <c r="Q799" t="s">
        <v>151</v>
      </c>
      <c r="R799" s="16">
        <v>45993.947916666701</v>
      </c>
      <c r="S799" t="s">
        <v>130</v>
      </c>
      <c r="V799" t="b">
        <f t="shared" si="61"/>
        <v>0</v>
      </c>
      <c r="W799" t="b">
        <f>AND(OR(WEEKDAY(C799,2)=5,WEEKDAY(C799,2)=6),'01_Parameters'!$C$11="Enabled")</f>
        <v>0</v>
      </c>
      <c r="X799" t="b">
        <f t="shared" si="62"/>
        <v>1</v>
      </c>
      <c r="Y799" t="b">
        <f t="shared" si="63"/>
        <v>0</v>
      </c>
      <c r="Z799" t="b">
        <f t="shared" si="64"/>
        <v>0</v>
      </c>
    </row>
    <row r="800" spans="1:26" ht="15" customHeight="1">
      <c r="A800" t="s">
        <v>1772</v>
      </c>
      <c r="B800" t="s">
        <v>1775</v>
      </c>
      <c r="C800" s="14">
        <v>45993</v>
      </c>
      <c r="D800" s="14">
        <v>45991</v>
      </c>
      <c r="E800">
        <v>2025</v>
      </c>
      <c r="F800">
        <v>12</v>
      </c>
      <c r="G800" t="s">
        <v>185</v>
      </c>
      <c r="H800" t="s">
        <v>186</v>
      </c>
      <c r="I800" t="s">
        <v>134</v>
      </c>
      <c r="J800" s="15">
        <v>0</v>
      </c>
      <c r="K800" s="15">
        <v>15754.57</v>
      </c>
      <c r="L800" s="15">
        <f t="shared" si="60"/>
        <v>-15754.57</v>
      </c>
      <c r="M800" t="s">
        <v>181</v>
      </c>
      <c r="N800" t="s">
        <v>1774</v>
      </c>
      <c r="O800" t="s">
        <v>183</v>
      </c>
      <c r="P800" t="s">
        <v>175</v>
      </c>
      <c r="Q800" t="s">
        <v>151</v>
      </c>
      <c r="R800" s="16">
        <v>45993.947916666701</v>
      </c>
      <c r="S800" t="s">
        <v>130</v>
      </c>
      <c r="V800" t="b">
        <f t="shared" si="61"/>
        <v>0</v>
      </c>
      <c r="W800" t="b">
        <f>AND(OR(WEEKDAY(C800,2)=5,WEEKDAY(C800,2)=6),'01_Parameters'!$C$11="Enabled")</f>
        <v>0</v>
      </c>
      <c r="X800" t="b">
        <f t="shared" si="62"/>
        <v>1</v>
      </c>
      <c r="Y800" t="b">
        <f t="shared" si="63"/>
        <v>0</v>
      </c>
      <c r="Z800" t="b">
        <f t="shared" si="64"/>
        <v>0</v>
      </c>
    </row>
    <row r="801" spans="1:26" ht="15" customHeight="1">
      <c r="A801" t="s">
        <v>1776</v>
      </c>
      <c r="B801" t="s">
        <v>1777</v>
      </c>
      <c r="C801" s="14">
        <v>45727</v>
      </c>
      <c r="D801" s="14">
        <v>45723</v>
      </c>
      <c r="E801">
        <v>2025</v>
      </c>
      <c r="F801">
        <v>3</v>
      </c>
      <c r="G801" t="s">
        <v>207</v>
      </c>
      <c r="H801" t="s">
        <v>208</v>
      </c>
      <c r="I801" t="s">
        <v>124</v>
      </c>
      <c r="J801" s="15">
        <v>22167.32</v>
      </c>
      <c r="K801" s="15">
        <v>0</v>
      </c>
      <c r="L801" s="15">
        <f t="shared" si="60"/>
        <v>22167.32</v>
      </c>
      <c r="M801" t="s">
        <v>209</v>
      </c>
      <c r="N801" t="s">
        <v>1778</v>
      </c>
      <c r="O801" t="s">
        <v>211</v>
      </c>
      <c r="P801" t="s">
        <v>151</v>
      </c>
      <c r="Q801" t="s">
        <v>150</v>
      </c>
      <c r="R801" s="16">
        <v>45727.385416666701</v>
      </c>
      <c r="S801" t="s">
        <v>130</v>
      </c>
      <c r="T801" t="s">
        <v>440</v>
      </c>
      <c r="U801" t="s">
        <v>1778</v>
      </c>
      <c r="V801" t="b">
        <f t="shared" si="61"/>
        <v>0</v>
      </c>
      <c r="W801" t="b">
        <f>AND(OR(WEEKDAY(C801,2)=5,WEEKDAY(C801,2)=6),'01_Parameters'!$C$11="Enabled")</f>
        <v>0</v>
      </c>
      <c r="X801" t="b">
        <f t="shared" si="62"/>
        <v>0</v>
      </c>
      <c r="Y801" t="b">
        <f t="shared" si="63"/>
        <v>0</v>
      </c>
      <c r="Z801" t="b">
        <f t="shared" si="64"/>
        <v>0</v>
      </c>
    </row>
    <row r="802" spans="1:26" ht="15" customHeight="1">
      <c r="A802" t="s">
        <v>1776</v>
      </c>
      <c r="B802" t="s">
        <v>1779</v>
      </c>
      <c r="C802" s="14">
        <v>45727</v>
      </c>
      <c r="D802" s="14">
        <v>45723</v>
      </c>
      <c r="E802">
        <v>2025</v>
      </c>
      <c r="F802">
        <v>3</v>
      </c>
      <c r="G802" t="s">
        <v>132</v>
      </c>
      <c r="H802" t="s">
        <v>133</v>
      </c>
      <c r="I802" t="s">
        <v>134</v>
      </c>
      <c r="J802" s="15">
        <v>0</v>
      </c>
      <c r="K802" s="15">
        <v>22167.32</v>
      </c>
      <c r="L802" s="15">
        <f t="shared" si="60"/>
        <v>-22167.32</v>
      </c>
      <c r="M802" t="s">
        <v>209</v>
      </c>
      <c r="N802" t="s">
        <v>1778</v>
      </c>
      <c r="O802" t="s">
        <v>211</v>
      </c>
      <c r="P802" t="s">
        <v>151</v>
      </c>
      <c r="Q802" t="s">
        <v>150</v>
      </c>
      <c r="R802" s="16">
        <v>45727.385416666701</v>
      </c>
      <c r="S802" t="s">
        <v>130</v>
      </c>
      <c r="T802" t="s">
        <v>440</v>
      </c>
      <c r="U802" t="s">
        <v>1778</v>
      </c>
      <c r="V802" t="b">
        <f t="shared" si="61"/>
        <v>0</v>
      </c>
      <c r="W802" t="b">
        <f>AND(OR(WEEKDAY(C802,2)=5,WEEKDAY(C802,2)=6),'01_Parameters'!$C$11="Enabled")</f>
        <v>0</v>
      </c>
      <c r="X802" t="b">
        <f t="shared" si="62"/>
        <v>0</v>
      </c>
      <c r="Y802" t="b">
        <f t="shared" si="63"/>
        <v>0</v>
      </c>
      <c r="Z802" t="b">
        <f t="shared" si="64"/>
        <v>0</v>
      </c>
    </row>
    <row r="803" spans="1:26" ht="15" customHeight="1">
      <c r="A803" t="s">
        <v>1780</v>
      </c>
      <c r="B803" t="s">
        <v>1781</v>
      </c>
      <c r="C803" s="14">
        <v>45738</v>
      </c>
      <c r="D803" s="14">
        <v>45736</v>
      </c>
      <c r="E803">
        <v>2025</v>
      </c>
      <c r="F803">
        <v>3</v>
      </c>
      <c r="G803" t="s">
        <v>193</v>
      </c>
      <c r="H803" t="s">
        <v>194</v>
      </c>
      <c r="I803" t="s">
        <v>124</v>
      </c>
      <c r="J803" s="15">
        <v>71158.34</v>
      </c>
      <c r="K803" s="15">
        <v>0</v>
      </c>
      <c r="L803" s="15">
        <f t="shared" si="60"/>
        <v>71158.34</v>
      </c>
      <c r="M803" t="s">
        <v>195</v>
      </c>
      <c r="N803" t="s">
        <v>1782</v>
      </c>
      <c r="O803" t="s">
        <v>197</v>
      </c>
      <c r="P803" t="s">
        <v>175</v>
      </c>
      <c r="Q803" t="s">
        <v>150</v>
      </c>
      <c r="R803" s="16">
        <v>45738.270833333299</v>
      </c>
      <c r="S803" t="s">
        <v>130</v>
      </c>
      <c r="V803" t="b">
        <f t="shared" si="61"/>
        <v>0</v>
      </c>
      <c r="W803" t="b">
        <f>AND(OR(WEEKDAY(C803,2)=5,WEEKDAY(C803,2)=6),'01_Parameters'!$C$11="Enabled")</f>
        <v>1</v>
      </c>
      <c r="X803" t="b">
        <f t="shared" si="62"/>
        <v>1</v>
      </c>
      <c r="Y803" t="b">
        <f t="shared" si="63"/>
        <v>0</v>
      </c>
      <c r="Z803" t="b">
        <f t="shared" si="64"/>
        <v>0</v>
      </c>
    </row>
    <row r="804" spans="1:26" ht="15" customHeight="1">
      <c r="A804" t="s">
        <v>1780</v>
      </c>
      <c r="B804" t="s">
        <v>1783</v>
      </c>
      <c r="C804" s="14">
        <v>45738</v>
      </c>
      <c r="D804" s="14">
        <v>45736</v>
      </c>
      <c r="E804">
        <v>2025</v>
      </c>
      <c r="F804">
        <v>3</v>
      </c>
      <c r="G804" t="s">
        <v>199</v>
      </c>
      <c r="H804" t="s">
        <v>200</v>
      </c>
      <c r="I804" t="s">
        <v>146</v>
      </c>
      <c r="J804" s="15">
        <v>0</v>
      </c>
      <c r="K804" s="15">
        <v>71158.34</v>
      </c>
      <c r="L804" s="15">
        <f t="shared" si="60"/>
        <v>-71158.34</v>
      </c>
      <c r="M804" t="s">
        <v>195</v>
      </c>
      <c r="N804" t="s">
        <v>1782</v>
      </c>
      <c r="O804" t="s">
        <v>197</v>
      </c>
      <c r="P804" t="s">
        <v>175</v>
      </c>
      <c r="Q804" t="s">
        <v>150</v>
      </c>
      <c r="R804" s="16">
        <v>45738.270833333299</v>
      </c>
      <c r="S804" t="s">
        <v>130</v>
      </c>
      <c r="V804" t="b">
        <f t="shared" si="61"/>
        <v>0</v>
      </c>
      <c r="W804" t="b">
        <f>AND(OR(WEEKDAY(C804,2)=5,WEEKDAY(C804,2)=6),'01_Parameters'!$C$11="Enabled")</f>
        <v>1</v>
      </c>
      <c r="X804" t="b">
        <f t="shared" si="62"/>
        <v>1</v>
      </c>
      <c r="Y804" t="b">
        <f t="shared" si="63"/>
        <v>0</v>
      </c>
      <c r="Z804" t="b">
        <f t="shared" si="64"/>
        <v>0</v>
      </c>
    </row>
    <row r="805" spans="1:26" ht="15" customHeight="1">
      <c r="A805" t="s">
        <v>1784</v>
      </c>
      <c r="B805" t="s">
        <v>1785</v>
      </c>
      <c r="C805" s="14">
        <v>46007</v>
      </c>
      <c r="D805" s="14">
        <v>46004</v>
      </c>
      <c r="E805">
        <v>2025</v>
      </c>
      <c r="F805">
        <v>12</v>
      </c>
      <c r="G805" t="s">
        <v>193</v>
      </c>
      <c r="H805" t="s">
        <v>194</v>
      </c>
      <c r="I805" t="s">
        <v>124</v>
      </c>
      <c r="J805" s="15">
        <v>21202.29</v>
      </c>
      <c r="K805" s="15">
        <v>0</v>
      </c>
      <c r="L805" s="15">
        <f t="shared" si="60"/>
        <v>21202.29</v>
      </c>
      <c r="M805" t="s">
        <v>195</v>
      </c>
      <c r="N805" t="s">
        <v>1786</v>
      </c>
      <c r="O805" t="s">
        <v>197</v>
      </c>
      <c r="P805" t="s">
        <v>128</v>
      </c>
      <c r="Q805" t="s">
        <v>150</v>
      </c>
      <c r="R805" s="16">
        <v>46007.802083333299</v>
      </c>
      <c r="S805" t="s">
        <v>130</v>
      </c>
      <c r="V805" t="b">
        <f t="shared" si="61"/>
        <v>1</v>
      </c>
      <c r="W805" t="b">
        <f>AND(OR(WEEKDAY(C805,2)=5,WEEKDAY(C805,2)=6),'01_Parameters'!$C$11="Enabled")</f>
        <v>0</v>
      </c>
      <c r="X805" t="b">
        <f t="shared" si="62"/>
        <v>1</v>
      </c>
      <c r="Y805" t="b">
        <f t="shared" si="63"/>
        <v>0</v>
      </c>
      <c r="Z805" t="b">
        <f t="shared" si="64"/>
        <v>0</v>
      </c>
    </row>
    <row r="806" spans="1:26" ht="15" customHeight="1">
      <c r="A806" t="s">
        <v>1784</v>
      </c>
      <c r="B806" t="s">
        <v>1787</v>
      </c>
      <c r="C806" s="14">
        <v>46007</v>
      </c>
      <c r="D806" s="14">
        <v>46004</v>
      </c>
      <c r="E806">
        <v>2025</v>
      </c>
      <c r="F806">
        <v>12</v>
      </c>
      <c r="G806" t="s">
        <v>199</v>
      </c>
      <c r="H806" t="s">
        <v>200</v>
      </c>
      <c r="I806" t="s">
        <v>146</v>
      </c>
      <c r="J806" s="15">
        <v>0</v>
      </c>
      <c r="K806" s="15">
        <v>21202.29</v>
      </c>
      <c r="L806" s="15">
        <f t="shared" si="60"/>
        <v>-21202.29</v>
      </c>
      <c r="M806" t="s">
        <v>195</v>
      </c>
      <c r="N806" t="s">
        <v>1786</v>
      </c>
      <c r="O806" t="s">
        <v>197</v>
      </c>
      <c r="P806" t="s">
        <v>128</v>
      </c>
      <c r="Q806" t="s">
        <v>150</v>
      </c>
      <c r="R806" s="16">
        <v>46007.802083333299</v>
      </c>
      <c r="S806" t="s">
        <v>130</v>
      </c>
      <c r="V806" t="b">
        <f t="shared" si="61"/>
        <v>1</v>
      </c>
      <c r="W806" t="b">
        <f>AND(OR(WEEKDAY(C806,2)=5,WEEKDAY(C806,2)=6),'01_Parameters'!$C$11="Enabled")</f>
        <v>0</v>
      </c>
      <c r="X806" t="b">
        <f t="shared" si="62"/>
        <v>1</v>
      </c>
      <c r="Y806" t="b">
        <f t="shared" si="63"/>
        <v>0</v>
      </c>
      <c r="Z806" t="b">
        <f t="shared" si="64"/>
        <v>0</v>
      </c>
    </row>
    <row r="807" spans="1:26" ht="15" customHeight="1">
      <c r="A807" t="s">
        <v>1788</v>
      </c>
      <c r="B807" t="s">
        <v>1789</v>
      </c>
      <c r="C807" s="14">
        <v>45785</v>
      </c>
      <c r="D807" s="14">
        <v>45784</v>
      </c>
      <c r="E807">
        <v>2025</v>
      </c>
      <c r="F807">
        <v>5</v>
      </c>
      <c r="G807" t="s">
        <v>172</v>
      </c>
      <c r="H807" t="s">
        <v>173</v>
      </c>
      <c r="I807" t="s">
        <v>124</v>
      </c>
      <c r="J807" s="15">
        <v>33535.46</v>
      </c>
      <c r="K807" s="15">
        <v>0</v>
      </c>
      <c r="L807" s="15">
        <f t="shared" si="60"/>
        <v>33535.46</v>
      </c>
      <c r="M807" t="s">
        <v>125</v>
      </c>
      <c r="N807" t="s">
        <v>1790</v>
      </c>
      <c r="O807" t="s">
        <v>127</v>
      </c>
      <c r="P807" t="s">
        <v>151</v>
      </c>
      <c r="Q807" t="s">
        <v>140</v>
      </c>
      <c r="R807" s="16">
        <v>45785.416666666701</v>
      </c>
      <c r="S807" t="s">
        <v>130</v>
      </c>
      <c r="V807" t="b">
        <f t="shared" si="61"/>
        <v>0</v>
      </c>
      <c r="W807" t="b">
        <f>AND(OR(WEEKDAY(C807,2)=5,WEEKDAY(C807,2)=6),'01_Parameters'!$C$11="Enabled")</f>
        <v>0</v>
      </c>
      <c r="X807" t="b">
        <f t="shared" si="62"/>
        <v>0</v>
      </c>
      <c r="Y807" t="b">
        <f t="shared" si="63"/>
        <v>0</v>
      </c>
      <c r="Z807" t="b">
        <f t="shared" si="64"/>
        <v>0</v>
      </c>
    </row>
    <row r="808" spans="1:26" ht="15" customHeight="1">
      <c r="A808" t="s">
        <v>1788</v>
      </c>
      <c r="B808" t="s">
        <v>1791</v>
      </c>
      <c r="C808" s="14">
        <v>45785</v>
      </c>
      <c r="D808" s="14">
        <v>45784</v>
      </c>
      <c r="E808">
        <v>2025</v>
      </c>
      <c r="F808">
        <v>5</v>
      </c>
      <c r="G808" t="s">
        <v>132</v>
      </c>
      <c r="H808" t="s">
        <v>133</v>
      </c>
      <c r="I808" t="s">
        <v>134</v>
      </c>
      <c r="J808" s="15">
        <v>0</v>
      </c>
      <c r="K808" s="15">
        <v>33535.46</v>
      </c>
      <c r="L808" s="15">
        <f t="shared" si="60"/>
        <v>-33535.46</v>
      </c>
      <c r="M808" t="s">
        <v>125</v>
      </c>
      <c r="N808" t="s">
        <v>1790</v>
      </c>
      <c r="O808" t="s">
        <v>127</v>
      </c>
      <c r="P808" t="s">
        <v>151</v>
      </c>
      <c r="Q808" t="s">
        <v>140</v>
      </c>
      <c r="R808" s="16">
        <v>45785.416666666701</v>
      </c>
      <c r="S808" t="s">
        <v>130</v>
      </c>
      <c r="V808" t="b">
        <f t="shared" si="61"/>
        <v>0</v>
      </c>
      <c r="W808" t="b">
        <f>AND(OR(WEEKDAY(C808,2)=5,WEEKDAY(C808,2)=6),'01_Parameters'!$C$11="Enabled")</f>
        <v>0</v>
      </c>
      <c r="X808" t="b">
        <f t="shared" si="62"/>
        <v>0</v>
      </c>
      <c r="Y808" t="b">
        <f t="shared" si="63"/>
        <v>0</v>
      </c>
      <c r="Z808" t="b">
        <f t="shared" si="64"/>
        <v>0</v>
      </c>
    </row>
    <row r="809" spans="1:26" ht="15" customHeight="1">
      <c r="A809" t="s">
        <v>1792</v>
      </c>
      <c r="B809" t="s">
        <v>1793</v>
      </c>
      <c r="C809" s="14">
        <v>45860</v>
      </c>
      <c r="D809" s="14">
        <v>45859</v>
      </c>
      <c r="E809">
        <v>2025</v>
      </c>
      <c r="F809">
        <v>7</v>
      </c>
      <c r="G809" t="s">
        <v>144</v>
      </c>
      <c r="H809" t="s">
        <v>145</v>
      </c>
      <c r="I809" t="s">
        <v>146</v>
      </c>
      <c r="J809" s="15">
        <v>40535.56</v>
      </c>
      <c r="K809" s="15">
        <v>0</v>
      </c>
      <c r="L809" s="15">
        <f t="shared" si="60"/>
        <v>40535.56</v>
      </c>
      <c r="M809" t="s">
        <v>147</v>
      </c>
      <c r="N809" t="s">
        <v>1794</v>
      </c>
      <c r="O809" t="s">
        <v>149</v>
      </c>
      <c r="P809" t="s">
        <v>151</v>
      </c>
      <c r="Q809" t="s">
        <v>140</v>
      </c>
      <c r="R809" s="16">
        <v>45860.375</v>
      </c>
      <c r="S809" t="s">
        <v>130</v>
      </c>
      <c r="V809" t="b">
        <f t="shared" si="61"/>
        <v>0</v>
      </c>
      <c r="W809" t="b">
        <f>AND(OR(WEEKDAY(C809,2)=5,WEEKDAY(C809,2)=6),'01_Parameters'!$C$11="Enabled")</f>
        <v>0</v>
      </c>
      <c r="X809" t="b">
        <f t="shared" si="62"/>
        <v>0</v>
      </c>
      <c r="Y809" t="b">
        <f t="shared" si="63"/>
        <v>0</v>
      </c>
      <c r="Z809" t="b">
        <f t="shared" si="64"/>
        <v>0</v>
      </c>
    </row>
    <row r="810" spans="1:26" ht="15" customHeight="1">
      <c r="A810" t="s">
        <v>1792</v>
      </c>
      <c r="B810" t="s">
        <v>1795</v>
      </c>
      <c r="C810" s="14">
        <v>45860</v>
      </c>
      <c r="D810" s="14">
        <v>45859</v>
      </c>
      <c r="E810">
        <v>2025</v>
      </c>
      <c r="F810">
        <v>7</v>
      </c>
      <c r="G810" t="s">
        <v>153</v>
      </c>
      <c r="H810" t="s">
        <v>154</v>
      </c>
      <c r="I810" t="s">
        <v>155</v>
      </c>
      <c r="J810" s="15">
        <v>0</v>
      </c>
      <c r="K810" s="15">
        <v>40535.56</v>
      </c>
      <c r="L810" s="15">
        <f t="shared" si="60"/>
        <v>-40535.56</v>
      </c>
      <c r="M810" t="s">
        <v>147</v>
      </c>
      <c r="N810" t="s">
        <v>1794</v>
      </c>
      <c r="O810" t="s">
        <v>149</v>
      </c>
      <c r="P810" t="s">
        <v>151</v>
      </c>
      <c r="Q810" t="s">
        <v>140</v>
      </c>
      <c r="R810" s="16">
        <v>45860.375</v>
      </c>
      <c r="S810" t="s">
        <v>130</v>
      </c>
      <c r="V810" t="b">
        <f t="shared" si="61"/>
        <v>0</v>
      </c>
      <c r="W810" t="b">
        <f>AND(OR(WEEKDAY(C810,2)=5,WEEKDAY(C810,2)=6),'01_Parameters'!$C$11="Enabled")</f>
        <v>0</v>
      </c>
      <c r="X810" t="b">
        <f t="shared" si="62"/>
        <v>0</v>
      </c>
      <c r="Y810" t="b">
        <f t="shared" si="63"/>
        <v>0</v>
      </c>
      <c r="Z810" t="b">
        <f t="shared" si="64"/>
        <v>0</v>
      </c>
    </row>
    <row r="811" spans="1:26" ht="15" customHeight="1">
      <c r="A811" t="s">
        <v>1796</v>
      </c>
      <c r="B811" t="s">
        <v>1797</v>
      </c>
      <c r="C811" s="14">
        <v>45994</v>
      </c>
      <c r="D811" s="14">
        <v>45994</v>
      </c>
      <c r="E811">
        <v>2025</v>
      </c>
      <c r="F811">
        <v>12</v>
      </c>
      <c r="G811" t="s">
        <v>193</v>
      </c>
      <c r="H811" t="s">
        <v>194</v>
      </c>
      <c r="I811" t="s">
        <v>124</v>
      </c>
      <c r="J811" s="15">
        <v>51936.37</v>
      </c>
      <c r="K811" s="15">
        <v>0</v>
      </c>
      <c r="L811" s="15">
        <f t="shared" si="60"/>
        <v>51936.37</v>
      </c>
      <c r="M811" t="s">
        <v>195</v>
      </c>
      <c r="N811" t="s">
        <v>1798</v>
      </c>
      <c r="O811" t="s">
        <v>197</v>
      </c>
      <c r="P811" t="s">
        <v>140</v>
      </c>
      <c r="Q811" t="s">
        <v>128</v>
      </c>
      <c r="R811" s="16">
        <v>45994.666666666701</v>
      </c>
      <c r="S811" t="s">
        <v>130</v>
      </c>
      <c r="V811" t="b">
        <f t="shared" si="61"/>
        <v>0</v>
      </c>
      <c r="W811" t="b">
        <f>AND(OR(WEEKDAY(C811,2)=5,WEEKDAY(C811,2)=6),'01_Parameters'!$C$11="Enabled")</f>
        <v>0</v>
      </c>
      <c r="X811" t="b">
        <f t="shared" si="62"/>
        <v>0</v>
      </c>
      <c r="Y811" t="b">
        <f t="shared" si="63"/>
        <v>0</v>
      </c>
      <c r="Z811" t="b">
        <f t="shared" si="64"/>
        <v>0</v>
      </c>
    </row>
    <row r="812" spans="1:26" ht="15" customHeight="1">
      <c r="A812" t="s">
        <v>1796</v>
      </c>
      <c r="B812" t="s">
        <v>1799</v>
      </c>
      <c r="C812" s="14">
        <v>45994</v>
      </c>
      <c r="D812" s="14">
        <v>45994</v>
      </c>
      <c r="E812">
        <v>2025</v>
      </c>
      <c r="F812">
        <v>12</v>
      </c>
      <c r="G812" t="s">
        <v>199</v>
      </c>
      <c r="H812" t="s">
        <v>200</v>
      </c>
      <c r="I812" t="s">
        <v>146</v>
      </c>
      <c r="J812" s="15">
        <v>0</v>
      </c>
      <c r="K812" s="15">
        <v>51936.37</v>
      </c>
      <c r="L812" s="15">
        <f t="shared" si="60"/>
        <v>-51936.37</v>
      </c>
      <c r="M812" t="s">
        <v>195</v>
      </c>
      <c r="N812" t="s">
        <v>1798</v>
      </c>
      <c r="O812" t="s">
        <v>197</v>
      </c>
      <c r="P812" t="s">
        <v>140</v>
      </c>
      <c r="Q812" t="s">
        <v>128</v>
      </c>
      <c r="R812" s="16">
        <v>45994.666666666701</v>
      </c>
      <c r="S812" t="s">
        <v>130</v>
      </c>
      <c r="V812" t="b">
        <f t="shared" si="61"/>
        <v>0</v>
      </c>
      <c r="W812" t="b">
        <f>AND(OR(WEEKDAY(C812,2)=5,WEEKDAY(C812,2)=6),'01_Parameters'!$C$11="Enabled")</f>
        <v>0</v>
      </c>
      <c r="X812" t="b">
        <f t="shared" si="62"/>
        <v>0</v>
      </c>
      <c r="Y812" t="b">
        <f t="shared" si="63"/>
        <v>0</v>
      </c>
      <c r="Z812" t="b">
        <f t="shared" si="64"/>
        <v>0</v>
      </c>
    </row>
    <row r="813" spans="1:26" ht="15" customHeight="1">
      <c r="A813" t="s">
        <v>1800</v>
      </c>
      <c r="B813" t="s">
        <v>1801</v>
      </c>
      <c r="C813" s="14">
        <v>45994</v>
      </c>
      <c r="D813" s="14">
        <v>45994</v>
      </c>
      <c r="E813">
        <v>2025</v>
      </c>
      <c r="F813">
        <v>12</v>
      </c>
      <c r="G813" t="s">
        <v>144</v>
      </c>
      <c r="H813" t="s">
        <v>145</v>
      </c>
      <c r="I813" t="s">
        <v>146</v>
      </c>
      <c r="J813" s="15">
        <v>12492.05</v>
      </c>
      <c r="K813" s="15">
        <v>0</v>
      </c>
      <c r="L813" s="15">
        <f t="shared" si="60"/>
        <v>12492.05</v>
      </c>
      <c r="M813" t="s">
        <v>147</v>
      </c>
      <c r="N813" t="s">
        <v>1802</v>
      </c>
      <c r="O813" t="s">
        <v>149</v>
      </c>
      <c r="P813" t="s">
        <v>140</v>
      </c>
      <c r="Q813" t="s">
        <v>129</v>
      </c>
      <c r="R813" s="16">
        <v>45994.510416666701</v>
      </c>
      <c r="S813" t="s">
        <v>130</v>
      </c>
      <c r="V813" t="b">
        <f t="shared" si="61"/>
        <v>0</v>
      </c>
      <c r="W813" t="b">
        <f>AND(OR(WEEKDAY(C813,2)=5,WEEKDAY(C813,2)=6),'01_Parameters'!$C$11="Enabled")</f>
        <v>0</v>
      </c>
      <c r="X813" t="b">
        <f t="shared" si="62"/>
        <v>0</v>
      </c>
      <c r="Y813" t="b">
        <f t="shared" si="63"/>
        <v>0</v>
      </c>
      <c r="Z813" t="b">
        <f t="shared" si="64"/>
        <v>0</v>
      </c>
    </row>
    <row r="814" spans="1:26" ht="15" customHeight="1">
      <c r="A814" t="s">
        <v>1800</v>
      </c>
      <c r="B814" t="s">
        <v>1803</v>
      </c>
      <c r="C814" s="14">
        <v>45994</v>
      </c>
      <c r="D814" s="14">
        <v>45994</v>
      </c>
      <c r="E814">
        <v>2025</v>
      </c>
      <c r="F814">
        <v>12</v>
      </c>
      <c r="G814" t="s">
        <v>153</v>
      </c>
      <c r="H814" t="s">
        <v>154</v>
      </c>
      <c r="I814" t="s">
        <v>155</v>
      </c>
      <c r="J814" s="15">
        <v>0</v>
      </c>
      <c r="K814" s="15">
        <v>12492.05</v>
      </c>
      <c r="L814" s="15">
        <f t="shared" si="60"/>
        <v>-12492.05</v>
      </c>
      <c r="M814" t="s">
        <v>147</v>
      </c>
      <c r="N814" t="s">
        <v>1802</v>
      </c>
      <c r="O814" t="s">
        <v>149</v>
      </c>
      <c r="P814" t="s">
        <v>140</v>
      </c>
      <c r="Q814" t="s">
        <v>129</v>
      </c>
      <c r="R814" s="16">
        <v>45994.510416666701</v>
      </c>
      <c r="S814" t="s">
        <v>130</v>
      </c>
      <c r="V814" t="b">
        <f t="shared" si="61"/>
        <v>0</v>
      </c>
      <c r="W814" t="b">
        <f>AND(OR(WEEKDAY(C814,2)=5,WEEKDAY(C814,2)=6),'01_Parameters'!$C$11="Enabled")</f>
        <v>0</v>
      </c>
      <c r="X814" t="b">
        <f t="shared" si="62"/>
        <v>0</v>
      </c>
      <c r="Y814" t="b">
        <f t="shared" si="63"/>
        <v>0</v>
      </c>
      <c r="Z814" t="b">
        <f t="shared" si="64"/>
        <v>0</v>
      </c>
    </row>
    <row r="815" spans="1:26" ht="15" customHeight="1">
      <c r="A815" t="s">
        <v>1804</v>
      </c>
      <c r="B815" t="s">
        <v>1805</v>
      </c>
      <c r="C815" s="14">
        <v>46012</v>
      </c>
      <c r="D815" s="14">
        <v>46010</v>
      </c>
      <c r="E815">
        <v>2025</v>
      </c>
      <c r="F815">
        <v>12</v>
      </c>
      <c r="G815" t="s">
        <v>158</v>
      </c>
      <c r="H815" t="s">
        <v>159</v>
      </c>
      <c r="I815" t="s">
        <v>124</v>
      </c>
      <c r="J815" s="15">
        <v>26835.8</v>
      </c>
      <c r="K815" s="15">
        <v>0</v>
      </c>
      <c r="L815" s="15">
        <f t="shared" si="60"/>
        <v>26835.8</v>
      </c>
      <c r="M815" t="s">
        <v>160</v>
      </c>
      <c r="N815" t="s">
        <v>1806</v>
      </c>
      <c r="O815" t="s">
        <v>162</v>
      </c>
      <c r="P815" t="s">
        <v>151</v>
      </c>
      <c r="Q815" t="s">
        <v>129</v>
      </c>
      <c r="R815" s="16">
        <v>46012.90625</v>
      </c>
      <c r="S815" t="s">
        <v>130</v>
      </c>
      <c r="V815" t="b">
        <f t="shared" si="61"/>
        <v>1</v>
      </c>
      <c r="W815" t="b">
        <f>AND(OR(WEEKDAY(C815,2)=5,WEEKDAY(C815,2)=6),'01_Parameters'!$C$11="Enabled")</f>
        <v>0</v>
      </c>
      <c r="X815" t="b">
        <f t="shared" si="62"/>
        <v>1</v>
      </c>
      <c r="Y815" t="b">
        <f t="shared" si="63"/>
        <v>0</v>
      </c>
      <c r="Z815" t="b">
        <f t="shared" si="64"/>
        <v>0</v>
      </c>
    </row>
    <row r="816" spans="1:26" ht="15" customHeight="1">
      <c r="A816" t="s">
        <v>1804</v>
      </c>
      <c r="B816" t="s">
        <v>1807</v>
      </c>
      <c r="C816" s="14">
        <v>46012</v>
      </c>
      <c r="D816" s="14">
        <v>46010</v>
      </c>
      <c r="E816">
        <v>2025</v>
      </c>
      <c r="F816">
        <v>12</v>
      </c>
      <c r="G816" t="s">
        <v>164</v>
      </c>
      <c r="H816" t="s">
        <v>165</v>
      </c>
      <c r="I816" t="s">
        <v>146</v>
      </c>
      <c r="J816" s="15">
        <v>0</v>
      </c>
      <c r="K816" s="15">
        <v>26835.8</v>
      </c>
      <c r="L816" s="15">
        <f t="shared" si="60"/>
        <v>-26835.8</v>
      </c>
      <c r="M816" t="s">
        <v>160</v>
      </c>
      <c r="N816" t="s">
        <v>1806</v>
      </c>
      <c r="O816" t="s">
        <v>162</v>
      </c>
      <c r="P816" t="s">
        <v>151</v>
      </c>
      <c r="Q816" t="s">
        <v>129</v>
      </c>
      <c r="R816" s="16">
        <v>46012.90625</v>
      </c>
      <c r="S816" t="s">
        <v>130</v>
      </c>
      <c r="V816" t="b">
        <f t="shared" si="61"/>
        <v>1</v>
      </c>
      <c r="W816" t="b">
        <f>AND(OR(WEEKDAY(C816,2)=5,WEEKDAY(C816,2)=6),'01_Parameters'!$C$11="Enabled")</f>
        <v>0</v>
      </c>
      <c r="X816" t="b">
        <f t="shared" si="62"/>
        <v>1</v>
      </c>
      <c r="Y816" t="b">
        <f t="shared" si="63"/>
        <v>0</v>
      </c>
      <c r="Z816" t="b">
        <f t="shared" si="64"/>
        <v>0</v>
      </c>
    </row>
    <row r="817" spans="1:26" ht="15" customHeight="1">
      <c r="A817" t="s">
        <v>1808</v>
      </c>
      <c r="B817" t="s">
        <v>1809</v>
      </c>
      <c r="C817" s="14">
        <v>45977</v>
      </c>
      <c r="D817" s="14">
        <v>45972</v>
      </c>
      <c r="E817">
        <v>2025</v>
      </c>
      <c r="F817">
        <v>11</v>
      </c>
      <c r="G817" t="s">
        <v>179</v>
      </c>
      <c r="H817" t="s">
        <v>180</v>
      </c>
      <c r="I817" t="s">
        <v>124</v>
      </c>
      <c r="J817" s="15">
        <v>6744.65</v>
      </c>
      <c r="K817" s="15">
        <v>0</v>
      </c>
      <c r="L817" s="15">
        <f t="shared" si="60"/>
        <v>6744.65</v>
      </c>
      <c r="M817" t="s">
        <v>181</v>
      </c>
      <c r="N817" t="s">
        <v>1810</v>
      </c>
      <c r="O817" t="s">
        <v>183</v>
      </c>
      <c r="P817" t="s">
        <v>140</v>
      </c>
      <c r="Q817" t="s">
        <v>175</v>
      </c>
      <c r="R817" s="16">
        <v>45977.875</v>
      </c>
      <c r="S817" t="s">
        <v>130</v>
      </c>
      <c r="V817" t="b">
        <f t="shared" si="61"/>
        <v>0</v>
      </c>
      <c r="W817" t="b">
        <f>AND(OR(WEEKDAY(C817,2)=5,WEEKDAY(C817,2)=6),'01_Parameters'!$C$11="Enabled")</f>
        <v>0</v>
      </c>
      <c r="X817" t="b">
        <f t="shared" si="62"/>
        <v>1</v>
      </c>
      <c r="Y817" t="b">
        <f t="shared" si="63"/>
        <v>0</v>
      </c>
      <c r="Z817" t="b">
        <f t="shared" si="64"/>
        <v>0</v>
      </c>
    </row>
    <row r="818" spans="1:26" ht="15" customHeight="1">
      <c r="A818" t="s">
        <v>1808</v>
      </c>
      <c r="B818" t="s">
        <v>1811</v>
      </c>
      <c r="C818" s="14">
        <v>45977</v>
      </c>
      <c r="D818" s="14">
        <v>45972</v>
      </c>
      <c r="E818">
        <v>2025</v>
      </c>
      <c r="F818">
        <v>11</v>
      </c>
      <c r="G818" t="s">
        <v>185</v>
      </c>
      <c r="H818" t="s">
        <v>186</v>
      </c>
      <c r="I818" t="s">
        <v>134</v>
      </c>
      <c r="J818" s="15">
        <v>0</v>
      </c>
      <c r="K818" s="15">
        <v>6744.65</v>
      </c>
      <c r="L818" s="15">
        <f t="shared" si="60"/>
        <v>-6744.65</v>
      </c>
      <c r="M818" t="s">
        <v>181</v>
      </c>
      <c r="N818" t="s">
        <v>1810</v>
      </c>
      <c r="O818" t="s">
        <v>183</v>
      </c>
      <c r="P818" t="s">
        <v>140</v>
      </c>
      <c r="Q818" t="s">
        <v>175</v>
      </c>
      <c r="R818" s="16">
        <v>45977.875</v>
      </c>
      <c r="S818" t="s">
        <v>130</v>
      </c>
      <c r="V818" t="b">
        <f t="shared" si="61"/>
        <v>0</v>
      </c>
      <c r="W818" t="b">
        <f>AND(OR(WEEKDAY(C818,2)=5,WEEKDAY(C818,2)=6),'01_Parameters'!$C$11="Enabled")</f>
        <v>0</v>
      </c>
      <c r="X818" t="b">
        <f t="shared" si="62"/>
        <v>1</v>
      </c>
      <c r="Y818" t="b">
        <f t="shared" si="63"/>
        <v>0</v>
      </c>
      <c r="Z818" t="b">
        <f t="shared" si="64"/>
        <v>0</v>
      </c>
    </row>
    <row r="819" spans="1:26" ht="15" customHeight="1">
      <c r="A819" t="s">
        <v>1812</v>
      </c>
      <c r="B819" t="s">
        <v>1813</v>
      </c>
      <c r="C819" s="14">
        <v>45893</v>
      </c>
      <c r="D819" s="14">
        <v>45890</v>
      </c>
      <c r="E819">
        <v>2025</v>
      </c>
      <c r="F819">
        <v>8</v>
      </c>
      <c r="G819" t="s">
        <v>199</v>
      </c>
      <c r="H819" t="s">
        <v>200</v>
      </c>
      <c r="I819" t="s">
        <v>146</v>
      </c>
      <c r="J819" s="15">
        <v>69814.33</v>
      </c>
      <c r="K819" s="15">
        <v>0</v>
      </c>
      <c r="L819" s="15">
        <f t="shared" si="60"/>
        <v>69814.33</v>
      </c>
      <c r="M819" t="s">
        <v>209</v>
      </c>
      <c r="N819" t="s">
        <v>1814</v>
      </c>
      <c r="O819" t="s">
        <v>211</v>
      </c>
      <c r="P819" t="s">
        <v>175</v>
      </c>
      <c r="Q819" t="s">
        <v>151</v>
      </c>
      <c r="R819" s="16">
        <v>45893.53125</v>
      </c>
      <c r="S819" t="s">
        <v>130</v>
      </c>
      <c r="T819" t="s">
        <v>212</v>
      </c>
      <c r="U819" t="s">
        <v>1814</v>
      </c>
      <c r="V819" t="b">
        <f t="shared" si="61"/>
        <v>0</v>
      </c>
      <c r="W819" t="b">
        <f>AND(OR(WEEKDAY(C819,2)=5,WEEKDAY(C819,2)=6),'01_Parameters'!$C$11="Enabled")</f>
        <v>0</v>
      </c>
      <c r="X819" t="b">
        <f t="shared" si="62"/>
        <v>0</v>
      </c>
      <c r="Y819" t="b">
        <f t="shared" si="63"/>
        <v>0</v>
      </c>
      <c r="Z819" t="b">
        <f t="shared" si="64"/>
        <v>0</v>
      </c>
    </row>
    <row r="820" spans="1:26" ht="15" customHeight="1">
      <c r="A820" t="s">
        <v>1812</v>
      </c>
      <c r="B820" t="s">
        <v>1815</v>
      </c>
      <c r="C820" s="14">
        <v>45893</v>
      </c>
      <c r="D820" s="14">
        <v>45890</v>
      </c>
      <c r="E820">
        <v>2025</v>
      </c>
      <c r="F820">
        <v>8</v>
      </c>
      <c r="G820" t="s">
        <v>132</v>
      </c>
      <c r="H820" t="s">
        <v>133</v>
      </c>
      <c r="I820" t="s">
        <v>134</v>
      </c>
      <c r="J820" s="15">
        <v>0</v>
      </c>
      <c r="K820" s="15">
        <v>69814.33</v>
      </c>
      <c r="L820" s="15">
        <f t="shared" si="60"/>
        <v>-69814.33</v>
      </c>
      <c r="M820" t="s">
        <v>209</v>
      </c>
      <c r="N820" t="s">
        <v>1814</v>
      </c>
      <c r="O820" t="s">
        <v>211</v>
      </c>
      <c r="P820" t="s">
        <v>175</v>
      </c>
      <c r="Q820" t="s">
        <v>151</v>
      </c>
      <c r="R820" s="16">
        <v>45893.53125</v>
      </c>
      <c r="S820" t="s">
        <v>130</v>
      </c>
      <c r="T820" t="s">
        <v>212</v>
      </c>
      <c r="U820" t="s">
        <v>1814</v>
      </c>
      <c r="V820" t="b">
        <f t="shared" si="61"/>
        <v>0</v>
      </c>
      <c r="W820" t="b">
        <f>AND(OR(WEEKDAY(C820,2)=5,WEEKDAY(C820,2)=6),'01_Parameters'!$C$11="Enabled")</f>
        <v>0</v>
      </c>
      <c r="X820" t="b">
        <f t="shared" si="62"/>
        <v>0</v>
      </c>
      <c r="Y820" t="b">
        <f t="shared" si="63"/>
        <v>0</v>
      </c>
      <c r="Z820" t="b">
        <f t="shared" si="64"/>
        <v>0</v>
      </c>
    </row>
    <row r="821" spans="1:26" ht="15" customHeight="1">
      <c r="A821" t="s">
        <v>1816</v>
      </c>
      <c r="B821" t="s">
        <v>1817</v>
      </c>
      <c r="C821" s="14">
        <v>45927</v>
      </c>
      <c r="D821" s="14">
        <v>45927</v>
      </c>
      <c r="E821">
        <v>2025</v>
      </c>
      <c r="F821">
        <v>9</v>
      </c>
      <c r="G821" t="s">
        <v>137</v>
      </c>
      <c r="H821" t="s">
        <v>138</v>
      </c>
      <c r="I821" t="s">
        <v>124</v>
      </c>
      <c r="J821" s="15">
        <v>29255.5</v>
      </c>
      <c r="K821" s="15">
        <v>0</v>
      </c>
      <c r="L821" s="15">
        <f t="shared" si="60"/>
        <v>29255.5</v>
      </c>
      <c r="M821" t="s">
        <v>209</v>
      </c>
      <c r="N821" t="s">
        <v>1818</v>
      </c>
      <c r="O821" t="s">
        <v>211</v>
      </c>
      <c r="P821" t="s">
        <v>151</v>
      </c>
      <c r="Q821" t="s">
        <v>129</v>
      </c>
      <c r="R821" s="16">
        <v>45927.71875</v>
      </c>
      <c r="S821" t="s">
        <v>130</v>
      </c>
      <c r="T821" t="s">
        <v>440</v>
      </c>
      <c r="U821" t="s">
        <v>1818</v>
      </c>
      <c r="V821" t="b">
        <f t="shared" si="61"/>
        <v>0</v>
      </c>
      <c r="W821" t="b">
        <f>AND(OR(WEEKDAY(C821,2)=5,WEEKDAY(C821,2)=6),'01_Parameters'!$C$11="Enabled")</f>
        <v>1</v>
      </c>
      <c r="X821" t="b">
        <f t="shared" si="62"/>
        <v>0</v>
      </c>
      <c r="Y821" t="b">
        <f t="shared" si="63"/>
        <v>0</v>
      </c>
      <c r="Z821" t="b">
        <f t="shared" si="64"/>
        <v>0</v>
      </c>
    </row>
    <row r="822" spans="1:26" ht="15" customHeight="1">
      <c r="A822" t="s">
        <v>1816</v>
      </c>
      <c r="B822" t="s">
        <v>1819</v>
      </c>
      <c r="C822" s="14">
        <v>45927</v>
      </c>
      <c r="D822" s="14">
        <v>45927</v>
      </c>
      <c r="E822">
        <v>2025</v>
      </c>
      <c r="F822">
        <v>9</v>
      </c>
      <c r="G822" t="s">
        <v>132</v>
      </c>
      <c r="H822" t="s">
        <v>133</v>
      </c>
      <c r="I822" t="s">
        <v>134</v>
      </c>
      <c r="J822" s="15">
        <v>0</v>
      </c>
      <c r="K822" s="15">
        <v>29255.5</v>
      </c>
      <c r="L822" s="15">
        <f t="shared" si="60"/>
        <v>-29255.5</v>
      </c>
      <c r="M822" t="s">
        <v>209</v>
      </c>
      <c r="N822" t="s">
        <v>1818</v>
      </c>
      <c r="O822" t="s">
        <v>211</v>
      </c>
      <c r="P822" t="s">
        <v>151</v>
      </c>
      <c r="Q822" t="s">
        <v>129</v>
      </c>
      <c r="R822" s="16">
        <v>45927.71875</v>
      </c>
      <c r="S822" t="s">
        <v>130</v>
      </c>
      <c r="T822" t="s">
        <v>440</v>
      </c>
      <c r="U822" t="s">
        <v>1818</v>
      </c>
      <c r="V822" t="b">
        <f t="shared" si="61"/>
        <v>0</v>
      </c>
      <c r="W822" t="b">
        <f>AND(OR(WEEKDAY(C822,2)=5,WEEKDAY(C822,2)=6),'01_Parameters'!$C$11="Enabled")</f>
        <v>1</v>
      </c>
      <c r="X822" t="b">
        <f t="shared" si="62"/>
        <v>0</v>
      </c>
      <c r="Y822" t="b">
        <f t="shared" si="63"/>
        <v>0</v>
      </c>
      <c r="Z822" t="b">
        <f t="shared" si="64"/>
        <v>0</v>
      </c>
    </row>
    <row r="823" spans="1:26" ht="15" customHeight="1">
      <c r="A823" t="s">
        <v>1820</v>
      </c>
      <c r="B823" t="s">
        <v>1821</v>
      </c>
      <c r="C823" s="14">
        <v>45702</v>
      </c>
      <c r="D823" s="14">
        <v>45700</v>
      </c>
      <c r="E823">
        <v>2025</v>
      </c>
      <c r="F823">
        <v>2</v>
      </c>
      <c r="G823" t="s">
        <v>158</v>
      </c>
      <c r="H823" t="s">
        <v>159</v>
      </c>
      <c r="I823" t="s">
        <v>124</v>
      </c>
      <c r="J823" s="15">
        <v>69960.45</v>
      </c>
      <c r="K823" s="15">
        <v>0</v>
      </c>
      <c r="L823" s="15">
        <f t="shared" si="60"/>
        <v>69960.45</v>
      </c>
      <c r="M823" t="s">
        <v>160</v>
      </c>
      <c r="N823" t="s">
        <v>1822</v>
      </c>
      <c r="O823" t="s">
        <v>162</v>
      </c>
      <c r="P823" t="s">
        <v>140</v>
      </c>
      <c r="Q823" t="s">
        <v>151</v>
      </c>
      <c r="R823" s="16">
        <v>45702.635416666701</v>
      </c>
      <c r="S823" t="s">
        <v>130</v>
      </c>
      <c r="V823" t="b">
        <f t="shared" si="61"/>
        <v>0</v>
      </c>
      <c r="W823" t="b">
        <f>AND(OR(WEEKDAY(C823,2)=5,WEEKDAY(C823,2)=6),'01_Parameters'!$C$11="Enabled")</f>
        <v>1</v>
      </c>
      <c r="X823" t="b">
        <f t="shared" si="62"/>
        <v>0</v>
      </c>
      <c r="Y823" t="b">
        <f t="shared" si="63"/>
        <v>0</v>
      </c>
      <c r="Z823" t="b">
        <f t="shared" si="64"/>
        <v>0</v>
      </c>
    </row>
    <row r="824" spans="1:26" ht="15" customHeight="1">
      <c r="A824" t="s">
        <v>1820</v>
      </c>
      <c r="B824" t="s">
        <v>1823</v>
      </c>
      <c r="C824" s="14">
        <v>45702</v>
      </c>
      <c r="D824" s="14">
        <v>45700</v>
      </c>
      <c r="E824">
        <v>2025</v>
      </c>
      <c r="F824">
        <v>2</v>
      </c>
      <c r="G824" t="s">
        <v>164</v>
      </c>
      <c r="H824" t="s">
        <v>165</v>
      </c>
      <c r="I824" t="s">
        <v>146</v>
      </c>
      <c r="J824" s="15">
        <v>0</v>
      </c>
      <c r="K824" s="15">
        <v>69960.45</v>
      </c>
      <c r="L824" s="15">
        <f t="shared" si="60"/>
        <v>-69960.45</v>
      </c>
      <c r="M824" t="s">
        <v>160</v>
      </c>
      <c r="N824" t="s">
        <v>1822</v>
      </c>
      <c r="O824" t="s">
        <v>162</v>
      </c>
      <c r="P824" t="s">
        <v>140</v>
      </c>
      <c r="Q824" t="s">
        <v>151</v>
      </c>
      <c r="R824" s="16">
        <v>45702.635416666701</v>
      </c>
      <c r="S824" t="s">
        <v>130</v>
      </c>
      <c r="V824" t="b">
        <f t="shared" si="61"/>
        <v>0</v>
      </c>
      <c r="W824" t="b">
        <f>AND(OR(WEEKDAY(C824,2)=5,WEEKDAY(C824,2)=6),'01_Parameters'!$C$11="Enabled")</f>
        <v>1</v>
      </c>
      <c r="X824" t="b">
        <f t="shared" si="62"/>
        <v>0</v>
      </c>
      <c r="Y824" t="b">
        <f t="shared" si="63"/>
        <v>0</v>
      </c>
      <c r="Z824" t="b">
        <f t="shared" si="64"/>
        <v>0</v>
      </c>
    </row>
    <row r="825" spans="1:26" ht="15" customHeight="1">
      <c r="A825" t="s">
        <v>1824</v>
      </c>
      <c r="B825" t="s">
        <v>1825</v>
      </c>
      <c r="C825" s="14">
        <v>46011</v>
      </c>
      <c r="D825" s="14">
        <v>46006</v>
      </c>
      <c r="E825">
        <v>2025</v>
      </c>
      <c r="F825">
        <v>12</v>
      </c>
      <c r="G825" t="s">
        <v>334</v>
      </c>
      <c r="H825" t="s">
        <v>335</v>
      </c>
      <c r="I825" t="s">
        <v>124</v>
      </c>
      <c r="J825" s="15">
        <v>20841.8</v>
      </c>
      <c r="K825" s="15">
        <v>0</v>
      </c>
      <c r="L825" s="15">
        <f t="shared" si="60"/>
        <v>20841.8</v>
      </c>
      <c r="M825" t="s">
        <v>125</v>
      </c>
      <c r="N825" t="s">
        <v>1826</v>
      </c>
      <c r="O825" t="s">
        <v>127</v>
      </c>
      <c r="P825" t="s">
        <v>129</v>
      </c>
      <c r="Q825" t="s">
        <v>151</v>
      </c>
      <c r="R825" s="16">
        <v>46011.520833333299</v>
      </c>
      <c r="S825" t="s">
        <v>130</v>
      </c>
      <c r="V825" t="b">
        <f t="shared" si="61"/>
        <v>1</v>
      </c>
      <c r="W825" t="b">
        <f>AND(OR(WEEKDAY(C825,2)=5,WEEKDAY(C825,2)=6),'01_Parameters'!$C$11="Enabled")</f>
        <v>1</v>
      </c>
      <c r="X825" t="b">
        <f t="shared" si="62"/>
        <v>0</v>
      </c>
      <c r="Y825" t="b">
        <f t="shared" si="63"/>
        <v>0</v>
      </c>
      <c r="Z825" t="b">
        <f t="shared" si="64"/>
        <v>0</v>
      </c>
    </row>
    <row r="826" spans="1:26" ht="15" customHeight="1">
      <c r="A826" t="s">
        <v>1824</v>
      </c>
      <c r="B826" t="s">
        <v>1827</v>
      </c>
      <c r="C826" s="14">
        <v>46011</v>
      </c>
      <c r="D826" s="14">
        <v>46006</v>
      </c>
      <c r="E826">
        <v>2025</v>
      </c>
      <c r="F826">
        <v>12</v>
      </c>
      <c r="G826" t="s">
        <v>132</v>
      </c>
      <c r="H826" t="s">
        <v>133</v>
      </c>
      <c r="I826" t="s">
        <v>134</v>
      </c>
      <c r="J826" s="15">
        <v>0</v>
      </c>
      <c r="K826" s="15">
        <v>20841.8</v>
      </c>
      <c r="L826" s="15">
        <f t="shared" si="60"/>
        <v>-20841.8</v>
      </c>
      <c r="M826" t="s">
        <v>125</v>
      </c>
      <c r="N826" t="s">
        <v>1826</v>
      </c>
      <c r="O826" t="s">
        <v>127</v>
      </c>
      <c r="P826" t="s">
        <v>129</v>
      </c>
      <c r="Q826" t="s">
        <v>151</v>
      </c>
      <c r="R826" s="16">
        <v>46011.520833333299</v>
      </c>
      <c r="S826" t="s">
        <v>130</v>
      </c>
      <c r="V826" t="b">
        <f t="shared" si="61"/>
        <v>1</v>
      </c>
      <c r="W826" t="b">
        <f>AND(OR(WEEKDAY(C826,2)=5,WEEKDAY(C826,2)=6),'01_Parameters'!$C$11="Enabled")</f>
        <v>1</v>
      </c>
      <c r="X826" t="b">
        <f t="shared" si="62"/>
        <v>0</v>
      </c>
      <c r="Y826" t="b">
        <f t="shared" si="63"/>
        <v>0</v>
      </c>
      <c r="Z826" t="b">
        <f t="shared" si="64"/>
        <v>0</v>
      </c>
    </row>
    <row r="827" spans="1:26" ht="15" customHeight="1">
      <c r="A827" t="s">
        <v>1828</v>
      </c>
      <c r="B827" t="s">
        <v>1829</v>
      </c>
      <c r="C827" s="14">
        <v>45842</v>
      </c>
      <c r="D827" s="14">
        <v>45839</v>
      </c>
      <c r="E827">
        <v>2025</v>
      </c>
      <c r="F827">
        <v>7</v>
      </c>
      <c r="G827" t="s">
        <v>193</v>
      </c>
      <c r="H827" t="s">
        <v>194</v>
      </c>
      <c r="I827" t="s">
        <v>124</v>
      </c>
      <c r="J827" s="15">
        <v>51866.15</v>
      </c>
      <c r="K827" s="15">
        <v>0</v>
      </c>
      <c r="L827" s="15">
        <f t="shared" si="60"/>
        <v>51866.15</v>
      </c>
      <c r="M827" t="s">
        <v>195</v>
      </c>
      <c r="N827" t="s">
        <v>1830</v>
      </c>
      <c r="O827" t="s">
        <v>197</v>
      </c>
      <c r="P827" t="s">
        <v>140</v>
      </c>
      <c r="Q827" t="s">
        <v>151</v>
      </c>
      <c r="R827" s="16">
        <v>45842.729166666701</v>
      </c>
      <c r="S827" t="s">
        <v>130</v>
      </c>
      <c r="V827" t="b">
        <f t="shared" si="61"/>
        <v>0</v>
      </c>
      <c r="W827" t="b">
        <f>AND(OR(WEEKDAY(C827,2)=5,WEEKDAY(C827,2)=6),'01_Parameters'!$C$11="Enabled")</f>
        <v>1</v>
      </c>
      <c r="X827" t="b">
        <f t="shared" si="62"/>
        <v>0</v>
      </c>
      <c r="Y827" t="b">
        <f t="shared" si="63"/>
        <v>0</v>
      </c>
      <c r="Z827" t="b">
        <f t="shared" si="64"/>
        <v>0</v>
      </c>
    </row>
    <row r="828" spans="1:26" ht="15" customHeight="1">
      <c r="A828" t="s">
        <v>1828</v>
      </c>
      <c r="B828" t="s">
        <v>1831</v>
      </c>
      <c r="C828" s="14">
        <v>45842</v>
      </c>
      <c r="D828" s="14">
        <v>45839</v>
      </c>
      <c r="E828">
        <v>2025</v>
      </c>
      <c r="F828">
        <v>7</v>
      </c>
      <c r="G828" t="s">
        <v>199</v>
      </c>
      <c r="H828" t="s">
        <v>200</v>
      </c>
      <c r="I828" t="s">
        <v>146</v>
      </c>
      <c r="J828" s="15">
        <v>0</v>
      </c>
      <c r="K828" s="15">
        <v>51866.15</v>
      </c>
      <c r="L828" s="15">
        <f t="shared" si="60"/>
        <v>-51866.15</v>
      </c>
      <c r="M828" t="s">
        <v>195</v>
      </c>
      <c r="N828" t="s">
        <v>1830</v>
      </c>
      <c r="O828" t="s">
        <v>197</v>
      </c>
      <c r="P828" t="s">
        <v>140</v>
      </c>
      <c r="Q828" t="s">
        <v>151</v>
      </c>
      <c r="R828" s="16">
        <v>45842.729166666701</v>
      </c>
      <c r="S828" t="s">
        <v>130</v>
      </c>
      <c r="V828" t="b">
        <f t="shared" si="61"/>
        <v>0</v>
      </c>
      <c r="W828" t="b">
        <f>AND(OR(WEEKDAY(C828,2)=5,WEEKDAY(C828,2)=6),'01_Parameters'!$C$11="Enabled")</f>
        <v>1</v>
      </c>
      <c r="X828" t="b">
        <f t="shared" si="62"/>
        <v>0</v>
      </c>
      <c r="Y828" t="b">
        <f t="shared" si="63"/>
        <v>0</v>
      </c>
      <c r="Z828" t="b">
        <f t="shared" si="64"/>
        <v>0</v>
      </c>
    </row>
    <row r="829" spans="1:26" ht="15" customHeight="1">
      <c r="A829" t="s">
        <v>1832</v>
      </c>
      <c r="B829" t="s">
        <v>1833</v>
      </c>
      <c r="C829" s="14">
        <v>45802</v>
      </c>
      <c r="D829" s="14">
        <v>45802</v>
      </c>
      <c r="E829">
        <v>2025</v>
      </c>
      <c r="F829">
        <v>5</v>
      </c>
      <c r="G829" t="s">
        <v>122</v>
      </c>
      <c r="H829" t="s">
        <v>123</v>
      </c>
      <c r="I829" t="s">
        <v>124</v>
      </c>
      <c r="J829" s="15">
        <v>79958.52</v>
      </c>
      <c r="K829" s="15">
        <v>0</v>
      </c>
      <c r="L829" s="15">
        <f t="shared" si="60"/>
        <v>79958.52</v>
      </c>
      <c r="M829" t="s">
        <v>209</v>
      </c>
      <c r="N829" t="s">
        <v>1834</v>
      </c>
      <c r="O829" t="s">
        <v>211</v>
      </c>
      <c r="P829" t="s">
        <v>129</v>
      </c>
      <c r="Q829" t="s">
        <v>150</v>
      </c>
      <c r="R829" s="16">
        <v>45802.260416666701</v>
      </c>
      <c r="S829" t="s">
        <v>130</v>
      </c>
      <c r="T829" t="s">
        <v>322</v>
      </c>
      <c r="U829" t="s">
        <v>1834</v>
      </c>
      <c r="V829" t="b">
        <f t="shared" si="61"/>
        <v>0</v>
      </c>
      <c r="W829" t="b">
        <f>AND(OR(WEEKDAY(C829,2)=5,WEEKDAY(C829,2)=6),'01_Parameters'!$C$11="Enabled")</f>
        <v>0</v>
      </c>
      <c r="X829" t="b">
        <f t="shared" si="62"/>
        <v>1</v>
      </c>
      <c r="Y829" t="b">
        <f t="shared" si="63"/>
        <v>0</v>
      </c>
      <c r="Z829" t="b">
        <f t="shared" si="64"/>
        <v>0</v>
      </c>
    </row>
    <row r="830" spans="1:26" ht="15" customHeight="1">
      <c r="A830" t="s">
        <v>1832</v>
      </c>
      <c r="B830" t="s">
        <v>1835</v>
      </c>
      <c r="C830" s="14">
        <v>45802</v>
      </c>
      <c r="D830" s="14">
        <v>45802</v>
      </c>
      <c r="E830">
        <v>2025</v>
      </c>
      <c r="F830">
        <v>5</v>
      </c>
      <c r="G830" t="s">
        <v>132</v>
      </c>
      <c r="H830" t="s">
        <v>133</v>
      </c>
      <c r="I830" t="s">
        <v>134</v>
      </c>
      <c r="J830" s="15">
        <v>0</v>
      </c>
      <c r="K830" s="15">
        <v>79958.52</v>
      </c>
      <c r="L830" s="15">
        <f t="shared" si="60"/>
        <v>-79958.52</v>
      </c>
      <c r="M830" t="s">
        <v>209</v>
      </c>
      <c r="N830" t="s">
        <v>1834</v>
      </c>
      <c r="O830" t="s">
        <v>211</v>
      </c>
      <c r="P830" t="s">
        <v>129</v>
      </c>
      <c r="Q830" t="s">
        <v>150</v>
      </c>
      <c r="R830" s="16">
        <v>45802.260416666701</v>
      </c>
      <c r="S830" t="s">
        <v>130</v>
      </c>
      <c r="T830" t="s">
        <v>322</v>
      </c>
      <c r="U830" t="s">
        <v>1834</v>
      </c>
      <c r="V830" t="b">
        <f t="shared" si="61"/>
        <v>0</v>
      </c>
      <c r="W830" t="b">
        <f>AND(OR(WEEKDAY(C830,2)=5,WEEKDAY(C830,2)=6),'01_Parameters'!$C$11="Enabled")</f>
        <v>0</v>
      </c>
      <c r="X830" t="b">
        <f t="shared" si="62"/>
        <v>1</v>
      </c>
      <c r="Y830" t="b">
        <f t="shared" si="63"/>
        <v>0</v>
      </c>
      <c r="Z830" t="b">
        <f t="shared" si="64"/>
        <v>0</v>
      </c>
    </row>
    <row r="831" spans="1:26" ht="15" customHeight="1">
      <c r="A831" t="s">
        <v>1836</v>
      </c>
      <c r="B831" t="s">
        <v>1837</v>
      </c>
      <c r="C831" s="14">
        <v>45666</v>
      </c>
      <c r="D831" s="14">
        <v>45664</v>
      </c>
      <c r="E831">
        <v>2025</v>
      </c>
      <c r="F831">
        <v>1</v>
      </c>
      <c r="G831" t="s">
        <v>193</v>
      </c>
      <c r="H831" t="s">
        <v>194</v>
      </c>
      <c r="I831" t="s">
        <v>124</v>
      </c>
      <c r="J831" s="15">
        <v>4808.09</v>
      </c>
      <c r="K831" s="15">
        <v>0</v>
      </c>
      <c r="L831" s="15">
        <f t="shared" si="60"/>
        <v>4808.09</v>
      </c>
      <c r="M831" t="s">
        <v>195</v>
      </c>
      <c r="N831" t="s">
        <v>1838</v>
      </c>
      <c r="O831" t="s">
        <v>197</v>
      </c>
      <c r="P831" t="s">
        <v>150</v>
      </c>
      <c r="Q831" t="s">
        <v>175</v>
      </c>
      <c r="R831" s="16">
        <v>45666.583333333299</v>
      </c>
      <c r="S831" t="s">
        <v>130</v>
      </c>
      <c r="V831" t="b">
        <f t="shared" si="61"/>
        <v>0</v>
      </c>
      <c r="W831" t="b">
        <f>AND(OR(WEEKDAY(C831,2)=5,WEEKDAY(C831,2)=6),'01_Parameters'!$C$11="Enabled")</f>
        <v>0</v>
      </c>
      <c r="X831" t="b">
        <f t="shared" si="62"/>
        <v>0</v>
      </c>
      <c r="Y831" t="b">
        <f t="shared" si="63"/>
        <v>0</v>
      </c>
      <c r="Z831" t="b">
        <f t="shared" si="64"/>
        <v>0</v>
      </c>
    </row>
    <row r="832" spans="1:26" ht="15" customHeight="1">
      <c r="A832" t="s">
        <v>1836</v>
      </c>
      <c r="B832" t="s">
        <v>1839</v>
      </c>
      <c r="C832" s="14">
        <v>45666</v>
      </c>
      <c r="D832" s="14">
        <v>45664</v>
      </c>
      <c r="E832">
        <v>2025</v>
      </c>
      <c r="F832">
        <v>1</v>
      </c>
      <c r="G832" t="s">
        <v>199</v>
      </c>
      <c r="H832" t="s">
        <v>200</v>
      </c>
      <c r="I832" t="s">
        <v>146</v>
      </c>
      <c r="J832" s="15">
        <v>0</v>
      </c>
      <c r="K832" s="15">
        <v>4808.09</v>
      </c>
      <c r="L832" s="15">
        <f t="shared" si="60"/>
        <v>-4808.09</v>
      </c>
      <c r="M832" t="s">
        <v>195</v>
      </c>
      <c r="N832" t="s">
        <v>1838</v>
      </c>
      <c r="O832" t="s">
        <v>197</v>
      </c>
      <c r="P832" t="s">
        <v>150</v>
      </c>
      <c r="Q832" t="s">
        <v>175</v>
      </c>
      <c r="R832" s="16">
        <v>45666.583333333299</v>
      </c>
      <c r="S832" t="s">
        <v>130</v>
      </c>
      <c r="V832" t="b">
        <f t="shared" si="61"/>
        <v>0</v>
      </c>
      <c r="W832" t="b">
        <f>AND(OR(WEEKDAY(C832,2)=5,WEEKDAY(C832,2)=6),'01_Parameters'!$C$11="Enabled")</f>
        <v>0</v>
      </c>
      <c r="X832" t="b">
        <f t="shared" si="62"/>
        <v>0</v>
      </c>
      <c r="Y832" t="b">
        <f t="shared" si="63"/>
        <v>0</v>
      </c>
      <c r="Z832" t="b">
        <f t="shared" si="64"/>
        <v>0</v>
      </c>
    </row>
    <row r="833" spans="1:26" ht="15" customHeight="1">
      <c r="A833" t="s">
        <v>1840</v>
      </c>
      <c r="B833" t="s">
        <v>1841</v>
      </c>
      <c r="C833" s="14">
        <v>45744</v>
      </c>
      <c r="D833" s="14">
        <v>45743</v>
      </c>
      <c r="E833">
        <v>2025</v>
      </c>
      <c r="F833">
        <v>3</v>
      </c>
      <c r="G833" t="s">
        <v>144</v>
      </c>
      <c r="H833" t="s">
        <v>145</v>
      </c>
      <c r="I833" t="s">
        <v>146</v>
      </c>
      <c r="J833" s="15">
        <v>57173.74</v>
      </c>
      <c r="K833" s="15">
        <v>0</v>
      </c>
      <c r="L833" s="15">
        <f t="shared" si="60"/>
        <v>57173.74</v>
      </c>
      <c r="M833" t="s">
        <v>147</v>
      </c>
      <c r="N833" t="s">
        <v>1842</v>
      </c>
      <c r="O833" t="s">
        <v>149</v>
      </c>
      <c r="P833" t="s">
        <v>140</v>
      </c>
      <c r="Q833" t="s">
        <v>129</v>
      </c>
      <c r="R833" s="16">
        <v>45744.8125</v>
      </c>
      <c r="S833" t="s">
        <v>130</v>
      </c>
      <c r="V833" t="b">
        <f t="shared" si="61"/>
        <v>0</v>
      </c>
      <c r="W833" t="b">
        <f>AND(OR(WEEKDAY(C833,2)=5,WEEKDAY(C833,2)=6),'01_Parameters'!$C$11="Enabled")</f>
        <v>1</v>
      </c>
      <c r="X833" t="b">
        <f t="shared" si="62"/>
        <v>1</v>
      </c>
      <c r="Y833" t="b">
        <f t="shared" si="63"/>
        <v>0</v>
      </c>
      <c r="Z833" t="b">
        <f t="shared" si="64"/>
        <v>0</v>
      </c>
    </row>
    <row r="834" spans="1:26" ht="15" customHeight="1">
      <c r="A834" t="s">
        <v>1840</v>
      </c>
      <c r="B834" t="s">
        <v>1843</v>
      </c>
      <c r="C834" s="14">
        <v>45744</v>
      </c>
      <c r="D834" s="14">
        <v>45743</v>
      </c>
      <c r="E834">
        <v>2025</v>
      </c>
      <c r="F834">
        <v>3</v>
      </c>
      <c r="G834" t="s">
        <v>153</v>
      </c>
      <c r="H834" t="s">
        <v>154</v>
      </c>
      <c r="I834" t="s">
        <v>155</v>
      </c>
      <c r="J834" s="15">
        <v>0</v>
      </c>
      <c r="K834" s="15">
        <v>57173.74</v>
      </c>
      <c r="L834" s="15">
        <f t="shared" si="60"/>
        <v>-57173.74</v>
      </c>
      <c r="M834" t="s">
        <v>147</v>
      </c>
      <c r="N834" t="s">
        <v>1842</v>
      </c>
      <c r="O834" t="s">
        <v>149</v>
      </c>
      <c r="P834" t="s">
        <v>140</v>
      </c>
      <c r="Q834" t="s">
        <v>129</v>
      </c>
      <c r="R834" s="16">
        <v>45744.8125</v>
      </c>
      <c r="S834" t="s">
        <v>130</v>
      </c>
      <c r="V834" t="b">
        <f t="shared" si="61"/>
        <v>0</v>
      </c>
      <c r="W834" t="b">
        <f>AND(OR(WEEKDAY(C834,2)=5,WEEKDAY(C834,2)=6),'01_Parameters'!$C$11="Enabled")</f>
        <v>1</v>
      </c>
      <c r="X834" t="b">
        <f t="shared" si="62"/>
        <v>1</v>
      </c>
      <c r="Y834" t="b">
        <f t="shared" si="63"/>
        <v>0</v>
      </c>
      <c r="Z834" t="b">
        <f t="shared" si="64"/>
        <v>0</v>
      </c>
    </row>
    <row r="835" spans="1:26" ht="15" customHeight="1">
      <c r="A835" t="s">
        <v>1844</v>
      </c>
      <c r="B835" t="s">
        <v>1845</v>
      </c>
      <c r="C835" s="14">
        <v>45665</v>
      </c>
      <c r="D835" s="14">
        <v>45665</v>
      </c>
      <c r="E835">
        <v>2025</v>
      </c>
      <c r="F835">
        <v>1</v>
      </c>
      <c r="G835" t="s">
        <v>179</v>
      </c>
      <c r="H835" t="s">
        <v>180</v>
      </c>
      <c r="I835" t="s">
        <v>124</v>
      </c>
      <c r="J835" s="15">
        <v>84153.31</v>
      </c>
      <c r="K835" s="15">
        <v>0</v>
      </c>
      <c r="L835" s="15">
        <f t="shared" si="60"/>
        <v>84153.31</v>
      </c>
      <c r="M835" t="s">
        <v>181</v>
      </c>
      <c r="N835" t="s">
        <v>1846</v>
      </c>
      <c r="O835" t="s">
        <v>183</v>
      </c>
      <c r="P835" t="s">
        <v>140</v>
      </c>
      <c r="Q835" t="s">
        <v>128</v>
      </c>
      <c r="R835" s="16">
        <v>45665.5625</v>
      </c>
      <c r="S835" t="s">
        <v>130</v>
      </c>
      <c r="V835" t="b">
        <f t="shared" si="61"/>
        <v>0</v>
      </c>
      <c r="W835" t="b">
        <f>AND(OR(WEEKDAY(C835,2)=5,WEEKDAY(C835,2)=6),'01_Parameters'!$C$11="Enabled")</f>
        <v>0</v>
      </c>
      <c r="X835" t="b">
        <f t="shared" si="62"/>
        <v>0</v>
      </c>
      <c r="Y835" t="b">
        <f t="shared" si="63"/>
        <v>0</v>
      </c>
      <c r="Z835" t="b">
        <f t="shared" si="64"/>
        <v>0</v>
      </c>
    </row>
    <row r="836" spans="1:26" ht="15" customHeight="1">
      <c r="A836" t="s">
        <v>1844</v>
      </c>
      <c r="B836" t="s">
        <v>1847</v>
      </c>
      <c r="C836" s="14">
        <v>45665</v>
      </c>
      <c r="D836" s="14">
        <v>45665</v>
      </c>
      <c r="E836">
        <v>2025</v>
      </c>
      <c r="F836">
        <v>1</v>
      </c>
      <c r="G836" t="s">
        <v>185</v>
      </c>
      <c r="H836" t="s">
        <v>186</v>
      </c>
      <c r="I836" t="s">
        <v>134</v>
      </c>
      <c r="J836" s="15">
        <v>0</v>
      </c>
      <c r="K836" s="15">
        <v>84153.31</v>
      </c>
      <c r="L836" s="15">
        <f t="shared" si="60"/>
        <v>-84153.31</v>
      </c>
      <c r="M836" t="s">
        <v>181</v>
      </c>
      <c r="N836" t="s">
        <v>1846</v>
      </c>
      <c r="O836" t="s">
        <v>183</v>
      </c>
      <c r="P836" t="s">
        <v>140</v>
      </c>
      <c r="Q836" t="s">
        <v>128</v>
      </c>
      <c r="R836" s="16">
        <v>45665.5625</v>
      </c>
      <c r="S836" t="s">
        <v>130</v>
      </c>
      <c r="V836" t="b">
        <f t="shared" si="61"/>
        <v>0</v>
      </c>
      <c r="W836" t="b">
        <f>AND(OR(WEEKDAY(C836,2)=5,WEEKDAY(C836,2)=6),'01_Parameters'!$C$11="Enabled")</f>
        <v>0</v>
      </c>
      <c r="X836" t="b">
        <f t="shared" si="62"/>
        <v>0</v>
      </c>
      <c r="Y836" t="b">
        <f t="shared" si="63"/>
        <v>0</v>
      </c>
      <c r="Z836" t="b">
        <f t="shared" si="64"/>
        <v>0</v>
      </c>
    </row>
    <row r="837" spans="1:26" ht="15" customHeight="1">
      <c r="A837" t="s">
        <v>1848</v>
      </c>
      <c r="B837" t="s">
        <v>1849</v>
      </c>
      <c r="C837" s="14">
        <v>45814</v>
      </c>
      <c r="D837" s="14">
        <v>45809</v>
      </c>
      <c r="E837">
        <v>2025</v>
      </c>
      <c r="F837">
        <v>6</v>
      </c>
      <c r="G837" t="s">
        <v>193</v>
      </c>
      <c r="H837" t="s">
        <v>194</v>
      </c>
      <c r="I837" t="s">
        <v>124</v>
      </c>
      <c r="J837" s="15">
        <v>71522.320000000007</v>
      </c>
      <c r="K837" s="15">
        <v>0</v>
      </c>
      <c r="L837" s="15">
        <f t="shared" ref="L837:L900" si="65">J837-K837</f>
        <v>71522.320000000007</v>
      </c>
      <c r="M837" t="s">
        <v>195</v>
      </c>
      <c r="N837" t="s">
        <v>1850</v>
      </c>
      <c r="O837" t="s">
        <v>197</v>
      </c>
      <c r="P837" t="s">
        <v>140</v>
      </c>
      <c r="Q837" t="s">
        <v>150</v>
      </c>
      <c r="R837" s="16">
        <v>45814.84375</v>
      </c>
      <c r="S837" t="s">
        <v>130</v>
      </c>
      <c r="V837" t="b">
        <f t="shared" ref="V837:V900" si="66">AND(C837&gt;=Year_End_Window_Start,C837&lt;=Year_End_Window_End)</f>
        <v>0</v>
      </c>
      <c r="W837" t="b">
        <f>AND(OR(WEEKDAY(C837,2)=5,WEEKDAY(C837,2)=6),'01_Parameters'!$C$11="Enabled")</f>
        <v>1</v>
      </c>
      <c r="X837" t="b">
        <f t="shared" ref="X837:X900" si="67">AND(HOUR(R837)&lt;Business_Day_Start,HOUR(R837)&gt;=0)+AND(HOUR(R837)&gt;=Business_Day_End,HOUR(R837)&lt;=23)&gt;0</f>
        <v>1</v>
      </c>
      <c r="Y837" t="b">
        <f t="shared" ref="Y837:Y900" si="68">ABS(L837)&gt;High_Value_GL_Threshold</f>
        <v>0</v>
      </c>
      <c r="Z837" t="b">
        <f t="shared" ref="Z837:Z900" si="69">AND(ABS(L837)&gt;=Round_Number_Threshold,MOD(ABS(L837),Round_Number_Threshold)=0)</f>
        <v>0</v>
      </c>
    </row>
    <row r="838" spans="1:26" ht="15" customHeight="1">
      <c r="A838" t="s">
        <v>1848</v>
      </c>
      <c r="B838" t="s">
        <v>1851</v>
      </c>
      <c r="C838" s="14">
        <v>45814</v>
      </c>
      <c r="D838" s="14">
        <v>45809</v>
      </c>
      <c r="E838">
        <v>2025</v>
      </c>
      <c r="F838">
        <v>6</v>
      </c>
      <c r="G838" t="s">
        <v>199</v>
      </c>
      <c r="H838" t="s">
        <v>200</v>
      </c>
      <c r="I838" t="s">
        <v>146</v>
      </c>
      <c r="J838" s="15">
        <v>0</v>
      </c>
      <c r="K838" s="15">
        <v>71522.320000000007</v>
      </c>
      <c r="L838" s="15">
        <f t="shared" si="65"/>
        <v>-71522.320000000007</v>
      </c>
      <c r="M838" t="s">
        <v>195</v>
      </c>
      <c r="N838" t="s">
        <v>1850</v>
      </c>
      <c r="O838" t="s">
        <v>197</v>
      </c>
      <c r="P838" t="s">
        <v>140</v>
      </c>
      <c r="Q838" t="s">
        <v>150</v>
      </c>
      <c r="R838" s="16">
        <v>45814.84375</v>
      </c>
      <c r="S838" t="s">
        <v>130</v>
      </c>
      <c r="V838" t="b">
        <f t="shared" si="66"/>
        <v>0</v>
      </c>
      <c r="W838" t="b">
        <f>AND(OR(WEEKDAY(C838,2)=5,WEEKDAY(C838,2)=6),'01_Parameters'!$C$11="Enabled")</f>
        <v>1</v>
      </c>
      <c r="X838" t="b">
        <f t="shared" si="67"/>
        <v>1</v>
      </c>
      <c r="Y838" t="b">
        <f t="shared" si="68"/>
        <v>0</v>
      </c>
      <c r="Z838" t="b">
        <f t="shared" si="69"/>
        <v>0</v>
      </c>
    </row>
    <row r="839" spans="1:26" ht="15" customHeight="1">
      <c r="A839" t="s">
        <v>1852</v>
      </c>
      <c r="B839" t="s">
        <v>1853</v>
      </c>
      <c r="C839" s="14">
        <v>45704</v>
      </c>
      <c r="D839" s="14">
        <v>45703</v>
      </c>
      <c r="E839">
        <v>2025</v>
      </c>
      <c r="F839">
        <v>2</v>
      </c>
      <c r="G839" t="s">
        <v>179</v>
      </c>
      <c r="H839" t="s">
        <v>180</v>
      </c>
      <c r="I839" t="s">
        <v>124</v>
      </c>
      <c r="J839" s="15">
        <v>47394.68</v>
      </c>
      <c r="K839" s="15">
        <v>0</v>
      </c>
      <c r="L839" s="15">
        <f t="shared" si="65"/>
        <v>47394.68</v>
      </c>
      <c r="M839" t="s">
        <v>181</v>
      </c>
      <c r="N839" t="s">
        <v>1854</v>
      </c>
      <c r="O839" t="s">
        <v>183</v>
      </c>
      <c r="P839" t="s">
        <v>129</v>
      </c>
      <c r="Q839" t="s">
        <v>151</v>
      </c>
      <c r="R839" s="16">
        <v>45704.71875</v>
      </c>
      <c r="S839" t="s">
        <v>130</v>
      </c>
      <c r="V839" t="b">
        <f t="shared" si="66"/>
        <v>0</v>
      </c>
      <c r="W839" t="b">
        <f>AND(OR(WEEKDAY(C839,2)=5,WEEKDAY(C839,2)=6),'01_Parameters'!$C$11="Enabled")</f>
        <v>0</v>
      </c>
      <c r="X839" t="b">
        <f t="shared" si="67"/>
        <v>0</v>
      </c>
      <c r="Y839" t="b">
        <f t="shared" si="68"/>
        <v>0</v>
      </c>
      <c r="Z839" t="b">
        <f t="shared" si="69"/>
        <v>0</v>
      </c>
    </row>
    <row r="840" spans="1:26" ht="15" customHeight="1">
      <c r="A840" t="s">
        <v>1852</v>
      </c>
      <c r="B840" t="s">
        <v>1855</v>
      </c>
      <c r="C840" s="14">
        <v>45704</v>
      </c>
      <c r="D840" s="14">
        <v>45703</v>
      </c>
      <c r="E840">
        <v>2025</v>
      </c>
      <c r="F840">
        <v>2</v>
      </c>
      <c r="G840" t="s">
        <v>185</v>
      </c>
      <c r="H840" t="s">
        <v>186</v>
      </c>
      <c r="I840" t="s">
        <v>134</v>
      </c>
      <c r="J840" s="15">
        <v>0</v>
      </c>
      <c r="K840" s="15">
        <v>47394.68</v>
      </c>
      <c r="L840" s="15">
        <f t="shared" si="65"/>
        <v>-47394.68</v>
      </c>
      <c r="M840" t="s">
        <v>181</v>
      </c>
      <c r="N840" t="s">
        <v>1854</v>
      </c>
      <c r="O840" t="s">
        <v>183</v>
      </c>
      <c r="P840" t="s">
        <v>129</v>
      </c>
      <c r="Q840" t="s">
        <v>151</v>
      </c>
      <c r="R840" s="16">
        <v>45704.71875</v>
      </c>
      <c r="S840" t="s">
        <v>130</v>
      </c>
      <c r="V840" t="b">
        <f t="shared" si="66"/>
        <v>0</v>
      </c>
      <c r="W840" t="b">
        <f>AND(OR(WEEKDAY(C840,2)=5,WEEKDAY(C840,2)=6),'01_Parameters'!$C$11="Enabled")</f>
        <v>0</v>
      </c>
      <c r="X840" t="b">
        <f t="shared" si="67"/>
        <v>0</v>
      </c>
      <c r="Y840" t="b">
        <f t="shared" si="68"/>
        <v>0</v>
      </c>
      <c r="Z840" t="b">
        <f t="shared" si="69"/>
        <v>0</v>
      </c>
    </row>
    <row r="841" spans="1:26" ht="15" customHeight="1">
      <c r="A841" t="s">
        <v>1856</v>
      </c>
      <c r="B841" t="s">
        <v>1857</v>
      </c>
      <c r="C841" s="14">
        <v>45733</v>
      </c>
      <c r="D841" s="14">
        <v>45732</v>
      </c>
      <c r="E841">
        <v>2025</v>
      </c>
      <c r="F841">
        <v>3</v>
      </c>
      <c r="G841" t="s">
        <v>179</v>
      </c>
      <c r="H841" t="s">
        <v>180</v>
      </c>
      <c r="I841" t="s">
        <v>124</v>
      </c>
      <c r="J841" s="15">
        <v>84500.03</v>
      </c>
      <c r="K841" s="15">
        <v>0</v>
      </c>
      <c r="L841" s="15">
        <f t="shared" si="65"/>
        <v>84500.03</v>
      </c>
      <c r="M841" t="s">
        <v>181</v>
      </c>
      <c r="N841" t="s">
        <v>1858</v>
      </c>
      <c r="O841" t="s">
        <v>183</v>
      </c>
      <c r="P841" t="s">
        <v>129</v>
      </c>
      <c r="Q841" t="s">
        <v>151</v>
      </c>
      <c r="R841" s="16">
        <v>45733.447916666701</v>
      </c>
      <c r="S841" t="s">
        <v>130</v>
      </c>
      <c r="V841" t="b">
        <f t="shared" si="66"/>
        <v>0</v>
      </c>
      <c r="W841" t="b">
        <f>AND(OR(WEEKDAY(C841,2)=5,WEEKDAY(C841,2)=6),'01_Parameters'!$C$11="Enabled")</f>
        <v>0</v>
      </c>
      <c r="X841" t="b">
        <f t="shared" si="67"/>
        <v>0</v>
      </c>
      <c r="Y841" t="b">
        <f t="shared" si="68"/>
        <v>0</v>
      </c>
      <c r="Z841" t="b">
        <f t="shared" si="69"/>
        <v>0</v>
      </c>
    </row>
    <row r="842" spans="1:26" ht="15" customHeight="1">
      <c r="A842" t="s">
        <v>1856</v>
      </c>
      <c r="B842" t="s">
        <v>1859</v>
      </c>
      <c r="C842" s="14">
        <v>45733</v>
      </c>
      <c r="D842" s="14">
        <v>45732</v>
      </c>
      <c r="E842">
        <v>2025</v>
      </c>
      <c r="F842">
        <v>3</v>
      </c>
      <c r="G842" t="s">
        <v>185</v>
      </c>
      <c r="H842" t="s">
        <v>186</v>
      </c>
      <c r="I842" t="s">
        <v>134</v>
      </c>
      <c r="J842" s="15">
        <v>0</v>
      </c>
      <c r="K842" s="15">
        <v>84500.03</v>
      </c>
      <c r="L842" s="15">
        <f t="shared" si="65"/>
        <v>-84500.03</v>
      </c>
      <c r="M842" t="s">
        <v>181</v>
      </c>
      <c r="N842" t="s">
        <v>1858</v>
      </c>
      <c r="O842" t="s">
        <v>183</v>
      </c>
      <c r="P842" t="s">
        <v>129</v>
      </c>
      <c r="Q842" t="s">
        <v>151</v>
      </c>
      <c r="R842" s="16">
        <v>45733.447916666701</v>
      </c>
      <c r="S842" t="s">
        <v>130</v>
      </c>
      <c r="V842" t="b">
        <f t="shared" si="66"/>
        <v>0</v>
      </c>
      <c r="W842" t="b">
        <f>AND(OR(WEEKDAY(C842,2)=5,WEEKDAY(C842,2)=6),'01_Parameters'!$C$11="Enabled")</f>
        <v>0</v>
      </c>
      <c r="X842" t="b">
        <f t="shared" si="67"/>
        <v>0</v>
      </c>
      <c r="Y842" t="b">
        <f t="shared" si="68"/>
        <v>0</v>
      </c>
      <c r="Z842" t="b">
        <f t="shared" si="69"/>
        <v>0</v>
      </c>
    </row>
    <row r="843" spans="1:26" ht="15" customHeight="1">
      <c r="A843" t="s">
        <v>1860</v>
      </c>
      <c r="B843" t="s">
        <v>1861</v>
      </c>
      <c r="C843" s="14">
        <v>45807</v>
      </c>
      <c r="D843" s="14">
        <v>45805</v>
      </c>
      <c r="E843">
        <v>2025</v>
      </c>
      <c r="F843">
        <v>5</v>
      </c>
      <c r="G843" t="s">
        <v>144</v>
      </c>
      <c r="H843" t="s">
        <v>145</v>
      </c>
      <c r="I843" t="s">
        <v>146</v>
      </c>
      <c r="J843" s="15">
        <v>59877.31</v>
      </c>
      <c r="K843" s="15">
        <v>0</v>
      </c>
      <c r="L843" s="15">
        <f t="shared" si="65"/>
        <v>59877.31</v>
      </c>
      <c r="M843" t="s">
        <v>147</v>
      </c>
      <c r="N843" t="s">
        <v>1862</v>
      </c>
      <c r="O843" t="s">
        <v>149</v>
      </c>
      <c r="P843" t="s">
        <v>140</v>
      </c>
      <c r="Q843" t="s">
        <v>150</v>
      </c>
      <c r="R843" s="16">
        <v>45807.604166666701</v>
      </c>
      <c r="S843" t="s">
        <v>130</v>
      </c>
      <c r="V843" t="b">
        <f t="shared" si="66"/>
        <v>0</v>
      </c>
      <c r="W843" t="b">
        <f>AND(OR(WEEKDAY(C843,2)=5,WEEKDAY(C843,2)=6),'01_Parameters'!$C$11="Enabled")</f>
        <v>1</v>
      </c>
      <c r="X843" t="b">
        <f t="shared" si="67"/>
        <v>0</v>
      </c>
      <c r="Y843" t="b">
        <f t="shared" si="68"/>
        <v>0</v>
      </c>
      <c r="Z843" t="b">
        <f t="shared" si="69"/>
        <v>0</v>
      </c>
    </row>
    <row r="844" spans="1:26" ht="15" customHeight="1">
      <c r="A844" t="s">
        <v>1860</v>
      </c>
      <c r="B844" t="s">
        <v>1863</v>
      </c>
      <c r="C844" s="14">
        <v>45807</v>
      </c>
      <c r="D844" s="14">
        <v>45805</v>
      </c>
      <c r="E844">
        <v>2025</v>
      </c>
      <c r="F844">
        <v>5</v>
      </c>
      <c r="G844" t="s">
        <v>153</v>
      </c>
      <c r="H844" t="s">
        <v>154</v>
      </c>
      <c r="I844" t="s">
        <v>155</v>
      </c>
      <c r="J844" s="15">
        <v>0</v>
      </c>
      <c r="K844" s="15">
        <v>59877.31</v>
      </c>
      <c r="L844" s="15">
        <f t="shared" si="65"/>
        <v>-59877.31</v>
      </c>
      <c r="M844" t="s">
        <v>147</v>
      </c>
      <c r="N844" t="s">
        <v>1862</v>
      </c>
      <c r="O844" t="s">
        <v>149</v>
      </c>
      <c r="P844" t="s">
        <v>140</v>
      </c>
      <c r="Q844" t="s">
        <v>150</v>
      </c>
      <c r="R844" s="16">
        <v>45807.604166666701</v>
      </c>
      <c r="S844" t="s">
        <v>130</v>
      </c>
      <c r="V844" t="b">
        <f t="shared" si="66"/>
        <v>0</v>
      </c>
      <c r="W844" t="b">
        <f>AND(OR(WEEKDAY(C844,2)=5,WEEKDAY(C844,2)=6),'01_Parameters'!$C$11="Enabled")</f>
        <v>1</v>
      </c>
      <c r="X844" t="b">
        <f t="shared" si="67"/>
        <v>0</v>
      </c>
      <c r="Y844" t="b">
        <f t="shared" si="68"/>
        <v>0</v>
      </c>
      <c r="Z844" t="b">
        <f t="shared" si="69"/>
        <v>0</v>
      </c>
    </row>
    <row r="845" spans="1:26" ht="15" customHeight="1">
      <c r="A845" t="s">
        <v>1864</v>
      </c>
      <c r="B845" t="s">
        <v>1865</v>
      </c>
      <c r="C845" s="14">
        <v>45806</v>
      </c>
      <c r="D845" s="14">
        <v>45805</v>
      </c>
      <c r="E845">
        <v>2025</v>
      </c>
      <c r="F845">
        <v>5</v>
      </c>
      <c r="G845" t="s">
        <v>179</v>
      </c>
      <c r="H845" t="s">
        <v>180</v>
      </c>
      <c r="I845" t="s">
        <v>124</v>
      </c>
      <c r="J845" s="15">
        <v>12782.9</v>
      </c>
      <c r="K845" s="15">
        <v>0</v>
      </c>
      <c r="L845" s="15">
        <f t="shared" si="65"/>
        <v>12782.9</v>
      </c>
      <c r="M845" t="s">
        <v>181</v>
      </c>
      <c r="N845" t="s">
        <v>1866</v>
      </c>
      <c r="O845" t="s">
        <v>183</v>
      </c>
      <c r="P845" t="s">
        <v>175</v>
      </c>
      <c r="Q845" t="s">
        <v>140</v>
      </c>
      <c r="R845" s="16">
        <v>45806.885416666701</v>
      </c>
      <c r="S845" t="s">
        <v>130</v>
      </c>
      <c r="V845" t="b">
        <f t="shared" si="66"/>
        <v>0</v>
      </c>
      <c r="W845" t="b">
        <f>AND(OR(WEEKDAY(C845,2)=5,WEEKDAY(C845,2)=6),'01_Parameters'!$C$11="Enabled")</f>
        <v>0</v>
      </c>
      <c r="X845" t="b">
        <f t="shared" si="67"/>
        <v>1</v>
      </c>
      <c r="Y845" t="b">
        <f t="shared" si="68"/>
        <v>0</v>
      </c>
      <c r="Z845" t="b">
        <f t="shared" si="69"/>
        <v>0</v>
      </c>
    </row>
    <row r="846" spans="1:26" ht="15" customHeight="1">
      <c r="A846" t="s">
        <v>1864</v>
      </c>
      <c r="B846" t="s">
        <v>1867</v>
      </c>
      <c r="C846" s="14">
        <v>45806</v>
      </c>
      <c r="D846" s="14">
        <v>45805</v>
      </c>
      <c r="E846">
        <v>2025</v>
      </c>
      <c r="F846">
        <v>5</v>
      </c>
      <c r="G846" t="s">
        <v>185</v>
      </c>
      <c r="H846" t="s">
        <v>186</v>
      </c>
      <c r="I846" t="s">
        <v>134</v>
      </c>
      <c r="J846" s="15">
        <v>0</v>
      </c>
      <c r="K846" s="15">
        <v>12782.9</v>
      </c>
      <c r="L846" s="15">
        <f t="shared" si="65"/>
        <v>-12782.9</v>
      </c>
      <c r="M846" t="s">
        <v>181</v>
      </c>
      <c r="N846" t="s">
        <v>1866</v>
      </c>
      <c r="O846" t="s">
        <v>183</v>
      </c>
      <c r="P846" t="s">
        <v>175</v>
      </c>
      <c r="Q846" t="s">
        <v>140</v>
      </c>
      <c r="R846" s="16">
        <v>45806.885416666701</v>
      </c>
      <c r="S846" t="s">
        <v>130</v>
      </c>
      <c r="V846" t="b">
        <f t="shared" si="66"/>
        <v>0</v>
      </c>
      <c r="W846" t="b">
        <f>AND(OR(WEEKDAY(C846,2)=5,WEEKDAY(C846,2)=6),'01_Parameters'!$C$11="Enabled")</f>
        <v>0</v>
      </c>
      <c r="X846" t="b">
        <f t="shared" si="67"/>
        <v>1</v>
      </c>
      <c r="Y846" t="b">
        <f t="shared" si="68"/>
        <v>0</v>
      </c>
      <c r="Z846" t="b">
        <f t="shared" si="69"/>
        <v>0</v>
      </c>
    </row>
    <row r="847" spans="1:26" ht="15" customHeight="1">
      <c r="A847" t="s">
        <v>1868</v>
      </c>
      <c r="B847" t="s">
        <v>1869</v>
      </c>
      <c r="C847" s="14">
        <v>45882</v>
      </c>
      <c r="D847" s="14">
        <v>45880</v>
      </c>
      <c r="E847">
        <v>2025</v>
      </c>
      <c r="F847">
        <v>8</v>
      </c>
      <c r="G847" t="s">
        <v>179</v>
      </c>
      <c r="H847" t="s">
        <v>180</v>
      </c>
      <c r="I847" t="s">
        <v>124</v>
      </c>
      <c r="J847" s="15">
        <v>68743.78</v>
      </c>
      <c r="K847" s="15">
        <v>0</v>
      </c>
      <c r="L847" s="15">
        <f t="shared" si="65"/>
        <v>68743.78</v>
      </c>
      <c r="M847" t="s">
        <v>181</v>
      </c>
      <c r="N847" t="s">
        <v>1870</v>
      </c>
      <c r="O847" t="s">
        <v>183</v>
      </c>
      <c r="P847" t="s">
        <v>140</v>
      </c>
      <c r="Q847" t="s">
        <v>175</v>
      </c>
      <c r="R847" s="16">
        <v>45882.25</v>
      </c>
      <c r="S847" t="s">
        <v>130</v>
      </c>
      <c r="V847" t="b">
        <f t="shared" si="66"/>
        <v>0</v>
      </c>
      <c r="W847" t="b">
        <f>AND(OR(WEEKDAY(C847,2)=5,WEEKDAY(C847,2)=6),'01_Parameters'!$C$11="Enabled")</f>
        <v>0</v>
      </c>
      <c r="X847" t="b">
        <f t="shared" si="67"/>
        <v>1</v>
      </c>
      <c r="Y847" t="b">
        <f t="shared" si="68"/>
        <v>0</v>
      </c>
      <c r="Z847" t="b">
        <f t="shared" si="69"/>
        <v>0</v>
      </c>
    </row>
    <row r="848" spans="1:26" ht="15" customHeight="1">
      <c r="A848" t="s">
        <v>1868</v>
      </c>
      <c r="B848" t="s">
        <v>1871</v>
      </c>
      <c r="C848" s="14">
        <v>45882</v>
      </c>
      <c r="D848" s="14">
        <v>45880</v>
      </c>
      <c r="E848">
        <v>2025</v>
      </c>
      <c r="F848">
        <v>8</v>
      </c>
      <c r="G848" t="s">
        <v>185</v>
      </c>
      <c r="H848" t="s">
        <v>186</v>
      </c>
      <c r="I848" t="s">
        <v>134</v>
      </c>
      <c r="J848" s="15">
        <v>0</v>
      </c>
      <c r="K848" s="15">
        <v>68743.78</v>
      </c>
      <c r="L848" s="15">
        <f t="shared" si="65"/>
        <v>-68743.78</v>
      </c>
      <c r="M848" t="s">
        <v>181</v>
      </c>
      <c r="N848" t="s">
        <v>1870</v>
      </c>
      <c r="O848" t="s">
        <v>183</v>
      </c>
      <c r="P848" t="s">
        <v>140</v>
      </c>
      <c r="Q848" t="s">
        <v>175</v>
      </c>
      <c r="R848" s="16">
        <v>45882.25</v>
      </c>
      <c r="S848" t="s">
        <v>130</v>
      </c>
      <c r="V848" t="b">
        <f t="shared" si="66"/>
        <v>0</v>
      </c>
      <c r="W848" t="b">
        <f>AND(OR(WEEKDAY(C848,2)=5,WEEKDAY(C848,2)=6),'01_Parameters'!$C$11="Enabled")</f>
        <v>0</v>
      </c>
      <c r="X848" t="b">
        <f t="shared" si="67"/>
        <v>1</v>
      </c>
      <c r="Y848" t="b">
        <f t="shared" si="68"/>
        <v>0</v>
      </c>
      <c r="Z848" t="b">
        <f t="shared" si="69"/>
        <v>0</v>
      </c>
    </row>
    <row r="849" spans="1:26" ht="15" customHeight="1">
      <c r="A849" t="s">
        <v>1872</v>
      </c>
      <c r="B849" t="s">
        <v>1873</v>
      </c>
      <c r="C849" s="14">
        <v>45903</v>
      </c>
      <c r="D849" s="14">
        <v>45899</v>
      </c>
      <c r="E849">
        <v>2025</v>
      </c>
      <c r="F849">
        <v>9</v>
      </c>
      <c r="G849" t="s">
        <v>334</v>
      </c>
      <c r="H849" t="s">
        <v>335</v>
      </c>
      <c r="I849" t="s">
        <v>124</v>
      </c>
      <c r="J849" s="15">
        <v>68783.17</v>
      </c>
      <c r="K849" s="15">
        <v>0</v>
      </c>
      <c r="L849" s="15">
        <f t="shared" si="65"/>
        <v>68783.17</v>
      </c>
      <c r="M849" t="s">
        <v>125</v>
      </c>
      <c r="N849" t="s">
        <v>1874</v>
      </c>
      <c r="O849" t="s">
        <v>127</v>
      </c>
      <c r="P849" t="s">
        <v>129</v>
      </c>
      <c r="Q849" t="s">
        <v>150</v>
      </c>
      <c r="R849" s="16">
        <v>45903.791666666701</v>
      </c>
      <c r="S849" t="s">
        <v>130</v>
      </c>
      <c r="V849" t="b">
        <f t="shared" si="66"/>
        <v>0</v>
      </c>
      <c r="W849" t="b">
        <f>AND(OR(WEEKDAY(C849,2)=5,WEEKDAY(C849,2)=6),'01_Parameters'!$C$11="Enabled")</f>
        <v>0</v>
      </c>
      <c r="X849" t="b">
        <f t="shared" si="67"/>
        <v>1</v>
      </c>
      <c r="Y849" t="b">
        <f t="shared" si="68"/>
        <v>0</v>
      </c>
      <c r="Z849" t="b">
        <f t="shared" si="69"/>
        <v>0</v>
      </c>
    </row>
    <row r="850" spans="1:26" ht="15" customHeight="1">
      <c r="A850" t="s">
        <v>1872</v>
      </c>
      <c r="B850" t="s">
        <v>1875</v>
      </c>
      <c r="C850" s="14">
        <v>45903</v>
      </c>
      <c r="D850" s="14">
        <v>45899</v>
      </c>
      <c r="E850">
        <v>2025</v>
      </c>
      <c r="F850">
        <v>9</v>
      </c>
      <c r="G850" t="s">
        <v>132</v>
      </c>
      <c r="H850" t="s">
        <v>133</v>
      </c>
      <c r="I850" t="s">
        <v>134</v>
      </c>
      <c r="J850" s="15">
        <v>0</v>
      </c>
      <c r="K850" s="15">
        <v>68783.17</v>
      </c>
      <c r="L850" s="15">
        <f t="shared" si="65"/>
        <v>-68783.17</v>
      </c>
      <c r="M850" t="s">
        <v>125</v>
      </c>
      <c r="N850" t="s">
        <v>1874</v>
      </c>
      <c r="O850" t="s">
        <v>127</v>
      </c>
      <c r="P850" t="s">
        <v>129</v>
      </c>
      <c r="Q850" t="s">
        <v>150</v>
      </c>
      <c r="R850" s="16">
        <v>45903.791666666701</v>
      </c>
      <c r="S850" t="s">
        <v>130</v>
      </c>
      <c r="V850" t="b">
        <f t="shared" si="66"/>
        <v>0</v>
      </c>
      <c r="W850" t="b">
        <f>AND(OR(WEEKDAY(C850,2)=5,WEEKDAY(C850,2)=6),'01_Parameters'!$C$11="Enabled")</f>
        <v>0</v>
      </c>
      <c r="X850" t="b">
        <f t="shared" si="67"/>
        <v>1</v>
      </c>
      <c r="Y850" t="b">
        <f t="shared" si="68"/>
        <v>0</v>
      </c>
      <c r="Z850" t="b">
        <f t="shared" si="69"/>
        <v>0</v>
      </c>
    </row>
    <row r="851" spans="1:26" ht="15" customHeight="1">
      <c r="A851" t="s">
        <v>1876</v>
      </c>
      <c r="B851" t="s">
        <v>1877</v>
      </c>
      <c r="C851" s="14">
        <v>45847</v>
      </c>
      <c r="D851" s="14">
        <v>45843</v>
      </c>
      <c r="E851">
        <v>2025</v>
      </c>
      <c r="F851">
        <v>7</v>
      </c>
      <c r="G851" t="s">
        <v>179</v>
      </c>
      <c r="H851" t="s">
        <v>180</v>
      </c>
      <c r="I851" t="s">
        <v>124</v>
      </c>
      <c r="J851" s="15">
        <v>64127.27</v>
      </c>
      <c r="K851" s="15">
        <v>0</v>
      </c>
      <c r="L851" s="15">
        <f t="shared" si="65"/>
        <v>64127.27</v>
      </c>
      <c r="M851" t="s">
        <v>181</v>
      </c>
      <c r="N851" t="s">
        <v>1878</v>
      </c>
      <c r="O851" t="s">
        <v>183</v>
      </c>
      <c r="P851" t="s">
        <v>140</v>
      </c>
      <c r="Q851" t="s">
        <v>151</v>
      </c>
      <c r="R851" s="16">
        <v>45847.447916666701</v>
      </c>
      <c r="S851" t="s">
        <v>130</v>
      </c>
      <c r="V851" t="b">
        <f t="shared" si="66"/>
        <v>0</v>
      </c>
      <c r="W851" t="b">
        <f>AND(OR(WEEKDAY(C851,2)=5,WEEKDAY(C851,2)=6),'01_Parameters'!$C$11="Enabled")</f>
        <v>0</v>
      </c>
      <c r="X851" t="b">
        <f t="shared" si="67"/>
        <v>0</v>
      </c>
      <c r="Y851" t="b">
        <f t="shared" si="68"/>
        <v>0</v>
      </c>
      <c r="Z851" t="b">
        <f t="shared" si="69"/>
        <v>0</v>
      </c>
    </row>
    <row r="852" spans="1:26" ht="15" customHeight="1">
      <c r="A852" t="s">
        <v>1876</v>
      </c>
      <c r="B852" t="s">
        <v>1879</v>
      </c>
      <c r="C852" s="14">
        <v>45847</v>
      </c>
      <c r="D852" s="14">
        <v>45843</v>
      </c>
      <c r="E852">
        <v>2025</v>
      </c>
      <c r="F852">
        <v>7</v>
      </c>
      <c r="G852" t="s">
        <v>185</v>
      </c>
      <c r="H852" t="s">
        <v>186</v>
      </c>
      <c r="I852" t="s">
        <v>134</v>
      </c>
      <c r="J852" s="15">
        <v>0</v>
      </c>
      <c r="K852" s="15">
        <v>64127.27</v>
      </c>
      <c r="L852" s="15">
        <f t="shared" si="65"/>
        <v>-64127.27</v>
      </c>
      <c r="M852" t="s">
        <v>181</v>
      </c>
      <c r="N852" t="s">
        <v>1878</v>
      </c>
      <c r="O852" t="s">
        <v>183</v>
      </c>
      <c r="P852" t="s">
        <v>140</v>
      </c>
      <c r="Q852" t="s">
        <v>151</v>
      </c>
      <c r="R852" s="16">
        <v>45847.447916666701</v>
      </c>
      <c r="S852" t="s">
        <v>130</v>
      </c>
      <c r="V852" t="b">
        <f t="shared" si="66"/>
        <v>0</v>
      </c>
      <c r="W852" t="b">
        <f>AND(OR(WEEKDAY(C852,2)=5,WEEKDAY(C852,2)=6),'01_Parameters'!$C$11="Enabled")</f>
        <v>0</v>
      </c>
      <c r="X852" t="b">
        <f t="shared" si="67"/>
        <v>0</v>
      </c>
      <c r="Y852" t="b">
        <f t="shared" si="68"/>
        <v>0</v>
      </c>
      <c r="Z852" t="b">
        <f t="shared" si="69"/>
        <v>0</v>
      </c>
    </row>
    <row r="853" spans="1:26" ht="15" customHeight="1">
      <c r="A853" t="s">
        <v>1880</v>
      </c>
      <c r="B853" t="s">
        <v>1881</v>
      </c>
      <c r="C853" s="14">
        <v>45881</v>
      </c>
      <c r="D853" s="14">
        <v>45876</v>
      </c>
      <c r="E853">
        <v>2025</v>
      </c>
      <c r="F853">
        <v>8</v>
      </c>
      <c r="G853" t="s">
        <v>179</v>
      </c>
      <c r="H853" t="s">
        <v>180</v>
      </c>
      <c r="I853" t="s">
        <v>124</v>
      </c>
      <c r="J853" s="15">
        <v>29763.7</v>
      </c>
      <c r="K853" s="15">
        <v>0</v>
      </c>
      <c r="L853" s="15">
        <f t="shared" si="65"/>
        <v>29763.7</v>
      </c>
      <c r="M853" t="s">
        <v>181</v>
      </c>
      <c r="N853" t="s">
        <v>1882</v>
      </c>
      <c r="O853" t="s">
        <v>183</v>
      </c>
      <c r="P853" t="s">
        <v>140</v>
      </c>
      <c r="Q853" t="s">
        <v>150</v>
      </c>
      <c r="R853" s="16">
        <v>45881.822916666701</v>
      </c>
      <c r="S853" t="s">
        <v>130</v>
      </c>
      <c r="V853" t="b">
        <f t="shared" si="66"/>
        <v>0</v>
      </c>
      <c r="W853" t="b">
        <f>AND(OR(WEEKDAY(C853,2)=5,WEEKDAY(C853,2)=6),'01_Parameters'!$C$11="Enabled")</f>
        <v>0</v>
      </c>
      <c r="X853" t="b">
        <f t="shared" si="67"/>
        <v>1</v>
      </c>
      <c r="Y853" t="b">
        <f t="shared" si="68"/>
        <v>0</v>
      </c>
      <c r="Z853" t="b">
        <f t="shared" si="69"/>
        <v>0</v>
      </c>
    </row>
    <row r="854" spans="1:26" ht="15" customHeight="1">
      <c r="A854" t="s">
        <v>1880</v>
      </c>
      <c r="B854" t="s">
        <v>1883</v>
      </c>
      <c r="C854" s="14">
        <v>45881</v>
      </c>
      <c r="D854" s="14">
        <v>45876</v>
      </c>
      <c r="E854">
        <v>2025</v>
      </c>
      <c r="F854">
        <v>8</v>
      </c>
      <c r="G854" t="s">
        <v>185</v>
      </c>
      <c r="H854" t="s">
        <v>186</v>
      </c>
      <c r="I854" t="s">
        <v>134</v>
      </c>
      <c r="J854" s="15">
        <v>0</v>
      </c>
      <c r="K854" s="15">
        <v>29763.7</v>
      </c>
      <c r="L854" s="15">
        <f t="shared" si="65"/>
        <v>-29763.7</v>
      </c>
      <c r="M854" t="s">
        <v>181</v>
      </c>
      <c r="N854" t="s">
        <v>1882</v>
      </c>
      <c r="O854" t="s">
        <v>183</v>
      </c>
      <c r="P854" t="s">
        <v>140</v>
      </c>
      <c r="Q854" t="s">
        <v>150</v>
      </c>
      <c r="R854" s="16">
        <v>45881.822916666701</v>
      </c>
      <c r="S854" t="s">
        <v>130</v>
      </c>
      <c r="V854" t="b">
        <f t="shared" si="66"/>
        <v>0</v>
      </c>
      <c r="W854" t="b">
        <f>AND(OR(WEEKDAY(C854,2)=5,WEEKDAY(C854,2)=6),'01_Parameters'!$C$11="Enabled")</f>
        <v>0</v>
      </c>
      <c r="X854" t="b">
        <f t="shared" si="67"/>
        <v>1</v>
      </c>
      <c r="Y854" t="b">
        <f t="shared" si="68"/>
        <v>0</v>
      </c>
      <c r="Z854" t="b">
        <f t="shared" si="69"/>
        <v>0</v>
      </c>
    </row>
    <row r="855" spans="1:26" ht="15" customHeight="1">
      <c r="A855" t="s">
        <v>1884</v>
      </c>
      <c r="B855" t="s">
        <v>1885</v>
      </c>
      <c r="C855" s="14">
        <v>45748</v>
      </c>
      <c r="D855" s="14">
        <v>45745</v>
      </c>
      <c r="E855">
        <v>2025</v>
      </c>
      <c r="F855">
        <v>4</v>
      </c>
      <c r="G855" t="s">
        <v>158</v>
      </c>
      <c r="H855" t="s">
        <v>159</v>
      </c>
      <c r="I855" t="s">
        <v>124</v>
      </c>
      <c r="J855" s="15">
        <v>48309.48</v>
      </c>
      <c r="K855" s="15">
        <v>0</v>
      </c>
      <c r="L855" s="15">
        <f t="shared" si="65"/>
        <v>48309.48</v>
      </c>
      <c r="M855" t="s">
        <v>160</v>
      </c>
      <c r="N855" t="s">
        <v>1886</v>
      </c>
      <c r="O855" t="s">
        <v>162</v>
      </c>
      <c r="P855" t="s">
        <v>150</v>
      </c>
      <c r="Q855" t="s">
        <v>140</v>
      </c>
      <c r="R855" s="16">
        <v>45748.489583333299</v>
      </c>
      <c r="S855" t="s">
        <v>130</v>
      </c>
      <c r="V855" t="b">
        <f t="shared" si="66"/>
        <v>0</v>
      </c>
      <c r="W855" t="b">
        <f>AND(OR(WEEKDAY(C855,2)=5,WEEKDAY(C855,2)=6),'01_Parameters'!$C$11="Enabled")</f>
        <v>0</v>
      </c>
      <c r="X855" t="b">
        <f t="shared" si="67"/>
        <v>0</v>
      </c>
      <c r="Y855" t="b">
        <f t="shared" si="68"/>
        <v>0</v>
      </c>
      <c r="Z855" t="b">
        <f t="shared" si="69"/>
        <v>0</v>
      </c>
    </row>
    <row r="856" spans="1:26" ht="15" customHeight="1">
      <c r="A856" t="s">
        <v>1884</v>
      </c>
      <c r="B856" t="s">
        <v>1887</v>
      </c>
      <c r="C856" s="14">
        <v>45748</v>
      </c>
      <c r="D856" s="14">
        <v>45745</v>
      </c>
      <c r="E856">
        <v>2025</v>
      </c>
      <c r="F856">
        <v>4</v>
      </c>
      <c r="G856" t="s">
        <v>164</v>
      </c>
      <c r="H856" t="s">
        <v>165</v>
      </c>
      <c r="I856" t="s">
        <v>146</v>
      </c>
      <c r="J856" s="15">
        <v>0</v>
      </c>
      <c r="K856" s="15">
        <v>48309.48</v>
      </c>
      <c r="L856" s="15">
        <f t="shared" si="65"/>
        <v>-48309.48</v>
      </c>
      <c r="M856" t="s">
        <v>160</v>
      </c>
      <c r="N856" t="s">
        <v>1886</v>
      </c>
      <c r="O856" t="s">
        <v>162</v>
      </c>
      <c r="P856" t="s">
        <v>150</v>
      </c>
      <c r="Q856" t="s">
        <v>140</v>
      </c>
      <c r="R856" s="16">
        <v>45748.489583333299</v>
      </c>
      <c r="S856" t="s">
        <v>130</v>
      </c>
      <c r="V856" t="b">
        <f t="shared" si="66"/>
        <v>0</v>
      </c>
      <c r="W856" t="b">
        <f>AND(OR(WEEKDAY(C856,2)=5,WEEKDAY(C856,2)=6),'01_Parameters'!$C$11="Enabled")</f>
        <v>0</v>
      </c>
      <c r="X856" t="b">
        <f t="shared" si="67"/>
        <v>0</v>
      </c>
      <c r="Y856" t="b">
        <f t="shared" si="68"/>
        <v>0</v>
      </c>
      <c r="Z856" t="b">
        <f t="shared" si="69"/>
        <v>0</v>
      </c>
    </row>
    <row r="857" spans="1:26" ht="15" customHeight="1">
      <c r="A857" t="s">
        <v>1888</v>
      </c>
      <c r="B857" t="s">
        <v>1889</v>
      </c>
      <c r="C857" s="14">
        <v>45986</v>
      </c>
      <c r="D857" s="14">
        <v>45986</v>
      </c>
      <c r="E857">
        <v>2025</v>
      </c>
      <c r="F857">
        <v>11</v>
      </c>
      <c r="G857" t="s">
        <v>158</v>
      </c>
      <c r="H857" t="s">
        <v>159</v>
      </c>
      <c r="I857" t="s">
        <v>124</v>
      </c>
      <c r="J857" s="15">
        <v>84737.9</v>
      </c>
      <c r="K857" s="15">
        <v>0</v>
      </c>
      <c r="L857" s="15">
        <f t="shared" si="65"/>
        <v>84737.9</v>
      </c>
      <c r="M857" t="s">
        <v>160</v>
      </c>
      <c r="N857" t="s">
        <v>1890</v>
      </c>
      <c r="O857" t="s">
        <v>162</v>
      </c>
      <c r="P857" t="s">
        <v>150</v>
      </c>
      <c r="Q857" t="s">
        <v>129</v>
      </c>
      <c r="R857" s="16">
        <v>45986.270833333299</v>
      </c>
      <c r="S857" t="s">
        <v>130</v>
      </c>
      <c r="V857" t="b">
        <f t="shared" si="66"/>
        <v>0</v>
      </c>
      <c r="W857" t="b">
        <f>AND(OR(WEEKDAY(C857,2)=5,WEEKDAY(C857,2)=6),'01_Parameters'!$C$11="Enabled")</f>
        <v>0</v>
      </c>
      <c r="X857" t="b">
        <f t="shared" si="67"/>
        <v>1</v>
      </c>
      <c r="Y857" t="b">
        <f t="shared" si="68"/>
        <v>0</v>
      </c>
      <c r="Z857" t="b">
        <f t="shared" si="69"/>
        <v>0</v>
      </c>
    </row>
    <row r="858" spans="1:26" ht="15" customHeight="1">
      <c r="A858" t="s">
        <v>1888</v>
      </c>
      <c r="B858" t="s">
        <v>1891</v>
      </c>
      <c r="C858" s="14">
        <v>45986</v>
      </c>
      <c r="D858" s="14">
        <v>45986</v>
      </c>
      <c r="E858">
        <v>2025</v>
      </c>
      <c r="F858">
        <v>11</v>
      </c>
      <c r="G858" t="s">
        <v>164</v>
      </c>
      <c r="H858" t="s">
        <v>165</v>
      </c>
      <c r="I858" t="s">
        <v>146</v>
      </c>
      <c r="J858" s="15">
        <v>0</v>
      </c>
      <c r="K858" s="15">
        <v>84737.9</v>
      </c>
      <c r="L858" s="15">
        <f t="shared" si="65"/>
        <v>-84737.9</v>
      </c>
      <c r="M858" t="s">
        <v>160</v>
      </c>
      <c r="N858" t="s">
        <v>1890</v>
      </c>
      <c r="O858" t="s">
        <v>162</v>
      </c>
      <c r="P858" t="s">
        <v>150</v>
      </c>
      <c r="Q858" t="s">
        <v>129</v>
      </c>
      <c r="R858" s="16">
        <v>45986.270833333299</v>
      </c>
      <c r="S858" t="s">
        <v>130</v>
      </c>
      <c r="V858" t="b">
        <f t="shared" si="66"/>
        <v>0</v>
      </c>
      <c r="W858" t="b">
        <f>AND(OR(WEEKDAY(C858,2)=5,WEEKDAY(C858,2)=6),'01_Parameters'!$C$11="Enabled")</f>
        <v>0</v>
      </c>
      <c r="X858" t="b">
        <f t="shared" si="67"/>
        <v>1</v>
      </c>
      <c r="Y858" t="b">
        <f t="shared" si="68"/>
        <v>0</v>
      </c>
      <c r="Z858" t="b">
        <f t="shared" si="69"/>
        <v>0</v>
      </c>
    </row>
    <row r="859" spans="1:26" ht="15" customHeight="1">
      <c r="A859" t="s">
        <v>1892</v>
      </c>
      <c r="B859" t="s">
        <v>1893</v>
      </c>
      <c r="C859" s="14">
        <v>45927</v>
      </c>
      <c r="D859" s="14">
        <v>45923</v>
      </c>
      <c r="E859">
        <v>2025</v>
      </c>
      <c r="F859">
        <v>9</v>
      </c>
      <c r="G859" t="s">
        <v>199</v>
      </c>
      <c r="H859" t="s">
        <v>200</v>
      </c>
      <c r="I859" t="s">
        <v>146</v>
      </c>
      <c r="J859" s="15">
        <v>64948.46</v>
      </c>
      <c r="K859" s="15">
        <v>0</v>
      </c>
      <c r="L859" s="15">
        <f t="shared" si="65"/>
        <v>64948.46</v>
      </c>
      <c r="M859" t="s">
        <v>209</v>
      </c>
      <c r="N859" t="s">
        <v>1894</v>
      </c>
      <c r="O859" t="s">
        <v>211</v>
      </c>
      <c r="P859" t="s">
        <v>150</v>
      </c>
      <c r="Q859" t="s">
        <v>151</v>
      </c>
      <c r="R859" s="16">
        <v>45927.291666666701</v>
      </c>
      <c r="S859" t="s">
        <v>130</v>
      </c>
      <c r="T859" t="s">
        <v>212</v>
      </c>
      <c r="U859" t="s">
        <v>1894</v>
      </c>
      <c r="V859" t="b">
        <f t="shared" si="66"/>
        <v>0</v>
      </c>
      <c r="W859" t="b">
        <f>AND(OR(WEEKDAY(C859,2)=5,WEEKDAY(C859,2)=6),'01_Parameters'!$C$11="Enabled")</f>
        <v>1</v>
      </c>
      <c r="X859" t="b">
        <f t="shared" si="67"/>
        <v>1</v>
      </c>
      <c r="Y859" t="b">
        <f t="shared" si="68"/>
        <v>0</v>
      </c>
      <c r="Z859" t="b">
        <f t="shared" si="69"/>
        <v>0</v>
      </c>
    </row>
    <row r="860" spans="1:26" ht="15" customHeight="1">
      <c r="A860" t="s">
        <v>1892</v>
      </c>
      <c r="B860" t="s">
        <v>1895</v>
      </c>
      <c r="C860" s="14">
        <v>45927</v>
      </c>
      <c r="D860" s="14">
        <v>45923</v>
      </c>
      <c r="E860">
        <v>2025</v>
      </c>
      <c r="F860">
        <v>9</v>
      </c>
      <c r="G860" t="s">
        <v>132</v>
      </c>
      <c r="H860" t="s">
        <v>133</v>
      </c>
      <c r="I860" t="s">
        <v>134</v>
      </c>
      <c r="J860" s="15">
        <v>0</v>
      </c>
      <c r="K860" s="15">
        <v>64948.46</v>
      </c>
      <c r="L860" s="15">
        <f t="shared" si="65"/>
        <v>-64948.46</v>
      </c>
      <c r="M860" t="s">
        <v>209</v>
      </c>
      <c r="N860" t="s">
        <v>1894</v>
      </c>
      <c r="O860" t="s">
        <v>211</v>
      </c>
      <c r="P860" t="s">
        <v>150</v>
      </c>
      <c r="Q860" t="s">
        <v>151</v>
      </c>
      <c r="R860" s="16">
        <v>45927.291666666701</v>
      </c>
      <c r="S860" t="s">
        <v>130</v>
      </c>
      <c r="T860" t="s">
        <v>212</v>
      </c>
      <c r="U860" t="s">
        <v>1894</v>
      </c>
      <c r="V860" t="b">
        <f t="shared" si="66"/>
        <v>0</v>
      </c>
      <c r="W860" t="b">
        <f>AND(OR(WEEKDAY(C860,2)=5,WEEKDAY(C860,2)=6),'01_Parameters'!$C$11="Enabled")</f>
        <v>1</v>
      </c>
      <c r="X860" t="b">
        <f t="shared" si="67"/>
        <v>1</v>
      </c>
      <c r="Y860" t="b">
        <f t="shared" si="68"/>
        <v>0</v>
      </c>
      <c r="Z860" t="b">
        <f t="shared" si="69"/>
        <v>0</v>
      </c>
    </row>
    <row r="861" spans="1:26" ht="15" customHeight="1">
      <c r="A861" t="s">
        <v>1896</v>
      </c>
      <c r="B861" t="s">
        <v>1897</v>
      </c>
      <c r="C861" s="14">
        <v>45784</v>
      </c>
      <c r="D861" s="14">
        <v>45783</v>
      </c>
      <c r="E861">
        <v>2025</v>
      </c>
      <c r="F861">
        <v>5</v>
      </c>
      <c r="G861" t="s">
        <v>144</v>
      </c>
      <c r="H861" t="s">
        <v>145</v>
      </c>
      <c r="I861" t="s">
        <v>146</v>
      </c>
      <c r="J861" s="15">
        <v>71698.83</v>
      </c>
      <c r="K861" s="15">
        <v>0</v>
      </c>
      <c r="L861" s="15">
        <f t="shared" si="65"/>
        <v>71698.83</v>
      </c>
      <c r="M861" t="s">
        <v>147</v>
      </c>
      <c r="N861" t="s">
        <v>1898</v>
      </c>
      <c r="O861" t="s">
        <v>149</v>
      </c>
      <c r="P861" t="s">
        <v>129</v>
      </c>
      <c r="Q861" t="s">
        <v>140</v>
      </c>
      <c r="R861" s="16">
        <v>45784.291666666701</v>
      </c>
      <c r="S861" t="s">
        <v>130</v>
      </c>
      <c r="V861" t="b">
        <f t="shared" si="66"/>
        <v>0</v>
      </c>
      <c r="W861" t="b">
        <f>AND(OR(WEEKDAY(C861,2)=5,WEEKDAY(C861,2)=6),'01_Parameters'!$C$11="Enabled")</f>
        <v>0</v>
      </c>
      <c r="X861" t="b">
        <f t="shared" si="67"/>
        <v>1</v>
      </c>
      <c r="Y861" t="b">
        <f t="shared" si="68"/>
        <v>0</v>
      </c>
      <c r="Z861" t="b">
        <f t="shared" si="69"/>
        <v>0</v>
      </c>
    </row>
    <row r="862" spans="1:26" ht="15" customHeight="1">
      <c r="A862" t="s">
        <v>1896</v>
      </c>
      <c r="B862" t="s">
        <v>1899</v>
      </c>
      <c r="C862" s="14">
        <v>45784</v>
      </c>
      <c r="D862" s="14">
        <v>45783</v>
      </c>
      <c r="E862">
        <v>2025</v>
      </c>
      <c r="F862">
        <v>5</v>
      </c>
      <c r="G862" t="s">
        <v>153</v>
      </c>
      <c r="H862" t="s">
        <v>154</v>
      </c>
      <c r="I862" t="s">
        <v>155</v>
      </c>
      <c r="J862" s="15">
        <v>0</v>
      </c>
      <c r="K862" s="15">
        <v>71698.83</v>
      </c>
      <c r="L862" s="15">
        <f t="shared" si="65"/>
        <v>-71698.83</v>
      </c>
      <c r="M862" t="s">
        <v>147</v>
      </c>
      <c r="N862" t="s">
        <v>1898</v>
      </c>
      <c r="O862" t="s">
        <v>149</v>
      </c>
      <c r="P862" t="s">
        <v>129</v>
      </c>
      <c r="Q862" t="s">
        <v>140</v>
      </c>
      <c r="R862" s="16">
        <v>45784.291666666701</v>
      </c>
      <c r="S862" t="s">
        <v>130</v>
      </c>
      <c r="V862" t="b">
        <f t="shared" si="66"/>
        <v>0</v>
      </c>
      <c r="W862" t="b">
        <f>AND(OR(WEEKDAY(C862,2)=5,WEEKDAY(C862,2)=6),'01_Parameters'!$C$11="Enabled")</f>
        <v>0</v>
      </c>
      <c r="X862" t="b">
        <f t="shared" si="67"/>
        <v>1</v>
      </c>
      <c r="Y862" t="b">
        <f t="shared" si="68"/>
        <v>0</v>
      </c>
      <c r="Z862" t="b">
        <f t="shared" si="69"/>
        <v>0</v>
      </c>
    </row>
    <row r="863" spans="1:26" ht="15" customHeight="1">
      <c r="A863" t="s">
        <v>1900</v>
      </c>
      <c r="B863" t="s">
        <v>1901</v>
      </c>
      <c r="C863" s="14">
        <v>45945</v>
      </c>
      <c r="D863" s="14">
        <v>45944</v>
      </c>
      <c r="E863">
        <v>2025</v>
      </c>
      <c r="F863">
        <v>10</v>
      </c>
      <c r="G863" t="s">
        <v>193</v>
      </c>
      <c r="H863" t="s">
        <v>194</v>
      </c>
      <c r="I863" t="s">
        <v>124</v>
      </c>
      <c r="J863" s="15">
        <v>48656</v>
      </c>
      <c r="K863" s="15">
        <v>0</v>
      </c>
      <c r="L863" s="15">
        <f t="shared" si="65"/>
        <v>48656</v>
      </c>
      <c r="M863" t="s">
        <v>195</v>
      </c>
      <c r="N863" t="s">
        <v>1902</v>
      </c>
      <c r="O863" t="s">
        <v>197</v>
      </c>
      <c r="P863" t="s">
        <v>128</v>
      </c>
      <c r="Q863" t="s">
        <v>129</v>
      </c>
      <c r="R863" s="16">
        <v>45945.3125</v>
      </c>
      <c r="S863" t="s">
        <v>130</v>
      </c>
      <c r="V863" t="b">
        <f t="shared" si="66"/>
        <v>0</v>
      </c>
      <c r="W863" t="b">
        <f>AND(OR(WEEKDAY(C863,2)=5,WEEKDAY(C863,2)=6),'01_Parameters'!$C$11="Enabled")</f>
        <v>0</v>
      </c>
      <c r="X863" t="b">
        <f t="shared" si="67"/>
        <v>1</v>
      </c>
      <c r="Y863" t="b">
        <f t="shared" si="68"/>
        <v>0</v>
      </c>
      <c r="Z863" t="b">
        <f t="shared" si="69"/>
        <v>0</v>
      </c>
    </row>
    <row r="864" spans="1:26" ht="15" customHeight="1">
      <c r="A864" t="s">
        <v>1900</v>
      </c>
      <c r="B864" t="s">
        <v>1903</v>
      </c>
      <c r="C864" s="14">
        <v>45945</v>
      </c>
      <c r="D864" s="14">
        <v>45944</v>
      </c>
      <c r="E864">
        <v>2025</v>
      </c>
      <c r="F864">
        <v>10</v>
      </c>
      <c r="G864" t="s">
        <v>199</v>
      </c>
      <c r="H864" t="s">
        <v>200</v>
      </c>
      <c r="I864" t="s">
        <v>146</v>
      </c>
      <c r="J864" s="15">
        <v>0</v>
      </c>
      <c r="K864" s="15">
        <v>48656</v>
      </c>
      <c r="L864" s="15">
        <f t="shared" si="65"/>
        <v>-48656</v>
      </c>
      <c r="M864" t="s">
        <v>195</v>
      </c>
      <c r="N864" t="s">
        <v>1902</v>
      </c>
      <c r="O864" t="s">
        <v>197</v>
      </c>
      <c r="P864" t="s">
        <v>128</v>
      </c>
      <c r="Q864" t="s">
        <v>129</v>
      </c>
      <c r="R864" s="16">
        <v>45945.3125</v>
      </c>
      <c r="S864" t="s">
        <v>130</v>
      </c>
      <c r="V864" t="b">
        <f t="shared" si="66"/>
        <v>0</v>
      </c>
      <c r="W864" t="b">
        <f>AND(OR(WEEKDAY(C864,2)=5,WEEKDAY(C864,2)=6),'01_Parameters'!$C$11="Enabled")</f>
        <v>0</v>
      </c>
      <c r="X864" t="b">
        <f t="shared" si="67"/>
        <v>1</v>
      </c>
      <c r="Y864" t="b">
        <f t="shared" si="68"/>
        <v>0</v>
      </c>
      <c r="Z864" t="b">
        <f t="shared" si="69"/>
        <v>0</v>
      </c>
    </row>
    <row r="865" spans="1:26" ht="15" customHeight="1">
      <c r="A865" t="s">
        <v>1904</v>
      </c>
      <c r="B865" t="s">
        <v>1905</v>
      </c>
      <c r="C865" s="14">
        <v>45854</v>
      </c>
      <c r="D865" s="14">
        <v>45849</v>
      </c>
      <c r="E865">
        <v>2025</v>
      </c>
      <c r="F865">
        <v>7</v>
      </c>
      <c r="G865" t="s">
        <v>199</v>
      </c>
      <c r="H865" t="s">
        <v>200</v>
      </c>
      <c r="I865" t="s">
        <v>146</v>
      </c>
      <c r="J865" s="15">
        <v>64506.27</v>
      </c>
      <c r="K865" s="15">
        <v>0</v>
      </c>
      <c r="L865" s="15">
        <f t="shared" si="65"/>
        <v>64506.27</v>
      </c>
      <c r="M865" t="s">
        <v>209</v>
      </c>
      <c r="N865" t="s">
        <v>704</v>
      </c>
      <c r="O865" t="s">
        <v>211</v>
      </c>
      <c r="P865" t="s">
        <v>150</v>
      </c>
      <c r="Q865" t="s">
        <v>128</v>
      </c>
      <c r="R865" s="16">
        <v>45854.489583333299</v>
      </c>
      <c r="S865" t="s">
        <v>130</v>
      </c>
      <c r="T865" t="s">
        <v>705</v>
      </c>
      <c r="U865" t="s">
        <v>704</v>
      </c>
      <c r="V865" t="b">
        <f t="shared" si="66"/>
        <v>0</v>
      </c>
      <c r="W865" t="b">
        <f>AND(OR(WEEKDAY(C865,2)=5,WEEKDAY(C865,2)=6),'01_Parameters'!$C$11="Enabled")</f>
        <v>0</v>
      </c>
      <c r="X865" t="b">
        <f t="shared" si="67"/>
        <v>0</v>
      </c>
      <c r="Y865" t="b">
        <f t="shared" si="68"/>
        <v>0</v>
      </c>
      <c r="Z865" t="b">
        <f t="shared" si="69"/>
        <v>0</v>
      </c>
    </row>
    <row r="866" spans="1:26" ht="15" customHeight="1">
      <c r="A866" t="s">
        <v>1904</v>
      </c>
      <c r="B866" t="s">
        <v>1906</v>
      </c>
      <c r="C866" s="14">
        <v>45854</v>
      </c>
      <c r="D866" s="14">
        <v>45849</v>
      </c>
      <c r="E866">
        <v>2025</v>
      </c>
      <c r="F866">
        <v>7</v>
      </c>
      <c r="G866" t="s">
        <v>132</v>
      </c>
      <c r="H866" t="s">
        <v>133</v>
      </c>
      <c r="I866" t="s">
        <v>134</v>
      </c>
      <c r="J866" s="15">
        <v>0</v>
      </c>
      <c r="K866" s="15">
        <v>64506.27</v>
      </c>
      <c r="L866" s="15">
        <f t="shared" si="65"/>
        <v>-64506.27</v>
      </c>
      <c r="M866" t="s">
        <v>209</v>
      </c>
      <c r="N866" t="s">
        <v>704</v>
      </c>
      <c r="O866" t="s">
        <v>211</v>
      </c>
      <c r="P866" t="s">
        <v>150</v>
      </c>
      <c r="Q866" t="s">
        <v>128</v>
      </c>
      <c r="R866" s="16">
        <v>45854.489583333299</v>
      </c>
      <c r="S866" t="s">
        <v>130</v>
      </c>
      <c r="T866" t="s">
        <v>705</v>
      </c>
      <c r="U866" t="s">
        <v>704</v>
      </c>
      <c r="V866" t="b">
        <f t="shared" si="66"/>
        <v>0</v>
      </c>
      <c r="W866" t="b">
        <f>AND(OR(WEEKDAY(C866,2)=5,WEEKDAY(C866,2)=6),'01_Parameters'!$C$11="Enabled")</f>
        <v>0</v>
      </c>
      <c r="X866" t="b">
        <f t="shared" si="67"/>
        <v>0</v>
      </c>
      <c r="Y866" t="b">
        <f t="shared" si="68"/>
        <v>0</v>
      </c>
      <c r="Z866" t="b">
        <f t="shared" si="69"/>
        <v>0</v>
      </c>
    </row>
    <row r="867" spans="1:26" ht="15" customHeight="1">
      <c r="A867" t="s">
        <v>1907</v>
      </c>
      <c r="B867" t="s">
        <v>1908</v>
      </c>
      <c r="C867" s="14">
        <v>45759</v>
      </c>
      <c r="D867" s="14">
        <v>45757</v>
      </c>
      <c r="E867">
        <v>2025</v>
      </c>
      <c r="F867">
        <v>4</v>
      </c>
      <c r="G867" t="s">
        <v>158</v>
      </c>
      <c r="H867" t="s">
        <v>159</v>
      </c>
      <c r="I867" t="s">
        <v>124</v>
      </c>
      <c r="J867" s="15">
        <v>5196.84</v>
      </c>
      <c r="K867" s="15">
        <v>0</v>
      </c>
      <c r="L867" s="15">
        <f t="shared" si="65"/>
        <v>5196.84</v>
      </c>
      <c r="M867" t="s">
        <v>160</v>
      </c>
      <c r="N867" t="s">
        <v>1909</v>
      </c>
      <c r="O867" t="s">
        <v>162</v>
      </c>
      <c r="P867" t="s">
        <v>150</v>
      </c>
      <c r="Q867" t="s">
        <v>151</v>
      </c>
      <c r="R867" s="16">
        <v>45759.447916666701</v>
      </c>
      <c r="S867" t="s">
        <v>130</v>
      </c>
      <c r="V867" t="b">
        <f t="shared" si="66"/>
        <v>0</v>
      </c>
      <c r="W867" t="b">
        <f>AND(OR(WEEKDAY(C867,2)=5,WEEKDAY(C867,2)=6),'01_Parameters'!$C$11="Enabled")</f>
        <v>1</v>
      </c>
      <c r="X867" t="b">
        <f t="shared" si="67"/>
        <v>0</v>
      </c>
      <c r="Y867" t="b">
        <f t="shared" si="68"/>
        <v>0</v>
      </c>
      <c r="Z867" t="b">
        <f t="shared" si="69"/>
        <v>0</v>
      </c>
    </row>
    <row r="868" spans="1:26" ht="15" customHeight="1">
      <c r="A868" t="s">
        <v>1907</v>
      </c>
      <c r="B868" t="s">
        <v>1910</v>
      </c>
      <c r="C868" s="14">
        <v>45759</v>
      </c>
      <c r="D868" s="14">
        <v>45757</v>
      </c>
      <c r="E868">
        <v>2025</v>
      </c>
      <c r="F868">
        <v>4</v>
      </c>
      <c r="G868" t="s">
        <v>164</v>
      </c>
      <c r="H868" t="s">
        <v>165</v>
      </c>
      <c r="I868" t="s">
        <v>146</v>
      </c>
      <c r="J868" s="15">
        <v>0</v>
      </c>
      <c r="K868" s="15">
        <v>5196.84</v>
      </c>
      <c r="L868" s="15">
        <f t="shared" si="65"/>
        <v>-5196.84</v>
      </c>
      <c r="M868" t="s">
        <v>160</v>
      </c>
      <c r="N868" t="s">
        <v>1909</v>
      </c>
      <c r="O868" t="s">
        <v>162</v>
      </c>
      <c r="P868" t="s">
        <v>150</v>
      </c>
      <c r="Q868" t="s">
        <v>151</v>
      </c>
      <c r="R868" s="16">
        <v>45759.447916666701</v>
      </c>
      <c r="S868" t="s">
        <v>130</v>
      </c>
      <c r="V868" t="b">
        <f t="shared" si="66"/>
        <v>0</v>
      </c>
      <c r="W868" t="b">
        <f>AND(OR(WEEKDAY(C868,2)=5,WEEKDAY(C868,2)=6),'01_Parameters'!$C$11="Enabled")</f>
        <v>1</v>
      </c>
      <c r="X868" t="b">
        <f t="shared" si="67"/>
        <v>0</v>
      </c>
      <c r="Y868" t="b">
        <f t="shared" si="68"/>
        <v>0</v>
      </c>
      <c r="Z868" t="b">
        <f t="shared" si="69"/>
        <v>0</v>
      </c>
    </row>
    <row r="869" spans="1:26" ht="15" customHeight="1">
      <c r="A869" t="s">
        <v>1911</v>
      </c>
      <c r="B869" t="s">
        <v>1912</v>
      </c>
      <c r="C869" s="14">
        <v>45671</v>
      </c>
      <c r="D869" s="14">
        <v>45670</v>
      </c>
      <c r="E869">
        <v>2025</v>
      </c>
      <c r="F869">
        <v>1</v>
      </c>
      <c r="G869" t="s">
        <v>144</v>
      </c>
      <c r="H869" t="s">
        <v>145</v>
      </c>
      <c r="I869" t="s">
        <v>146</v>
      </c>
      <c r="J869" s="15">
        <v>25816.32</v>
      </c>
      <c r="K869" s="15">
        <v>0</v>
      </c>
      <c r="L869" s="15">
        <f t="shared" si="65"/>
        <v>25816.32</v>
      </c>
      <c r="M869" t="s">
        <v>147</v>
      </c>
      <c r="N869" t="s">
        <v>1913</v>
      </c>
      <c r="O869" t="s">
        <v>149</v>
      </c>
      <c r="P869" t="s">
        <v>140</v>
      </c>
      <c r="Q869" t="s">
        <v>129</v>
      </c>
      <c r="R869" s="16">
        <v>45671.552083333299</v>
      </c>
      <c r="S869" t="s">
        <v>130</v>
      </c>
      <c r="V869" t="b">
        <f t="shared" si="66"/>
        <v>0</v>
      </c>
      <c r="W869" t="b">
        <f>AND(OR(WEEKDAY(C869,2)=5,WEEKDAY(C869,2)=6),'01_Parameters'!$C$11="Enabled")</f>
        <v>0</v>
      </c>
      <c r="X869" t="b">
        <f t="shared" si="67"/>
        <v>0</v>
      </c>
      <c r="Y869" t="b">
        <f t="shared" si="68"/>
        <v>0</v>
      </c>
      <c r="Z869" t="b">
        <f t="shared" si="69"/>
        <v>0</v>
      </c>
    </row>
    <row r="870" spans="1:26" ht="15" customHeight="1">
      <c r="A870" t="s">
        <v>1911</v>
      </c>
      <c r="B870" t="s">
        <v>1914</v>
      </c>
      <c r="C870" s="14">
        <v>45671</v>
      </c>
      <c r="D870" s="14">
        <v>45670</v>
      </c>
      <c r="E870">
        <v>2025</v>
      </c>
      <c r="F870">
        <v>1</v>
      </c>
      <c r="G870" t="s">
        <v>153</v>
      </c>
      <c r="H870" t="s">
        <v>154</v>
      </c>
      <c r="I870" t="s">
        <v>155</v>
      </c>
      <c r="J870" s="15">
        <v>0</v>
      </c>
      <c r="K870" s="15">
        <v>25816.32</v>
      </c>
      <c r="L870" s="15">
        <f t="shared" si="65"/>
        <v>-25816.32</v>
      </c>
      <c r="M870" t="s">
        <v>147</v>
      </c>
      <c r="N870" t="s">
        <v>1913</v>
      </c>
      <c r="O870" t="s">
        <v>149</v>
      </c>
      <c r="P870" t="s">
        <v>140</v>
      </c>
      <c r="Q870" t="s">
        <v>129</v>
      </c>
      <c r="R870" s="16">
        <v>45671.552083333299</v>
      </c>
      <c r="S870" t="s">
        <v>130</v>
      </c>
      <c r="V870" t="b">
        <f t="shared" si="66"/>
        <v>0</v>
      </c>
      <c r="W870" t="b">
        <f>AND(OR(WEEKDAY(C870,2)=5,WEEKDAY(C870,2)=6),'01_Parameters'!$C$11="Enabled")</f>
        <v>0</v>
      </c>
      <c r="X870" t="b">
        <f t="shared" si="67"/>
        <v>0</v>
      </c>
      <c r="Y870" t="b">
        <f t="shared" si="68"/>
        <v>0</v>
      </c>
      <c r="Z870" t="b">
        <f t="shared" si="69"/>
        <v>0</v>
      </c>
    </row>
    <row r="871" spans="1:26" ht="15" customHeight="1">
      <c r="A871" t="s">
        <v>1915</v>
      </c>
      <c r="B871" t="s">
        <v>1916</v>
      </c>
      <c r="C871" s="14">
        <v>45873</v>
      </c>
      <c r="D871" s="14">
        <v>45868</v>
      </c>
      <c r="E871">
        <v>2025</v>
      </c>
      <c r="F871">
        <v>8</v>
      </c>
      <c r="G871" t="s">
        <v>144</v>
      </c>
      <c r="H871" t="s">
        <v>145</v>
      </c>
      <c r="I871" t="s">
        <v>146</v>
      </c>
      <c r="J871" s="15">
        <v>74656.149999999994</v>
      </c>
      <c r="K871" s="15">
        <v>0</v>
      </c>
      <c r="L871" s="15">
        <f t="shared" si="65"/>
        <v>74656.149999999994</v>
      </c>
      <c r="M871" t="s">
        <v>147</v>
      </c>
      <c r="N871" t="s">
        <v>1917</v>
      </c>
      <c r="O871" t="s">
        <v>149</v>
      </c>
      <c r="P871" t="s">
        <v>129</v>
      </c>
      <c r="Q871" t="s">
        <v>151</v>
      </c>
      <c r="R871" s="16">
        <v>45873.260416666701</v>
      </c>
      <c r="S871" t="s">
        <v>130</v>
      </c>
      <c r="V871" t="b">
        <f t="shared" si="66"/>
        <v>0</v>
      </c>
      <c r="W871" t="b">
        <f>AND(OR(WEEKDAY(C871,2)=5,WEEKDAY(C871,2)=6),'01_Parameters'!$C$11="Enabled")</f>
        <v>0</v>
      </c>
      <c r="X871" t="b">
        <f t="shared" si="67"/>
        <v>1</v>
      </c>
      <c r="Y871" t="b">
        <f t="shared" si="68"/>
        <v>0</v>
      </c>
      <c r="Z871" t="b">
        <f t="shared" si="69"/>
        <v>0</v>
      </c>
    </row>
    <row r="872" spans="1:26" ht="15" customHeight="1">
      <c r="A872" t="s">
        <v>1915</v>
      </c>
      <c r="B872" t="s">
        <v>1918</v>
      </c>
      <c r="C872" s="14">
        <v>45873</v>
      </c>
      <c r="D872" s="14">
        <v>45868</v>
      </c>
      <c r="E872">
        <v>2025</v>
      </c>
      <c r="F872">
        <v>8</v>
      </c>
      <c r="G872" t="s">
        <v>153</v>
      </c>
      <c r="H872" t="s">
        <v>154</v>
      </c>
      <c r="I872" t="s">
        <v>155</v>
      </c>
      <c r="J872" s="15">
        <v>0</v>
      </c>
      <c r="K872" s="15">
        <v>74656.149999999994</v>
      </c>
      <c r="L872" s="15">
        <f t="shared" si="65"/>
        <v>-74656.149999999994</v>
      </c>
      <c r="M872" t="s">
        <v>147</v>
      </c>
      <c r="N872" t="s">
        <v>1917</v>
      </c>
      <c r="O872" t="s">
        <v>149</v>
      </c>
      <c r="P872" t="s">
        <v>129</v>
      </c>
      <c r="Q872" t="s">
        <v>151</v>
      </c>
      <c r="R872" s="16">
        <v>45873.260416666701</v>
      </c>
      <c r="S872" t="s">
        <v>130</v>
      </c>
      <c r="V872" t="b">
        <f t="shared" si="66"/>
        <v>0</v>
      </c>
      <c r="W872" t="b">
        <f>AND(OR(WEEKDAY(C872,2)=5,WEEKDAY(C872,2)=6),'01_Parameters'!$C$11="Enabled")</f>
        <v>0</v>
      </c>
      <c r="X872" t="b">
        <f t="shared" si="67"/>
        <v>1</v>
      </c>
      <c r="Y872" t="b">
        <f t="shared" si="68"/>
        <v>0</v>
      </c>
      <c r="Z872" t="b">
        <f t="shared" si="69"/>
        <v>0</v>
      </c>
    </row>
    <row r="873" spans="1:26" ht="15" customHeight="1">
      <c r="A873" t="s">
        <v>1919</v>
      </c>
      <c r="B873" t="s">
        <v>1920</v>
      </c>
      <c r="C873" s="14">
        <v>46019</v>
      </c>
      <c r="D873" s="14">
        <v>46019</v>
      </c>
      <c r="E873">
        <v>2025</v>
      </c>
      <c r="F873">
        <v>12</v>
      </c>
      <c r="G873" t="s">
        <v>179</v>
      </c>
      <c r="H873" t="s">
        <v>180</v>
      </c>
      <c r="I873" t="s">
        <v>124</v>
      </c>
      <c r="J873" s="15">
        <v>9421.4699999999993</v>
      </c>
      <c r="K873" s="15">
        <v>0</v>
      </c>
      <c r="L873" s="15">
        <f t="shared" si="65"/>
        <v>9421.4699999999993</v>
      </c>
      <c r="M873" t="s">
        <v>181</v>
      </c>
      <c r="N873" t="s">
        <v>1921</v>
      </c>
      <c r="O873" t="s">
        <v>183</v>
      </c>
      <c r="P873" t="s">
        <v>175</v>
      </c>
      <c r="Q873" t="s">
        <v>140</v>
      </c>
      <c r="R873" s="16">
        <v>46019.541666666701</v>
      </c>
      <c r="S873" t="s">
        <v>130</v>
      </c>
      <c r="V873" t="b">
        <f t="shared" si="66"/>
        <v>1</v>
      </c>
      <c r="W873" t="b">
        <f>AND(OR(WEEKDAY(C873,2)=5,WEEKDAY(C873,2)=6),'01_Parameters'!$C$11="Enabled")</f>
        <v>0</v>
      </c>
      <c r="X873" t="b">
        <f t="shared" si="67"/>
        <v>0</v>
      </c>
      <c r="Y873" t="b">
        <f t="shared" si="68"/>
        <v>0</v>
      </c>
      <c r="Z873" t="b">
        <f t="shared" si="69"/>
        <v>0</v>
      </c>
    </row>
    <row r="874" spans="1:26" ht="15" customHeight="1">
      <c r="A874" t="s">
        <v>1919</v>
      </c>
      <c r="B874" t="s">
        <v>1922</v>
      </c>
      <c r="C874" s="14">
        <v>46019</v>
      </c>
      <c r="D874" s="14">
        <v>46019</v>
      </c>
      <c r="E874">
        <v>2025</v>
      </c>
      <c r="F874">
        <v>12</v>
      </c>
      <c r="G874" t="s">
        <v>185</v>
      </c>
      <c r="H874" t="s">
        <v>186</v>
      </c>
      <c r="I874" t="s">
        <v>134</v>
      </c>
      <c r="J874" s="15">
        <v>0</v>
      </c>
      <c r="K874" s="15">
        <v>9421.4699999999993</v>
      </c>
      <c r="L874" s="15">
        <f t="shared" si="65"/>
        <v>-9421.4699999999993</v>
      </c>
      <c r="M874" t="s">
        <v>181</v>
      </c>
      <c r="N874" t="s">
        <v>1921</v>
      </c>
      <c r="O874" t="s">
        <v>183</v>
      </c>
      <c r="P874" t="s">
        <v>175</v>
      </c>
      <c r="Q874" t="s">
        <v>140</v>
      </c>
      <c r="R874" s="16">
        <v>46019.541666666701</v>
      </c>
      <c r="S874" t="s">
        <v>130</v>
      </c>
      <c r="V874" t="b">
        <f t="shared" si="66"/>
        <v>1</v>
      </c>
      <c r="W874" t="b">
        <f>AND(OR(WEEKDAY(C874,2)=5,WEEKDAY(C874,2)=6),'01_Parameters'!$C$11="Enabled")</f>
        <v>0</v>
      </c>
      <c r="X874" t="b">
        <f t="shared" si="67"/>
        <v>0</v>
      </c>
      <c r="Y874" t="b">
        <f t="shared" si="68"/>
        <v>0</v>
      </c>
      <c r="Z874" t="b">
        <f t="shared" si="69"/>
        <v>0</v>
      </c>
    </row>
    <row r="875" spans="1:26" ht="15" customHeight="1">
      <c r="A875" t="s">
        <v>1923</v>
      </c>
      <c r="B875" t="s">
        <v>1924</v>
      </c>
      <c r="C875" s="14">
        <v>45739</v>
      </c>
      <c r="D875" s="14">
        <v>45735</v>
      </c>
      <c r="E875">
        <v>2025</v>
      </c>
      <c r="F875">
        <v>3</v>
      </c>
      <c r="G875" t="s">
        <v>122</v>
      </c>
      <c r="H875" t="s">
        <v>123</v>
      </c>
      <c r="I875" t="s">
        <v>124</v>
      </c>
      <c r="J875" s="15">
        <v>116209.81</v>
      </c>
      <c r="K875" s="15">
        <v>0</v>
      </c>
      <c r="L875" s="15">
        <f t="shared" si="65"/>
        <v>116209.81</v>
      </c>
      <c r="M875" t="s">
        <v>125</v>
      </c>
      <c r="N875" t="s">
        <v>1925</v>
      </c>
      <c r="O875" t="s">
        <v>127</v>
      </c>
      <c r="P875" t="s">
        <v>150</v>
      </c>
      <c r="Q875" t="s">
        <v>140</v>
      </c>
      <c r="R875" s="16">
        <v>45739.770833333299</v>
      </c>
      <c r="S875" t="s">
        <v>130</v>
      </c>
      <c r="V875" t="b">
        <f t="shared" si="66"/>
        <v>0</v>
      </c>
      <c r="W875" t="b">
        <f>AND(OR(WEEKDAY(C875,2)=5,WEEKDAY(C875,2)=6),'01_Parameters'!$C$11="Enabled")</f>
        <v>0</v>
      </c>
      <c r="X875" t="b">
        <f t="shared" si="67"/>
        <v>1</v>
      </c>
      <c r="Y875" t="b">
        <f t="shared" si="68"/>
        <v>1</v>
      </c>
      <c r="Z875" t="b">
        <f t="shared" si="69"/>
        <v>0</v>
      </c>
    </row>
    <row r="876" spans="1:26" ht="15" customHeight="1">
      <c r="A876" t="s">
        <v>1923</v>
      </c>
      <c r="B876" t="s">
        <v>1926</v>
      </c>
      <c r="C876" s="14">
        <v>45739</v>
      </c>
      <c r="D876" s="14">
        <v>45735</v>
      </c>
      <c r="E876">
        <v>2025</v>
      </c>
      <c r="F876">
        <v>3</v>
      </c>
      <c r="G876" t="s">
        <v>132</v>
      </c>
      <c r="H876" t="s">
        <v>133</v>
      </c>
      <c r="I876" t="s">
        <v>134</v>
      </c>
      <c r="J876" s="15">
        <v>0</v>
      </c>
      <c r="K876" s="15">
        <v>116209.81</v>
      </c>
      <c r="L876" s="15">
        <f t="shared" si="65"/>
        <v>-116209.81</v>
      </c>
      <c r="M876" t="s">
        <v>125</v>
      </c>
      <c r="N876" t="s">
        <v>1925</v>
      </c>
      <c r="O876" t="s">
        <v>127</v>
      </c>
      <c r="P876" t="s">
        <v>150</v>
      </c>
      <c r="Q876" t="s">
        <v>140</v>
      </c>
      <c r="R876" s="16">
        <v>45739.770833333299</v>
      </c>
      <c r="S876" t="s">
        <v>130</v>
      </c>
      <c r="V876" t="b">
        <f t="shared" si="66"/>
        <v>0</v>
      </c>
      <c r="W876" t="b">
        <f>AND(OR(WEEKDAY(C876,2)=5,WEEKDAY(C876,2)=6),'01_Parameters'!$C$11="Enabled")</f>
        <v>0</v>
      </c>
      <c r="X876" t="b">
        <f t="shared" si="67"/>
        <v>1</v>
      </c>
      <c r="Y876" t="b">
        <f t="shared" si="68"/>
        <v>1</v>
      </c>
      <c r="Z876" t="b">
        <f t="shared" si="69"/>
        <v>0</v>
      </c>
    </row>
    <row r="877" spans="1:26" ht="15" customHeight="1">
      <c r="A877" t="s">
        <v>1927</v>
      </c>
      <c r="B877" t="s">
        <v>1928</v>
      </c>
      <c r="C877" s="14">
        <v>45693</v>
      </c>
      <c r="D877" s="14">
        <v>45691</v>
      </c>
      <c r="E877">
        <v>2025</v>
      </c>
      <c r="F877">
        <v>2</v>
      </c>
      <c r="G877" t="s">
        <v>193</v>
      </c>
      <c r="H877" t="s">
        <v>194</v>
      </c>
      <c r="I877" t="s">
        <v>124</v>
      </c>
      <c r="J877" s="15">
        <v>34648.75</v>
      </c>
      <c r="K877" s="15">
        <v>0</v>
      </c>
      <c r="L877" s="15">
        <f t="shared" si="65"/>
        <v>34648.75</v>
      </c>
      <c r="M877" t="s">
        <v>195</v>
      </c>
      <c r="N877" t="s">
        <v>1929</v>
      </c>
      <c r="O877" t="s">
        <v>197</v>
      </c>
      <c r="P877" t="s">
        <v>140</v>
      </c>
      <c r="Q877" t="s">
        <v>128</v>
      </c>
      <c r="R877" s="16">
        <v>45693.302083333299</v>
      </c>
      <c r="S877" t="s">
        <v>130</v>
      </c>
      <c r="V877" t="b">
        <f t="shared" si="66"/>
        <v>0</v>
      </c>
      <c r="W877" t="b">
        <f>AND(OR(WEEKDAY(C877,2)=5,WEEKDAY(C877,2)=6),'01_Parameters'!$C$11="Enabled")</f>
        <v>0</v>
      </c>
      <c r="X877" t="b">
        <f t="shared" si="67"/>
        <v>1</v>
      </c>
      <c r="Y877" t="b">
        <f t="shared" si="68"/>
        <v>0</v>
      </c>
      <c r="Z877" t="b">
        <f t="shared" si="69"/>
        <v>0</v>
      </c>
    </row>
    <row r="878" spans="1:26" ht="15" customHeight="1">
      <c r="A878" t="s">
        <v>1927</v>
      </c>
      <c r="B878" t="s">
        <v>1930</v>
      </c>
      <c r="C878" s="14">
        <v>45693</v>
      </c>
      <c r="D878" s="14">
        <v>45691</v>
      </c>
      <c r="E878">
        <v>2025</v>
      </c>
      <c r="F878">
        <v>2</v>
      </c>
      <c r="G878" t="s">
        <v>199</v>
      </c>
      <c r="H878" t="s">
        <v>200</v>
      </c>
      <c r="I878" t="s">
        <v>146</v>
      </c>
      <c r="J878" s="15">
        <v>0</v>
      </c>
      <c r="K878" s="15">
        <v>34648.75</v>
      </c>
      <c r="L878" s="15">
        <f t="shared" si="65"/>
        <v>-34648.75</v>
      </c>
      <c r="M878" t="s">
        <v>195</v>
      </c>
      <c r="N878" t="s">
        <v>1929</v>
      </c>
      <c r="O878" t="s">
        <v>197</v>
      </c>
      <c r="P878" t="s">
        <v>140</v>
      </c>
      <c r="Q878" t="s">
        <v>128</v>
      </c>
      <c r="R878" s="16">
        <v>45693.302083333299</v>
      </c>
      <c r="S878" t="s">
        <v>130</v>
      </c>
      <c r="V878" t="b">
        <f t="shared" si="66"/>
        <v>0</v>
      </c>
      <c r="W878" t="b">
        <f>AND(OR(WEEKDAY(C878,2)=5,WEEKDAY(C878,2)=6),'01_Parameters'!$C$11="Enabled")</f>
        <v>0</v>
      </c>
      <c r="X878" t="b">
        <f t="shared" si="67"/>
        <v>1</v>
      </c>
      <c r="Y878" t="b">
        <f t="shared" si="68"/>
        <v>0</v>
      </c>
      <c r="Z878" t="b">
        <f t="shared" si="69"/>
        <v>0</v>
      </c>
    </row>
    <row r="879" spans="1:26" ht="15" customHeight="1">
      <c r="A879" t="s">
        <v>1931</v>
      </c>
      <c r="B879" t="s">
        <v>1932</v>
      </c>
      <c r="C879" s="14">
        <v>45827</v>
      </c>
      <c r="D879" s="14">
        <v>45823</v>
      </c>
      <c r="E879">
        <v>2025</v>
      </c>
      <c r="F879">
        <v>6</v>
      </c>
      <c r="G879" t="s">
        <v>144</v>
      </c>
      <c r="H879" t="s">
        <v>145</v>
      </c>
      <c r="I879" t="s">
        <v>146</v>
      </c>
      <c r="J879" s="15">
        <v>5903.45</v>
      </c>
      <c r="K879" s="15">
        <v>0</v>
      </c>
      <c r="L879" s="15">
        <f t="shared" si="65"/>
        <v>5903.45</v>
      </c>
      <c r="M879" t="s">
        <v>147</v>
      </c>
      <c r="N879" t="s">
        <v>1933</v>
      </c>
      <c r="O879" t="s">
        <v>149</v>
      </c>
      <c r="P879" t="s">
        <v>129</v>
      </c>
      <c r="Q879" t="s">
        <v>150</v>
      </c>
      <c r="R879" s="16">
        <v>45827.427083333299</v>
      </c>
      <c r="S879" t="s">
        <v>130</v>
      </c>
      <c r="V879" t="b">
        <f t="shared" si="66"/>
        <v>0</v>
      </c>
      <c r="W879" t="b">
        <f>AND(OR(WEEKDAY(C879,2)=5,WEEKDAY(C879,2)=6),'01_Parameters'!$C$11="Enabled")</f>
        <v>0</v>
      </c>
      <c r="X879" t="b">
        <f t="shared" si="67"/>
        <v>0</v>
      </c>
      <c r="Y879" t="b">
        <f t="shared" si="68"/>
        <v>0</v>
      </c>
      <c r="Z879" t="b">
        <f t="shared" si="69"/>
        <v>0</v>
      </c>
    </row>
    <row r="880" spans="1:26" ht="15" customHeight="1">
      <c r="A880" t="s">
        <v>1931</v>
      </c>
      <c r="B880" t="s">
        <v>1934</v>
      </c>
      <c r="C880" s="14">
        <v>45827</v>
      </c>
      <c r="D880" s="14">
        <v>45823</v>
      </c>
      <c r="E880">
        <v>2025</v>
      </c>
      <c r="F880">
        <v>6</v>
      </c>
      <c r="G880" t="s">
        <v>153</v>
      </c>
      <c r="H880" t="s">
        <v>154</v>
      </c>
      <c r="I880" t="s">
        <v>155</v>
      </c>
      <c r="J880" s="15">
        <v>0</v>
      </c>
      <c r="K880" s="15">
        <v>5903.45</v>
      </c>
      <c r="L880" s="15">
        <f t="shared" si="65"/>
        <v>-5903.45</v>
      </c>
      <c r="M880" t="s">
        <v>147</v>
      </c>
      <c r="N880" t="s">
        <v>1933</v>
      </c>
      <c r="O880" t="s">
        <v>149</v>
      </c>
      <c r="P880" t="s">
        <v>129</v>
      </c>
      <c r="Q880" t="s">
        <v>150</v>
      </c>
      <c r="R880" s="16">
        <v>45827.427083333299</v>
      </c>
      <c r="S880" t="s">
        <v>130</v>
      </c>
      <c r="V880" t="b">
        <f t="shared" si="66"/>
        <v>0</v>
      </c>
      <c r="W880" t="b">
        <f>AND(OR(WEEKDAY(C880,2)=5,WEEKDAY(C880,2)=6),'01_Parameters'!$C$11="Enabled")</f>
        <v>0</v>
      </c>
      <c r="X880" t="b">
        <f t="shared" si="67"/>
        <v>0</v>
      </c>
      <c r="Y880" t="b">
        <f t="shared" si="68"/>
        <v>0</v>
      </c>
      <c r="Z880" t="b">
        <f t="shared" si="69"/>
        <v>0</v>
      </c>
    </row>
    <row r="881" spans="1:26" ht="15" customHeight="1">
      <c r="A881" t="s">
        <v>1935</v>
      </c>
      <c r="B881" t="s">
        <v>1936</v>
      </c>
      <c r="C881" s="14">
        <v>45806</v>
      </c>
      <c r="D881" s="14">
        <v>45805</v>
      </c>
      <c r="E881">
        <v>2025</v>
      </c>
      <c r="F881">
        <v>5</v>
      </c>
      <c r="G881" t="s">
        <v>158</v>
      </c>
      <c r="H881" t="s">
        <v>159</v>
      </c>
      <c r="I881" t="s">
        <v>124</v>
      </c>
      <c r="J881" s="15">
        <v>16062.34</v>
      </c>
      <c r="K881" s="15">
        <v>0</v>
      </c>
      <c r="L881" s="15">
        <f t="shared" si="65"/>
        <v>16062.34</v>
      </c>
      <c r="M881" t="s">
        <v>160</v>
      </c>
      <c r="N881" t="s">
        <v>1937</v>
      </c>
      <c r="O881" t="s">
        <v>162</v>
      </c>
      <c r="P881" t="s">
        <v>151</v>
      </c>
      <c r="Q881" t="s">
        <v>175</v>
      </c>
      <c r="R881" s="16">
        <v>45806.416666666701</v>
      </c>
      <c r="S881" t="s">
        <v>130</v>
      </c>
      <c r="V881" t="b">
        <f t="shared" si="66"/>
        <v>0</v>
      </c>
      <c r="W881" t="b">
        <f>AND(OR(WEEKDAY(C881,2)=5,WEEKDAY(C881,2)=6),'01_Parameters'!$C$11="Enabled")</f>
        <v>0</v>
      </c>
      <c r="X881" t="b">
        <f t="shared" si="67"/>
        <v>0</v>
      </c>
      <c r="Y881" t="b">
        <f t="shared" si="68"/>
        <v>0</v>
      </c>
      <c r="Z881" t="b">
        <f t="shared" si="69"/>
        <v>0</v>
      </c>
    </row>
    <row r="882" spans="1:26" ht="15" customHeight="1">
      <c r="A882" t="s">
        <v>1935</v>
      </c>
      <c r="B882" t="s">
        <v>1938</v>
      </c>
      <c r="C882" s="14">
        <v>45806</v>
      </c>
      <c r="D882" s="14">
        <v>45805</v>
      </c>
      <c r="E882">
        <v>2025</v>
      </c>
      <c r="F882">
        <v>5</v>
      </c>
      <c r="G882" t="s">
        <v>164</v>
      </c>
      <c r="H882" t="s">
        <v>165</v>
      </c>
      <c r="I882" t="s">
        <v>146</v>
      </c>
      <c r="J882" s="15">
        <v>0</v>
      </c>
      <c r="K882" s="15">
        <v>16062.34</v>
      </c>
      <c r="L882" s="15">
        <f t="shared" si="65"/>
        <v>-16062.34</v>
      </c>
      <c r="M882" t="s">
        <v>160</v>
      </c>
      <c r="N882" t="s">
        <v>1937</v>
      </c>
      <c r="O882" t="s">
        <v>162</v>
      </c>
      <c r="P882" t="s">
        <v>151</v>
      </c>
      <c r="Q882" t="s">
        <v>175</v>
      </c>
      <c r="R882" s="16">
        <v>45806.416666666701</v>
      </c>
      <c r="S882" t="s">
        <v>130</v>
      </c>
      <c r="V882" t="b">
        <f t="shared" si="66"/>
        <v>0</v>
      </c>
      <c r="W882" t="b">
        <f>AND(OR(WEEKDAY(C882,2)=5,WEEKDAY(C882,2)=6),'01_Parameters'!$C$11="Enabled")</f>
        <v>0</v>
      </c>
      <c r="X882" t="b">
        <f t="shared" si="67"/>
        <v>0</v>
      </c>
      <c r="Y882" t="b">
        <f t="shared" si="68"/>
        <v>0</v>
      </c>
      <c r="Z882" t="b">
        <f t="shared" si="69"/>
        <v>0</v>
      </c>
    </row>
    <row r="883" spans="1:26" ht="15" customHeight="1">
      <c r="A883" t="s">
        <v>1939</v>
      </c>
      <c r="B883" t="s">
        <v>1940</v>
      </c>
      <c r="C883" s="14">
        <v>45968</v>
      </c>
      <c r="D883" s="14">
        <v>45967</v>
      </c>
      <c r="E883">
        <v>2025</v>
      </c>
      <c r="F883">
        <v>11</v>
      </c>
      <c r="G883" t="s">
        <v>172</v>
      </c>
      <c r="H883" t="s">
        <v>173</v>
      </c>
      <c r="I883" t="s">
        <v>124</v>
      </c>
      <c r="J883" s="15">
        <v>53717.59</v>
      </c>
      <c r="K883" s="15">
        <v>0</v>
      </c>
      <c r="L883" s="15">
        <f t="shared" si="65"/>
        <v>53717.59</v>
      </c>
      <c r="M883" t="s">
        <v>209</v>
      </c>
      <c r="N883" t="s">
        <v>1941</v>
      </c>
      <c r="O883" t="s">
        <v>211</v>
      </c>
      <c r="P883" t="s">
        <v>128</v>
      </c>
      <c r="Q883" t="s">
        <v>129</v>
      </c>
      <c r="R883" s="16">
        <v>45968.479166666701</v>
      </c>
      <c r="S883" t="s">
        <v>130</v>
      </c>
      <c r="T883" t="s">
        <v>887</v>
      </c>
      <c r="U883" t="s">
        <v>1941</v>
      </c>
      <c r="V883" t="b">
        <f t="shared" si="66"/>
        <v>0</v>
      </c>
      <c r="W883" t="b">
        <f>AND(OR(WEEKDAY(C883,2)=5,WEEKDAY(C883,2)=6),'01_Parameters'!$C$11="Enabled")</f>
        <v>1</v>
      </c>
      <c r="X883" t="b">
        <f t="shared" si="67"/>
        <v>0</v>
      </c>
      <c r="Y883" t="b">
        <f t="shared" si="68"/>
        <v>0</v>
      </c>
      <c r="Z883" t="b">
        <f t="shared" si="69"/>
        <v>0</v>
      </c>
    </row>
    <row r="884" spans="1:26" ht="15" customHeight="1">
      <c r="A884" t="s">
        <v>1939</v>
      </c>
      <c r="B884" t="s">
        <v>1942</v>
      </c>
      <c r="C884" s="14">
        <v>45968</v>
      </c>
      <c r="D884" s="14">
        <v>45967</v>
      </c>
      <c r="E884">
        <v>2025</v>
      </c>
      <c r="F884">
        <v>11</v>
      </c>
      <c r="G884" t="s">
        <v>132</v>
      </c>
      <c r="H884" t="s">
        <v>133</v>
      </c>
      <c r="I884" t="s">
        <v>134</v>
      </c>
      <c r="J884" s="15">
        <v>0</v>
      </c>
      <c r="K884" s="15">
        <v>53717.59</v>
      </c>
      <c r="L884" s="15">
        <f t="shared" si="65"/>
        <v>-53717.59</v>
      </c>
      <c r="M884" t="s">
        <v>209</v>
      </c>
      <c r="N884" t="s">
        <v>1941</v>
      </c>
      <c r="O884" t="s">
        <v>211</v>
      </c>
      <c r="P884" t="s">
        <v>128</v>
      </c>
      <c r="Q884" t="s">
        <v>129</v>
      </c>
      <c r="R884" s="16">
        <v>45968.479166666701</v>
      </c>
      <c r="S884" t="s">
        <v>130</v>
      </c>
      <c r="T884" t="s">
        <v>887</v>
      </c>
      <c r="U884" t="s">
        <v>1941</v>
      </c>
      <c r="V884" t="b">
        <f t="shared" si="66"/>
        <v>0</v>
      </c>
      <c r="W884" t="b">
        <f>AND(OR(WEEKDAY(C884,2)=5,WEEKDAY(C884,2)=6),'01_Parameters'!$C$11="Enabled")</f>
        <v>1</v>
      </c>
      <c r="X884" t="b">
        <f t="shared" si="67"/>
        <v>0</v>
      </c>
      <c r="Y884" t="b">
        <f t="shared" si="68"/>
        <v>0</v>
      </c>
      <c r="Z884" t="b">
        <f t="shared" si="69"/>
        <v>0</v>
      </c>
    </row>
    <row r="885" spans="1:26" ht="15" customHeight="1">
      <c r="A885" t="s">
        <v>1943</v>
      </c>
      <c r="B885" t="s">
        <v>1944</v>
      </c>
      <c r="C885" s="14">
        <v>45732</v>
      </c>
      <c r="D885" s="14">
        <v>45729</v>
      </c>
      <c r="E885">
        <v>2025</v>
      </c>
      <c r="F885">
        <v>3</v>
      </c>
      <c r="G885" t="s">
        <v>172</v>
      </c>
      <c r="H885" t="s">
        <v>173</v>
      </c>
      <c r="I885" t="s">
        <v>124</v>
      </c>
      <c r="J885" s="15">
        <v>49196.62</v>
      </c>
      <c r="K885" s="15">
        <v>0</v>
      </c>
      <c r="L885" s="15">
        <f t="shared" si="65"/>
        <v>49196.62</v>
      </c>
      <c r="M885" t="s">
        <v>125</v>
      </c>
      <c r="N885" t="s">
        <v>1945</v>
      </c>
      <c r="O885" t="s">
        <v>127</v>
      </c>
      <c r="P885" t="s">
        <v>150</v>
      </c>
      <c r="Q885" t="s">
        <v>175</v>
      </c>
      <c r="R885" s="16">
        <v>45732.854166666701</v>
      </c>
      <c r="S885" t="s">
        <v>130</v>
      </c>
      <c r="V885" t="b">
        <f t="shared" si="66"/>
        <v>0</v>
      </c>
      <c r="W885" t="b">
        <f>AND(OR(WEEKDAY(C885,2)=5,WEEKDAY(C885,2)=6),'01_Parameters'!$C$11="Enabled")</f>
        <v>0</v>
      </c>
      <c r="X885" t="b">
        <f t="shared" si="67"/>
        <v>1</v>
      </c>
      <c r="Y885" t="b">
        <f t="shared" si="68"/>
        <v>0</v>
      </c>
      <c r="Z885" t="b">
        <f t="shared" si="69"/>
        <v>0</v>
      </c>
    </row>
    <row r="886" spans="1:26" ht="15" customHeight="1">
      <c r="A886" t="s">
        <v>1943</v>
      </c>
      <c r="B886" t="s">
        <v>1946</v>
      </c>
      <c r="C886" s="14">
        <v>45732</v>
      </c>
      <c r="D886" s="14">
        <v>45729</v>
      </c>
      <c r="E886">
        <v>2025</v>
      </c>
      <c r="F886">
        <v>3</v>
      </c>
      <c r="G886" t="s">
        <v>132</v>
      </c>
      <c r="H886" t="s">
        <v>133</v>
      </c>
      <c r="I886" t="s">
        <v>134</v>
      </c>
      <c r="J886" s="15">
        <v>0</v>
      </c>
      <c r="K886" s="15">
        <v>49196.62</v>
      </c>
      <c r="L886" s="15">
        <f t="shared" si="65"/>
        <v>-49196.62</v>
      </c>
      <c r="M886" t="s">
        <v>125</v>
      </c>
      <c r="N886" t="s">
        <v>1945</v>
      </c>
      <c r="O886" t="s">
        <v>127</v>
      </c>
      <c r="P886" t="s">
        <v>150</v>
      </c>
      <c r="Q886" t="s">
        <v>175</v>
      </c>
      <c r="R886" s="16">
        <v>45732.854166666701</v>
      </c>
      <c r="S886" t="s">
        <v>130</v>
      </c>
      <c r="V886" t="b">
        <f t="shared" si="66"/>
        <v>0</v>
      </c>
      <c r="W886" t="b">
        <f>AND(OR(WEEKDAY(C886,2)=5,WEEKDAY(C886,2)=6),'01_Parameters'!$C$11="Enabled")</f>
        <v>0</v>
      </c>
      <c r="X886" t="b">
        <f t="shared" si="67"/>
        <v>1</v>
      </c>
      <c r="Y886" t="b">
        <f t="shared" si="68"/>
        <v>0</v>
      </c>
      <c r="Z886" t="b">
        <f t="shared" si="69"/>
        <v>0</v>
      </c>
    </row>
    <row r="887" spans="1:26" ht="15" customHeight="1">
      <c r="A887" t="s">
        <v>1947</v>
      </c>
      <c r="B887" t="s">
        <v>1948</v>
      </c>
      <c r="C887" s="14">
        <v>45752</v>
      </c>
      <c r="D887" s="14">
        <v>45750</v>
      </c>
      <c r="E887">
        <v>2025</v>
      </c>
      <c r="F887">
        <v>4</v>
      </c>
      <c r="G887" t="s">
        <v>158</v>
      </c>
      <c r="H887" t="s">
        <v>159</v>
      </c>
      <c r="I887" t="s">
        <v>124</v>
      </c>
      <c r="J887" s="15">
        <v>84714.41</v>
      </c>
      <c r="K887" s="15">
        <v>0</v>
      </c>
      <c r="L887" s="15">
        <f t="shared" si="65"/>
        <v>84714.41</v>
      </c>
      <c r="M887" t="s">
        <v>160</v>
      </c>
      <c r="N887" t="s">
        <v>1949</v>
      </c>
      <c r="O887" t="s">
        <v>162</v>
      </c>
      <c r="P887" t="s">
        <v>128</v>
      </c>
      <c r="Q887" t="s">
        <v>129</v>
      </c>
      <c r="R887" s="16">
        <v>45752.510416666701</v>
      </c>
      <c r="S887" t="s">
        <v>130</v>
      </c>
      <c r="V887" t="b">
        <f t="shared" si="66"/>
        <v>0</v>
      </c>
      <c r="W887" t="b">
        <f>AND(OR(WEEKDAY(C887,2)=5,WEEKDAY(C887,2)=6),'01_Parameters'!$C$11="Enabled")</f>
        <v>1</v>
      </c>
      <c r="X887" t="b">
        <f t="shared" si="67"/>
        <v>0</v>
      </c>
      <c r="Y887" t="b">
        <f t="shared" si="68"/>
        <v>0</v>
      </c>
      <c r="Z887" t="b">
        <f t="shared" si="69"/>
        <v>0</v>
      </c>
    </row>
    <row r="888" spans="1:26" ht="15" customHeight="1">
      <c r="A888" t="s">
        <v>1947</v>
      </c>
      <c r="B888" t="s">
        <v>1950</v>
      </c>
      <c r="C888" s="14">
        <v>45752</v>
      </c>
      <c r="D888" s="14">
        <v>45750</v>
      </c>
      <c r="E888">
        <v>2025</v>
      </c>
      <c r="F888">
        <v>4</v>
      </c>
      <c r="G888" t="s">
        <v>164</v>
      </c>
      <c r="H888" t="s">
        <v>165</v>
      </c>
      <c r="I888" t="s">
        <v>146</v>
      </c>
      <c r="J888" s="15">
        <v>0</v>
      </c>
      <c r="K888" s="15">
        <v>84714.41</v>
      </c>
      <c r="L888" s="15">
        <f t="shared" si="65"/>
        <v>-84714.41</v>
      </c>
      <c r="M888" t="s">
        <v>160</v>
      </c>
      <c r="N888" t="s">
        <v>1949</v>
      </c>
      <c r="O888" t="s">
        <v>162</v>
      </c>
      <c r="P888" t="s">
        <v>128</v>
      </c>
      <c r="Q888" t="s">
        <v>129</v>
      </c>
      <c r="R888" s="16">
        <v>45752.510416666701</v>
      </c>
      <c r="S888" t="s">
        <v>130</v>
      </c>
      <c r="V888" t="b">
        <f t="shared" si="66"/>
        <v>0</v>
      </c>
      <c r="W888" t="b">
        <f>AND(OR(WEEKDAY(C888,2)=5,WEEKDAY(C888,2)=6),'01_Parameters'!$C$11="Enabled")</f>
        <v>1</v>
      </c>
      <c r="X888" t="b">
        <f t="shared" si="67"/>
        <v>0</v>
      </c>
      <c r="Y888" t="b">
        <f t="shared" si="68"/>
        <v>0</v>
      </c>
      <c r="Z888" t="b">
        <f t="shared" si="69"/>
        <v>0</v>
      </c>
    </row>
    <row r="889" spans="1:26" ht="15" customHeight="1">
      <c r="A889" t="s">
        <v>1951</v>
      </c>
      <c r="B889" t="s">
        <v>1952</v>
      </c>
      <c r="C889" s="14">
        <v>45931</v>
      </c>
      <c r="D889" s="14">
        <v>45929</v>
      </c>
      <c r="E889">
        <v>2025</v>
      </c>
      <c r="F889">
        <v>10</v>
      </c>
      <c r="G889" t="s">
        <v>179</v>
      </c>
      <c r="H889" t="s">
        <v>180</v>
      </c>
      <c r="I889" t="s">
        <v>124</v>
      </c>
      <c r="J889" s="15">
        <v>18192.09</v>
      </c>
      <c r="K889" s="15">
        <v>0</v>
      </c>
      <c r="L889" s="15">
        <f t="shared" si="65"/>
        <v>18192.09</v>
      </c>
      <c r="M889" t="s">
        <v>181</v>
      </c>
      <c r="N889" t="s">
        <v>1953</v>
      </c>
      <c r="O889" t="s">
        <v>183</v>
      </c>
      <c r="P889" t="s">
        <v>129</v>
      </c>
      <c r="Q889" t="s">
        <v>140</v>
      </c>
      <c r="R889" s="16">
        <v>45931.895833333299</v>
      </c>
      <c r="S889" t="s">
        <v>130</v>
      </c>
      <c r="V889" t="b">
        <f t="shared" si="66"/>
        <v>0</v>
      </c>
      <c r="W889" t="b">
        <f>AND(OR(WEEKDAY(C889,2)=5,WEEKDAY(C889,2)=6),'01_Parameters'!$C$11="Enabled")</f>
        <v>0</v>
      </c>
      <c r="X889" t="b">
        <f t="shared" si="67"/>
        <v>1</v>
      </c>
      <c r="Y889" t="b">
        <f t="shared" si="68"/>
        <v>0</v>
      </c>
      <c r="Z889" t="b">
        <f t="shared" si="69"/>
        <v>0</v>
      </c>
    </row>
    <row r="890" spans="1:26" ht="15" customHeight="1">
      <c r="A890" t="s">
        <v>1951</v>
      </c>
      <c r="B890" t="s">
        <v>1954</v>
      </c>
      <c r="C890" s="14">
        <v>45931</v>
      </c>
      <c r="D890" s="14">
        <v>45929</v>
      </c>
      <c r="E890">
        <v>2025</v>
      </c>
      <c r="F890">
        <v>10</v>
      </c>
      <c r="G890" t="s">
        <v>185</v>
      </c>
      <c r="H890" t="s">
        <v>186</v>
      </c>
      <c r="I890" t="s">
        <v>134</v>
      </c>
      <c r="J890" s="15">
        <v>0</v>
      </c>
      <c r="K890" s="15">
        <v>18192.09</v>
      </c>
      <c r="L890" s="15">
        <f t="shared" si="65"/>
        <v>-18192.09</v>
      </c>
      <c r="M890" t="s">
        <v>181</v>
      </c>
      <c r="N890" t="s">
        <v>1953</v>
      </c>
      <c r="O890" t="s">
        <v>183</v>
      </c>
      <c r="P890" t="s">
        <v>129</v>
      </c>
      <c r="Q890" t="s">
        <v>140</v>
      </c>
      <c r="R890" s="16">
        <v>45931.895833333299</v>
      </c>
      <c r="S890" t="s">
        <v>130</v>
      </c>
      <c r="V890" t="b">
        <f t="shared" si="66"/>
        <v>0</v>
      </c>
      <c r="W890" t="b">
        <f>AND(OR(WEEKDAY(C890,2)=5,WEEKDAY(C890,2)=6),'01_Parameters'!$C$11="Enabled")</f>
        <v>0</v>
      </c>
      <c r="X890" t="b">
        <f t="shared" si="67"/>
        <v>1</v>
      </c>
      <c r="Y890" t="b">
        <f t="shared" si="68"/>
        <v>0</v>
      </c>
      <c r="Z890" t="b">
        <f t="shared" si="69"/>
        <v>0</v>
      </c>
    </row>
    <row r="891" spans="1:26" ht="15" customHeight="1">
      <c r="A891" t="s">
        <v>1955</v>
      </c>
      <c r="B891" t="s">
        <v>1956</v>
      </c>
      <c r="C891" s="14">
        <v>45977</v>
      </c>
      <c r="D891" s="14">
        <v>45977</v>
      </c>
      <c r="E891">
        <v>2025</v>
      </c>
      <c r="F891">
        <v>11</v>
      </c>
      <c r="G891" t="s">
        <v>122</v>
      </c>
      <c r="H891" t="s">
        <v>123</v>
      </c>
      <c r="I891" t="s">
        <v>124</v>
      </c>
      <c r="J891" s="15">
        <v>78159.13</v>
      </c>
      <c r="K891" s="15">
        <v>0</v>
      </c>
      <c r="L891" s="15">
        <f t="shared" si="65"/>
        <v>78159.13</v>
      </c>
      <c r="M891" t="s">
        <v>209</v>
      </c>
      <c r="N891" t="s">
        <v>1957</v>
      </c>
      <c r="O891" t="s">
        <v>211</v>
      </c>
      <c r="P891" t="s">
        <v>140</v>
      </c>
      <c r="Q891" t="s">
        <v>150</v>
      </c>
      <c r="R891" s="16">
        <v>45977.885416666701</v>
      </c>
      <c r="S891" t="s">
        <v>130</v>
      </c>
      <c r="T891" t="s">
        <v>782</v>
      </c>
      <c r="U891" t="s">
        <v>1957</v>
      </c>
      <c r="V891" t="b">
        <f t="shared" si="66"/>
        <v>0</v>
      </c>
      <c r="W891" t="b">
        <f>AND(OR(WEEKDAY(C891,2)=5,WEEKDAY(C891,2)=6),'01_Parameters'!$C$11="Enabled")</f>
        <v>0</v>
      </c>
      <c r="X891" t="b">
        <f t="shared" si="67"/>
        <v>1</v>
      </c>
      <c r="Y891" t="b">
        <f t="shared" si="68"/>
        <v>0</v>
      </c>
      <c r="Z891" t="b">
        <f t="shared" si="69"/>
        <v>0</v>
      </c>
    </row>
    <row r="892" spans="1:26" ht="15" customHeight="1">
      <c r="A892" t="s">
        <v>1955</v>
      </c>
      <c r="B892" t="s">
        <v>1958</v>
      </c>
      <c r="C892" s="14">
        <v>45977</v>
      </c>
      <c r="D892" s="14">
        <v>45977</v>
      </c>
      <c r="E892">
        <v>2025</v>
      </c>
      <c r="F892">
        <v>11</v>
      </c>
      <c r="G892" t="s">
        <v>132</v>
      </c>
      <c r="H892" t="s">
        <v>133</v>
      </c>
      <c r="I892" t="s">
        <v>134</v>
      </c>
      <c r="J892" s="15">
        <v>0</v>
      </c>
      <c r="K892" s="15">
        <v>78159.13</v>
      </c>
      <c r="L892" s="15">
        <f t="shared" si="65"/>
        <v>-78159.13</v>
      </c>
      <c r="M892" t="s">
        <v>209</v>
      </c>
      <c r="N892" t="s">
        <v>1957</v>
      </c>
      <c r="O892" t="s">
        <v>211</v>
      </c>
      <c r="P892" t="s">
        <v>140</v>
      </c>
      <c r="Q892" t="s">
        <v>150</v>
      </c>
      <c r="R892" s="16">
        <v>45977.885416666701</v>
      </c>
      <c r="S892" t="s">
        <v>130</v>
      </c>
      <c r="T892" t="s">
        <v>782</v>
      </c>
      <c r="U892" t="s">
        <v>1957</v>
      </c>
      <c r="V892" t="b">
        <f t="shared" si="66"/>
        <v>0</v>
      </c>
      <c r="W892" t="b">
        <f>AND(OR(WEEKDAY(C892,2)=5,WEEKDAY(C892,2)=6),'01_Parameters'!$C$11="Enabled")</f>
        <v>0</v>
      </c>
      <c r="X892" t="b">
        <f t="shared" si="67"/>
        <v>1</v>
      </c>
      <c r="Y892" t="b">
        <f t="shared" si="68"/>
        <v>0</v>
      </c>
      <c r="Z892" t="b">
        <f t="shared" si="69"/>
        <v>0</v>
      </c>
    </row>
    <row r="893" spans="1:26" ht="15" customHeight="1">
      <c r="A893" t="s">
        <v>1959</v>
      </c>
      <c r="B893" t="s">
        <v>1960</v>
      </c>
      <c r="C893" s="14">
        <v>45920</v>
      </c>
      <c r="D893" s="14">
        <v>45916</v>
      </c>
      <c r="E893">
        <v>2025</v>
      </c>
      <c r="F893">
        <v>9</v>
      </c>
      <c r="G893" t="s">
        <v>158</v>
      </c>
      <c r="H893" t="s">
        <v>159</v>
      </c>
      <c r="I893" t="s">
        <v>124</v>
      </c>
      <c r="J893" s="15">
        <v>55713.41</v>
      </c>
      <c r="K893" s="15">
        <v>0</v>
      </c>
      <c r="L893" s="15">
        <f t="shared" si="65"/>
        <v>55713.41</v>
      </c>
      <c r="M893" t="s">
        <v>160</v>
      </c>
      <c r="N893" t="s">
        <v>1961</v>
      </c>
      <c r="O893" t="s">
        <v>162</v>
      </c>
      <c r="P893" t="s">
        <v>151</v>
      </c>
      <c r="Q893" t="s">
        <v>129</v>
      </c>
      <c r="R893" s="16">
        <v>45920.427083333299</v>
      </c>
      <c r="S893" t="s">
        <v>130</v>
      </c>
      <c r="V893" t="b">
        <f t="shared" si="66"/>
        <v>0</v>
      </c>
      <c r="W893" t="b">
        <f>AND(OR(WEEKDAY(C893,2)=5,WEEKDAY(C893,2)=6),'01_Parameters'!$C$11="Enabled")</f>
        <v>1</v>
      </c>
      <c r="X893" t="b">
        <f t="shared" si="67"/>
        <v>0</v>
      </c>
      <c r="Y893" t="b">
        <f t="shared" si="68"/>
        <v>0</v>
      </c>
      <c r="Z893" t="b">
        <f t="shared" si="69"/>
        <v>0</v>
      </c>
    </row>
    <row r="894" spans="1:26" ht="15" customHeight="1">
      <c r="A894" t="s">
        <v>1959</v>
      </c>
      <c r="B894" t="s">
        <v>1962</v>
      </c>
      <c r="C894" s="14">
        <v>45920</v>
      </c>
      <c r="D894" s="14">
        <v>45916</v>
      </c>
      <c r="E894">
        <v>2025</v>
      </c>
      <c r="F894">
        <v>9</v>
      </c>
      <c r="G894" t="s">
        <v>164</v>
      </c>
      <c r="H894" t="s">
        <v>165</v>
      </c>
      <c r="I894" t="s">
        <v>146</v>
      </c>
      <c r="J894" s="15">
        <v>0</v>
      </c>
      <c r="K894" s="15">
        <v>55713.41</v>
      </c>
      <c r="L894" s="15">
        <f t="shared" si="65"/>
        <v>-55713.41</v>
      </c>
      <c r="M894" t="s">
        <v>160</v>
      </c>
      <c r="N894" t="s">
        <v>1961</v>
      </c>
      <c r="O894" t="s">
        <v>162</v>
      </c>
      <c r="P894" t="s">
        <v>151</v>
      </c>
      <c r="Q894" t="s">
        <v>129</v>
      </c>
      <c r="R894" s="16">
        <v>45920.427083333299</v>
      </c>
      <c r="S894" t="s">
        <v>130</v>
      </c>
      <c r="V894" t="b">
        <f t="shared" si="66"/>
        <v>0</v>
      </c>
      <c r="W894" t="b">
        <f>AND(OR(WEEKDAY(C894,2)=5,WEEKDAY(C894,2)=6),'01_Parameters'!$C$11="Enabled")</f>
        <v>1</v>
      </c>
      <c r="X894" t="b">
        <f t="shared" si="67"/>
        <v>0</v>
      </c>
      <c r="Y894" t="b">
        <f t="shared" si="68"/>
        <v>0</v>
      </c>
      <c r="Z894" t="b">
        <f t="shared" si="69"/>
        <v>0</v>
      </c>
    </row>
    <row r="895" spans="1:26" ht="15" customHeight="1">
      <c r="A895" t="s">
        <v>1963</v>
      </c>
      <c r="B895" t="s">
        <v>1964</v>
      </c>
      <c r="C895" s="14">
        <v>45956</v>
      </c>
      <c r="D895" s="14">
        <v>45955</v>
      </c>
      <c r="E895">
        <v>2025</v>
      </c>
      <c r="F895">
        <v>10</v>
      </c>
      <c r="G895" t="s">
        <v>144</v>
      </c>
      <c r="H895" t="s">
        <v>145</v>
      </c>
      <c r="I895" t="s">
        <v>146</v>
      </c>
      <c r="J895" s="15">
        <v>24770.92</v>
      </c>
      <c r="K895" s="15">
        <v>0</v>
      </c>
      <c r="L895" s="15">
        <f t="shared" si="65"/>
        <v>24770.92</v>
      </c>
      <c r="M895" t="s">
        <v>147</v>
      </c>
      <c r="N895" t="s">
        <v>1965</v>
      </c>
      <c r="O895" t="s">
        <v>149</v>
      </c>
      <c r="P895" t="s">
        <v>140</v>
      </c>
      <c r="Q895" t="s">
        <v>151</v>
      </c>
      <c r="R895" s="16">
        <v>45956.458333333299</v>
      </c>
      <c r="S895" t="s">
        <v>130</v>
      </c>
      <c r="V895" t="b">
        <f t="shared" si="66"/>
        <v>0</v>
      </c>
      <c r="W895" t="b">
        <f>AND(OR(WEEKDAY(C895,2)=5,WEEKDAY(C895,2)=6),'01_Parameters'!$C$11="Enabled")</f>
        <v>0</v>
      </c>
      <c r="X895" t="b">
        <f t="shared" si="67"/>
        <v>0</v>
      </c>
      <c r="Y895" t="b">
        <f t="shared" si="68"/>
        <v>0</v>
      </c>
      <c r="Z895" t="b">
        <f t="shared" si="69"/>
        <v>0</v>
      </c>
    </row>
    <row r="896" spans="1:26" ht="15" customHeight="1">
      <c r="A896" t="s">
        <v>1963</v>
      </c>
      <c r="B896" t="s">
        <v>1966</v>
      </c>
      <c r="C896" s="14">
        <v>45956</v>
      </c>
      <c r="D896" s="14">
        <v>45955</v>
      </c>
      <c r="E896">
        <v>2025</v>
      </c>
      <c r="F896">
        <v>10</v>
      </c>
      <c r="G896" t="s">
        <v>153</v>
      </c>
      <c r="H896" t="s">
        <v>154</v>
      </c>
      <c r="I896" t="s">
        <v>155</v>
      </c>
      <c r="J896" s="15">
        <v>0</v>
      </c>
      <c r="K896" s="15">
        <v>24770.92</v>
      </c>
      <c r="L896" s="15">
        <f t="shared" si="65"/>
        <v>-24770.92</v>
      </c>
      <c r="M896" t="s">
        <v>147</v>
      </c>
      <c r="N896" t="s">
        <v>1965</v>
      </c>
      <c r="O896" t="s">
        <v>149</v>
      </c>
      <c r="P896" t="s">
        <v>140</v>
      </c>
      <c r="Q896" t="s">
        <v>151</v>
      </c>
      <c r="R896" s="16">
        <v>45956.458333333299</v>
      </c>
      <c r="S896" t="s">
        <v>130</v>
      </c>
      <c r="V896" t="b">
        <f t="shared" si="66"/>
        <v>0</v>
      </c>
      <c r="W896" t="b">
        <f>AND(OR(WEEKDAY(C896,2)=5,WEEKDAY(C896,2)=6),'01_Parameters'!$C$11="Enabled")</f>
        <v>0</v>
      </c>
      <c r="X896" t="b">
        <f t="shared" si="67"/>
        <v>0</v>
      </c>
      <c r="Y896" t="b">
        <f t="shared" si="68"/>
        <v>0</v>
      </c>
      <c r="Z896" t="b">
        <f t="shared" si="69"/>
        <v>0</v>
      </c>
    </row>
    <row r="897" spans="1:26" ht="15" customHeight="1">
      <c r="A897" t="s">
        <v>1967</v>
      </c>
      <c r="B897" t="s">
        <v>1968</v>
      </c>
      <c r="C897" s="14">
        <v>45977</v>
      </c>
      <c r="D897" s="14">
        <v>45972</v>
      </c>
      <c r="E897">
        <v>2025</v>
      </c>
      <c r="F897">
        <v>11</v>
      </c>
      <c r="G897" t="s">
        <v>144</v>
      </c>
      <c r="H897" t="s">
        <v>145</v>
      </c>
      <c r="I897" t="s">
        <v>146</v>
      </c>
      <c r="J897" s="15">
        <v>46259.01</v>
      </c>
      <c r="K897" s="15">
        <v>0</v>
      </c>
      <c r="L897" s="15">
        <f t="shared" si="65"/>
        <v>46259.01</v>
      </c>
      <c r="M897" t="s">
        <v>147</v>
      </c>
      <c r="N897" t="s">
        <v>1969</v>
      </c>
      <c r="O897" t="s">
        <v>149</v>
      </c>
      <c r="P897" t="s">
        <v>175</v>
      </c>
      <c r="Q897" t="s">
        <v>129</v>
      </c>
      <c r="R897" s="16">
        <v>45977.78125</v>
      </c>
      <c r="S897" t="s">
        <v>130</v>
      </c>
      <c r="V897" t="b">
        <f t="shared" si="66"/>
        <v>0</v>
      </c>
      <c r="W897" t="b">
        <f>AND(OR(WEEKDAY(C897,2)=5,WEEKDAY(C897,2)=6),'01_Parameters'!$C$11="Enabled")</f>
        <v>0</v>
      </c>
      <c r="X897" t="b">
        <f t="shared" si="67"/>
        <v>1</v>
      </c>
      <c r="Y897" t="b">
        <f t="shared" si="68"/>
        <v>0</v>
      </c>
      <c r="Z897" t="b">
        <f t="shared" si="69"/>
        <v>0</v>
      </c>
    </row>
    <row r="898" spans="1:26" ht="15" customHeight="1">
      <c r="A898" t="s">
        <v>1967</v>
      </c>
      <c r="B898" t="s">
        <v>1970</v>
      </c>
      <c r="C898" s="14">
        <v>45977</v>
      </c>
      <c r="D898" s="14">
        <v>45972</v>
      </c>
      <c r="E898">
        <v>2025</v>
      </c>
      <c r="F898">
        <v>11</v>
      </c>
      <c r="G898" t="s">
        <v>153</v>
      </c>
      <c r="H898" t="s">
        <v>154</v>
      </c>
      <c r="I898" t="s">
        <v>155</v>
      </c>
      <c r="J898" s="15">
        <v>0</v>
      </c>
      <c r="K898" s="15">
        <v>46259.01</v>
      </c>
      <c r="L898" s="15">
        <f t="shared" si="65"/>
        <v>-46259.01</v>
      </c>
      <c r="M898" t="s">
        <v>147</v>
      </c>
      <c r="N898" t="s">
        <v>1969</v>
      </c>
      <c r="O898" t="s">
        <v>149</v>
      </c>
      <c r="P898" t="s">
        <v>175</v>
      </c>
      <c r="Q898" t="s">
        <v>129</v>
      </c>
      <c r="R898" s="16">
        <v>45977.78125</v>
      </c>
      <c r="S898" t="s">
        <v>130</v>
      </c>
      <c r="V898" t="b">
        <f t="shared" si="66"/>
        <v>0</v>
      </c>
      <c r="W898" t="b">
        <f>AND(OR(WEEKDAY(C898,2)=5,WEEKDAY(C898,2)=6),'01_Parameters'!$C$11="Enabled")</f>
        <v>0</v>
      </c>
      <c r="X898" t="b">
        <f t="shared" si="67"/>
        <v>1</v>
      </c>
      <c r="Y898" t="b">
        <f t="shared" si="68"/>
        <v>0</v>
      </c>
      <c r="Z898" t="b">
        <f t="shared" si="69"/>
        <v>0</v>
      </c>
    </row>
    <row r="899" spans="1:26" ht="15" customHeight="1">
      <c r="A899" t="s">
        <v>1971</v>
      </c>
      <c r="B899" t="s">
        <v>1972</v>
      </c>
      <c r="C899" s="14">
        <v>45855</v>
      </c>
      <c r="D899" s="14">
        <v>45855</v>
      </c>
      <c r="E899">
        <v>2025</v>
      </c>
      <c r="F899">
        <v>7</v>
      </c>
      <c r="G899" t="s">
        <v>172</v>
      </c>
      <c r="H899" t="s">
        <v>173</v>
      </c>
      <c r="I899" t="s">
        <v>124</v>
      </c>
      <c r="J899" s="15">
        <v>109761.32</v>
      </c>
      <c r="K899" s="15">
        <v>0</v>
      </c>
      <c r="L899" s="15">
        <f t="shared" si="65"/>
        <v>109761.32</v>
      </c>
      <c r="M899" t="s">
        <v>125</v>
      </c>
      <c r="N899" t="s">
        <v>1973</v>
      </c>
      <c r="O899" t="s">
        <v>127</v>
      </c>
      <c r="P899" t="s">
        <v>128</v>
      </c>
      <c r="Q899" t="s">
        <v>150</v>
      </c>
      <c r="R899" s="16">
        <v>45855.885416666701</v>
      </c>
      <c r="S899" t="s">
        <v>130</v>
      </c>
      <c r="V899" t="b">
        <f t="shared" si="66"/>
        <v>0</v>
      </c>
      <c r="W899" t="b">
        <f>AND(OR(WEEKDAY(C899,2)=5,WEEKDAY(C899,2)=6),'01_Parameters'!$C$11="Enabled")</f>
        <v>0</v>
      </c>
      <c r="X899" t="b">
        <f t="shared" si="67"/>
        <v>1</v>
      </c>
      <c r="Y899" t="b">
        <f t="shared" si="68"/>
        <v>1</v>
      </c>
      <c r="Z899" t="b">
        <f t="shared" si="69"/>
        <v>0</v>
      </c>
    </row>
    <row r="900" spans="1:26" ht="15" customHeight="1">
      <c r="A900" t="s">
        <v>1971</v>
      </c>
      <c r="B900" t="s">
        <v>1974</v>
      </c>
      <c r="C900" s="14">
        <v>45855</v>
      </c>
      <c r="D900" s="14">
        <v>45855</v>
      </c>
      <c r="E900">
        <v>2025</v>
      </c>
      <c r="F900">
        <v>7</v>
      </c>
      <c r="G900" t="s">
        <v>132</v>
      </c>
      <c r="H900" t="s">
        <v>133</v>
      </c>
      <c r="I900" t="s">
        <v>134</v>
      </c>
      <c r="J900" s="15">
        <v>0</v>
      </c>
      <c r="K900" s="15">
        <v>109761.32</v>
      </c>
      <c r="L900" s="15">
        <f t="shared" si="65"/>
        <v>-109761.32</v>
      </c>
      <c r="M900" t="s">
        <v>125</v>
      </c>
      <c r="N900" t="s">
        <v>1973</v>
      </c>
      <c r="O900" t="s">
        <v>127</v>
      </c>
      <c r="P900" t="s">
        <v>128</v>
      </c>
      <c r="Q900" t="s">
        <v>150</v>
      </c>
      <c r="R900" s="16">
        <v>45855.885416666701</v>
      </c>
      <c r="S900" t="s">
        <v>130</v>
      </c>
      <c r="V900" t="b">
        <f t="shared" si="66"/>
        <v>0</v>
      </c>
      <c r="W900" t="b">
        <f>AND(OR(WEEKDAY(C900,2)=5,WEEKDAY(C900,2)=6),'01_Parameters'!$C$11="Enabled")</f>
        <v>0</v>
      </c>
      <c r="X900" t="b">
        <f t="shared" si="67"/>
        <v>1</v>
      </c>
      <c r="Y900" t="b">
        <f t="shared" si="68"/>
        <v>1</v>
      </c>
      <c r="Z900" t="b">
        <f t="shared" si="69"/>
        <v>0</v>
      </c>
    </row>
    <row r="901" spans="1:26" ht="15" customHeight="1">
      <c r="A901" t="s">
        <v>1975</v>
      </c>
      <c r="B901" t="s">
        <v>1976</v>
      </c>
      <c r="C901" s="14">
        <v>45940</v>
      </c>
      <c r="D901" s="14">
        <v>45940</v>
      </c>
      <c r="E901">
        <v>2025</v>
      </c>
      <c r="F901">
        <v>10</v>
      </c>
      <c r="G901" t="s">
        <v>172</v>
      </c>
      <c r="H901" t="s">
        <v>173</v>
      </c>
      <c r="I901" t="s">
        <v>124</v>
      </c>
      <c r="J901" s="15">
        <v>56383.3</v>
      </c>
      <c r="K901" s="15">
        <v>0</v>
      </c>
      <c r="L901" s="15">
        <f t="shared" ref="L901:L964" si="70">J901-K901</f>
        <v>56383.3</v>
      </c>
      <c r="M901" t="s">
        <v>209</v>
      </c>
      <c r="N901" t="s">
        <v>1977</v>
      </c>
      <c r="O901" t="s">
        <v>211</v>
      </c>
      <c r="P901" t="s">
        <v>140</v>
      </c>
      <c r="Q901" t="s">
        <v>128</v>
      </c>
      <c r="R901" s="16">
        <v>45940.333333333299</v>
      </c>
      <c r="S901" t="s">
        <v>130</v>
      </c>
      <c r="T901" t="s">
        <v>251</v>
      </c>
      <c r="U901" t="s">
        <v>1977</v>
      </c>
      <c r="V901" t="b">
        <f t="shared" ref="V901:V964" si="71">AND(C901&gt;=Year_End_Window_Start,C901&lt;=Year_End_Window_End)</f>
        <v>0</v>
      </c>
      <c r="W901" t="b">
        <f>AND(OR(WEEKDAY(C901,2)=5,WEEKDAY(C901,2)=6),'01_Parameters'!$C$11="Enabled")</f>
        <v>1</v>
      </c>
      <c r="X901" t="b">
        <f t="shared" ref="X901:X964" si="72">AND(HOUR(R901)&lt;Business_Day_Start,HOUR(R901)&gt;=0)+AND(HOUR(R901)&gt;=Business_Day_End,HOUR(R901)&lt;=23)&gt;0</f>
        <v>0</v>
      </c>
      <c r="Y901" t="b">
        <f t="shared" ref="Y901:Y964" si="73">ABS(L901)&gt;High_Value_GL_Threshold</f>
        <v>0</v>
      </c>
      <c r="Z901" t="b">
        <f t="shared" ref="Z901:Z964" si="74">AND(ABS(L901)&gt;=Round_Number_Threshold,MOD(ABS(L901),Round_Number_Threshold)=0)</f>
        <v>0</v>
      </c>
    </row>
    <row r="902" spans="1:26" ht="15" customHeight="1">
      <c r="A902" t="s">
        <v>1975</v>
      </c>
      <c r="B902" t="s">
        <v>1978</v>
      </c>
      <c r="C902" s="14">
        <v>45940</v>
      </c>
      <c r="D902" s="14">
        <v>45940</v>
      </c>
      <c r="E902">
        <v>2025</v>
      </c>
      <c r="F902">
        <v>10</v>
      </c>
      <c r="G902" t="s">
        <v>132</v>
      </c>
      <c r="H902" t="s">
        <v>133</v>
      </c>
      <c r="I902" t="s">
        <v>134</v>
      </c>
      <c r="J902" s="15">
        <v>0</v>
      </c>
      <c r="K902" s="15">
        <v>56383.3</v>
      </c>
      <c r="L902" s="15">
        <f t="shared" si="70"/>
        <v>-56383.3</v>
      </c>
      <c r="M902" t="s">
        <v>209</v>
      </c>
      <c r="N902" t="s">
        <v>1977</v>
      </c>
      <c r="O902" t="s">
        <v>211</v>
      </c>
      <c r="P902" t="s">
        <v>140</v>
      </c>
      <c r="Q902" t="s">
        <v>128</v>
      </c>
      <c r="R902" s="16">
        <v>45940.333333333299</v>
      </c>
      <c r="S902" t="s">
        <v>130</v>
      </c>
      <c r="T902" t="s">
        <v>251</v>
      </c>
      <c r="U902" t="s">
        <v>1977</v>
      </c>
      <c r="V902" t="b">
        <f t="shared" si="71"/>
        <v>0</v>
      </c>
      <c r="W902" t="b">
        <f>AND(OR(WEEKDAY(C902,2)=5,WEEKDAY(C902,2)=6),'01_Parameters'!$C$11="Enabled")</f>
        <v>1</v>
      </c>
      <c r="X902" t="b">
        <f t="shared" si="72"/>
        <v>0</v>
      </c>
      <c r="Y902" t="b">
        <f t="shared" si="73"/>
        <v>0</v>
      </c>
      <c r="Z902" t="b">
        <f t="shared" si="74"/>
        <v>0</v>
      </c>
    </row>
    <row r="903" spans="1:26" ht="15" customHeight="1">
      <c r="A903" t="s">
        <v>1979</v>
      </c>
      <c r="B903" t="s">
        <v>1980</v>
      </c>
      <c r="C903" s="14">
        <v>45675</v>
      </c>
      <c r="D903" s="14">
        <v>45674</v>
      </c>
      <c r="E903">
        <v>2025</v>
      </c>
      <c r="F903">
        <v>1</v>
      </c>
      <c r="G903" t="s">
        <v>193</v>
      </c>
      <c r="H903" t="s">
        <v>194</v>
      </c>
      <c r="I903" t="s">
        <v>124</v>
      </c>
      <c r="J903" s="15">
        <v>46463.56</v>
      </c>
      <c r="K903" s="15">
        <v>0</v>
      </c>
      <c r="L903" s="15">
        <f t="shared" si="70"/>
        <v>46463.56</v>
      </c>
      <c r="M903" t="s">
        <v>195</v>
      </c>
      <c r="N903" t="s">
        <v>1981</v>
      </c>
      <c r="O903" t="s">
        <v>197</v>
      </c>
      <c r="P903" t="s">
        <v>151</v>
      </c>
      <c r="Q903" t="s">
        <v>175</v>
      </c>
      <c r="R903" s="16">
        <v>45675.354166666701</v>
      </c>
      <c r="S903" t="s">
        <v>130</v>
      </c>
      <c r="V903" t="b">
        <f t="shared" si="71"/>
        <v>0</v>
      </c>
      <c r="W903" t="b">
        <f>AND(OR(WEEKDAY(C903,2)=5,WEEKDAY(C903,2)=6),'01_Parameters'!$C$11="Enabled")</f>
        <v>1</v>
      </c>
      <c r="X903" t="b">
        <f t="shared" si="72"/>
        <v>0</v>
      </c>
      <c r="Y903" t="b">
        <f t="shared" si="73"/>
        <v>0</v>
      </c>
      <c r="Z903" t="b">
        <f t="shared" si="74"/>
        <v>0</v>
      </c>
    </row>
    <row r="904" spans="1:26" ht="15" customHeight="1">
      <c r="A904" t="s">
        <v>1979</v>
      </c>
      <c r="B904" t="s">
        <v>1982</v>
      </c>
      <c r="C904" s="14">
        <v>45675</v>
      </c>
      <c r="D904" s="14">
        <v>45674</v>
      </c>
      <c r="E904">
        <v>2025</v>
      </c>
      <c r="F904">
        <v>1</v>
      </c>
      <c r="G904" t="s">
        <v>199</v>
      </c>
      <c r="H904" t="s">
        <v>200</v>
      </c>
      <c r="I904" t="s">
        <v>146</v>
      </c>
      <c r="J904" s="15">
        <v>0</v>
      </c>
      <c r="K904" s="15">
        <v>46463.56</v>
      </c>
      <c r="L904" s="15">
        <f t="shared" si="70"/>
        <v>-46463.56</v>
      </c>
      <c r="M904" t="s">
        <v>195</v>
      </c>
      <c r="N904" t="s">
        <v>1981</v>
      </c>
      <c r="O904" t="s">
        <v>197</v>
      </c>
      <c r="P904" t="s">
        <v>151</v>
      </c>
      <c r="Q904" t="s">
        <v>175</v>
      </c>
      <c r="R904" s="16">
        <v>45675.354166666701</v>
      </c>
      <c r="S904" t="s">
        <v>130</v>
      </c>
      <c r="V904" t="b">
        <f t="shared" si="71"/>
        <v>0</v>
      </c>
      <c r="W904" t="b">
        <f>AND(OR(WEEKDAY(C904,2)=5,WEEKDAY(C904,2)=6),'01_Parameters'!$C$11="Enabled")</f>
        <v>1</v>
      </c>
      <c r="X904" t="b">
        <f t="shared" si="72"/>
        <v>0</v>
      </c>
      <c r="Y904" t="b">
        <f t="shared" si="73"/>
        <v>0</v>
      </c>
      <c r="Z904" t="b">
        <f t="shared" si="74"/>
        <v>0</v>
      </c>
    </row>
    <row r="905" spans="1:26" ht="15" customHeight="1">
      <c r="A905" t="s">
        <v>1983</v>
      </c>
      <c r="B905" t="s">
        <v>1984</v>
      </c>
      <c r="C905" s="14">
        <v>45953</v>
      </c>
      <c r="D905" s="14">
        <v>45950</v>
      </c>
      <c r="E905">
        <v>2025</v>
      </c>
      <c r="F905">
        <v>10</v>
      </c>
      <c r="G905" t="s">
        <v>137</v>
      </c>
      <c r="H905" t="s">
        <v>138</v>
      </c>
      <c r="I905" t="s">
        <v>124</v>
      </c>
      <c r="J905" s="15">
        <v>60396.15</v>
      </c>
      <c r="K905" s="15">
        <v>0</v>
      </c>
      <c r="L905" s="15">
        <f t="shared" si="70"/>
        <v>60396.15</v>
      </c>
      <c r="M905" t="s">
        <v>209</v>
      </c>
      <c r="N905" t="s">
        <v>786</v>
      </c>
      <c r="O905" t="s">
        <v>211</v>
      </c>
      <c r="P905" t="s">
        <v>128</v>
      </c>
      <c r="Q905" t="s">
        <v>175</v>
      </c>
      <c r="R905" s="16">
        <v>45953.625</v>
      </c>
      <c r="S905" t="s">
        <v>130</v>
      </c>
      <c r="T905" t="s">
        <v>349</v>
      </c>
      <c r="U905" t="s">
        <v>786</v>
      </c>
      <c r="V905" t="b">
        <f t="shared" si="71"/>
        <v>0</v>
      </c>
      <c r="W905" t="b">
        <f>AND(OR(WEEKDAY(C905,2)=5,WEEKDAY(C905,2)=6),'01_Parameters'!$C$11="Enabled")</f>
        <v>0</v>
      </c>
      <c r="X905" t="b">
        <f t="shared" si="72"/>
        <v>0</v>
      </c>
      <c r="Y905" t="b">
        <f t="shared" si="73"/>
        <v>0</v>
      </c>
      <c r="Z905" t="b">
        <f t="shared" si="74"/>
        <v>0</v>
      </c>
    </row>
    <row r="906" spans="1:26" ht="15" customHeight="1">
      <c r="A906" t="s">
        <v>1983</v>
      </c>
      <c r="B906" t="s">
        <v>1985</v>
      </c>
      <c r="C906" s="14">
        <v>45953</v>
      </c>
      <c r="D906" s="14">
        <v>45950</v>
      </c>
      <c r="E906">
        <v>2025</v>
      </c>
      <c r="F906">
        <v>10</v>
      </c>
      <c r="G906" t="s">
        <v>132</v>
      </c>
      <c r="H906" t="s">
        <v>133</v>
      </c>
      <c r="I906" t="s">
        <v>134</v>
      </c>
      <c r="J906" s="15">
        <v>0</v>
      </c>
      <c r="K906" s="15">
        <v>60396.15</v>
      </c>
      <c r="L906" s="15">
        <f t="shared" si="70"/>
        <v>-60396.15</v>
      </c>
      <c r="M906" t="s">
        <v>209</v>
      </c>
      <c r="N906" t="s">
        <v>786</v>
      </c>
      <c r="O906" t="s">
        <v>211</v>
      </c>
      <c r="P906" t="s">
        <v>128</v>
      </c>
      <c r="Q906" t="s">
        <v>175</v>
      </c>
      <c r="R906" s="16">
        <v>45953.625</v>
      </c>
      <c r="S906" t="s">
        <v>130</v>
      </c>
      <c r="T906" t="s">
        <v>349</v>
      </c>
      <c r="U906" t="s">
        <v>786</v>
      </c>
      <c r="V906" t="b">
        <f t="shared" si="71"/>
        <v>0</v>
      </c>
      <c r="W906" t="b">
        <f>AND(OR(WEEKDAY(C906,2)=5,WEEKDAY(C906,2)=6),'01_Parameters'!$C$11="Enabled")</f>
        <v>0</v>
      </c>
      <c r="X906" t="b">
        <f t="shared" si="72"/>
        <v>0</v>
      </c>
      <c r="Y906" t="b">
        <f t="shared" si="73"/>
        <v>0</v>
      </c>
      <c r="Z906" t="b">
        <f t="shared" si="74"/>
        <v>0</v>
      </c>
    </row>
    <row r="907" spans="1:26" ht="15" customHeight="1">
      <c r="A907" t="s">
        <v>1986</v>
      </c>
      <c r="B907" t="s">
        <v>1987</v>
      </c>
      <c r="C907" s="14">
        <v>45956</v>
      </c>
      <c r="D907" s="14">
        <v>45956</v>
      </c>
      <c r="E907">
        <v>2025</v>
      </c>
      <c r="F907">
        <v>10</v>
      </c>
      <c r="G907" t="s">
        <v>179</v>
      </c>
      <c r="H907" t="s">
        <v>180</v>
      </c>
      <c r="I907" t="s">
        <v>124</v>
      </c>
      <c r="J907" s="15">
        <v>30267.1</v>
      </c>
      <c r="K907" s="15">
        <v>0</v>
      </c>
      <c r="L907" s="15">
        <f t="shared" si="70"/>
        <v>30267.1</v>
      </c>
      <c r="M907" t="s">
        <v>181</v>
      </c>
      <c r="N907" t="s">
        <v>1988</v>
      </c>
      <c r="O907" t="s">
        <v>183</v>
      </c>
      <c r="P907" t="s">
        <v>150</v>
      </c>
      <c r="Q907" t="s">
        <v>129</v>
      </c>
      <c r="R907" s="16">
        <v>45956.3125</v>
      </c>
      <c r="S907" t="s">
        <v>130</v>
      </c>
      <c r="V907" t="b">
        <f t="shared" si="71"/>
        <v>0</v>
      </c>
      <c r="W907" t="b">
        <f>AND(OR(WEEKDAY(C907,2)=5,WEEKDAY(C907,2)=6),'01_Parameters'!$C$11="Enabled")</f>
        <v>0</v>
      </c>
      <c r="X907" t="b">
        <f t="shared" si="72"/>
        <v>1</v>
      </c>
      <c r="Y907" t="b">
        <f t="shared" si="73"/>
        <v>0</v>
      </c>
      <c r="Z907" t="b">
        <f t="shared" si="74"/>
        <v>0</v>
      </c>
    </row>
    <row r="908" spans="1:26" ht="15" customHeight="1">
      <c r="A908" t="s">
        <v>1986</v>
      </c>
      <c r="B908" t="s">
        <v>1989</v>
      </c>
      <c r="C908" s="14">
        <v>45956</v>
      </c>
      <c r="D908" s="14">
        <v>45956</v>
      </c>
      <c r="E908">
        <v>2025</v>
      </c>
      <c r="F908">
        <v>10</v>
      </c>
      <c r="G908" t="s">
        <v>185</v>
      </c>
      <c r="H908" t="s">
        <v>186</v>
      </c>
      <c r="I908" t="s">
        <v>134</v>
      </c>
      <c r="J908" s="15">
        <v>0</v>
      </c>
      <c r="K908" s="15">
        <v>30267.1</v>
      </c>
      <c r="L908" s="15">
        <f t="shared" si="70"/>
        <v>-30267.1</v>
      </c>
      <c r="M908" t="s">
        <v>181</v>
      </c>
      <c r="N908" t="s">
        <v>1988</v>
      </c>
      <c r="O908" t="s">
        <v>183</v>
      </c>
      <c r="P908" t="s">
        <v>150</v>
      </c>
      <c r="Q908" t="s">
        <v>129</v>
      </c>
      <c r="R908" s="16">
        <v>45956.3125</v>
      </c>
      <c r="S908" t="s">
        <v>130</v>
      </c>
      <c r="V908" t="b">
        <f t="shared" si="71"/>
        <v>0</v>
      </c>
      <c r="W908" t="b">
        <f>AND(OR(WEEKDAY(C908,2)=5,WEEKDAY(C908,2)=6),'01_Parameters'!$C$11="Enabled")</f>
        <v>0</v>
      </c>
      <c r="X908" t="b">
        <f t="shared" si="72"/>
        <v>1</v>
      </c>
      <c r="Y908" t="b">
        <f t="shared" si="73"/>
        <v>0</v>
      </c>
      <c r="Z908" t="b">
        <f t="shared" si="74"/>
        <v>0</v>
      </c>
    </row>
    <row r="909" spans="1:26" ht="15" customHeight="1">
      <c r="A909" t="s">
        <v>1990</v>
      </c>
      <c r="B909" t="s">
        <v>1991</v>
      </c>
      <c r="C909" s="14">
        <v>45734</v>
      </c>
      <c r="D909" s="14">
        <v>45731</v>
      </c>
      <c r="E909">
        <v>2025</v>
      </c>
      <c r="F909">
        <v>3</v>
      </c>
      <c r="G909" t="s">
        <v>179</v>
      </c>
      <c r="H909" t="s">
        <v>180</v>
      </c>
      <c r="I909" t="s">
        <v>124</v>
      </c>
      <c r="J909" s="15">
        <v>75823.87</v>
      </c>
      <c r="K909" s="15">
        <v>0</v>
      </c>
      <c r="L909" s="15">
        <f t="shared" si="70"/>
        <v>75823.87</v>
      </c>
      <c r="M909" t="s">
        <v>181</v>
      </c>
      <c r="N909" t="s">
        <v>1992</v>
      </c>
      <c r="O909" t="s">
        <v>183</v>
      </c>
      <c r="P909" t="s">
        <v>151</v>
      </c>
      <c r="Q909" t="s">
        <v>150</v>
      </c>
      <c r="R909" s="16">
        <v>45734.375</v>
      </c>
      <c r="S909" t="s">
        <v>130</v>
      </c>
      <c r="V909" t="b">
        <f t="shared" si="71"/>
        <v>0</v>
      </c>
      <c r="W909" t="b">
        <f>AND(OR(WEEKDAY(C909,2)=5,WEEKDAY(C909,2)=6),'01_Parameters'!$C$11="Enabled")</f>
        <v>0</v>
      </c>
      <c r="X909" t="b">
        <f t="shared" si="72"/>
        <v>0</v>
      </c>
      <c r="Y909" t="b">
        <f t="shared" si="73"/>
        <v>0</v>
      </c>
      <c r="Z909" t="b">
        <f t="shared" si="74"/>
        <v>0</v>
      </c>
    </row>
    <row r="910" spans="1:26" ht="15" customHeight="1">
      <c r="A910" t="s">
        <v>1990</v>
      </c>
      <c r="B910" t="s">
        <v>1993</v>
      </c>
      <c r="C910" s="14">
        <v>45734</v>
      </c>
      <c r="D910" s="14">
        <v>45731</v>
      </c>
      <c r="E910">
        <v>2025</v>
      </c>
      <c r="F910">
        <v>3</v>
      </c>
      <c r="G910" t="s">
        <v>185</v>
      </c>
      <c r="H910" t="s">
        <v>186</v>
      </c>
      <c r="I910" t="s">
        <v>134</v>
      </c>
      <c r="J910" s="15">
        <v>0</v>
      </c>
      <c r="K910" s="15">
        <v>75823.87</v>
      </c>
      <c r="L910" s="15">
        <f t="shared" si="70"/>
        <v>-75823.87</v>
      </c>
      <c r="M910" t="s">
        <v>181</v>
      </c>
      <c r="N910" t="s">
        <v>1992</v>
      </c>
      <c r="O910" t="s">
        <v>183</v>
      </c>
      <c r="P910" t="s">
        <v>151</v>
      </c>
      <c r="Q910" t="s">
        <v>150</v>
      </c>
      <c r="R910" s="16">
        <v>45734.375</v>
      </c>
      <c r="S910" t="s">
        <v>130</v>
      </c>
      <c r="V910" t="b">
        <f t="shared" si="71"/>
        <v>0</v>
      </c>
      <c r="W910" t="b">
        <f>AND(OR(WEEKDAY(C910,2)=5,WEEKDAY(C910,2)=6),'01_Parameters'!$C$11="Enabled")</f>
        <v>0</v>
      </c>
      <c r="X910" t="b">
        <f t="shared" si="72"/>
        <v>0</v>
      </c>
      <c r="Y910" t="b">
        <f t="shared" si="73"/>
        <v>0</v>
      </c>
      <c r="Z910" t="b">
        <f t="shared" si="74"/>
        <v>0</v>
      </c>
    </row>
    <row r="911" spans="1:26" ht="15" customHeight="1">
      <c r="A911" t="s">
        <v>1994</v>
      </c>
      <c r="B911" t="s">
        <v>1995</v>
      </c>
      <c r="C911" s="14">
        <v>45902</v>
      </c>
      <c r="D911" s="14">
        <v>45902</v>
      </c>
      <c r="E911">
        <v>2025</v>
      </c>
      <c r="F911">
        <v>9</v>
      </c>
      <c r="G911" t="s">
        <v>179</v>
      </c>
      <c r="H911" t="s">
        <v>180</v>
      </c>
      <c r="I911" t="s">
        <v>124</v>
      </c>
      <c r="J911" s="15">
        <v>6148.64</v>
      </c>
      <c r="K911" s="15">
        <v>0</v>
      </c>
      <c r="L911" s="15">
        <f t="shared" si="70"/>
        <v>6148.64</v>
      </c>
      <c r="M911" t="s">
        <v>181</v>
      </c>
      <c r="N911" t="s">
        <v>1996</v>
      </c>
      <c r="O911" t="s">
        <v>183</v>
      </c>
      <c r="P911" t="s">
        <v>129</v>
      </c>
      <c r="Q911" t="s">
        <v>128</v>
      </c>
      <c r="R911" s="16">
        <v>45902.833333333299</v>
      </c>
      <c r="S911" t="s">
        <v>130</v>
      </c>
      <c r="V911" t="b">
        <f t="shared" si="71"/>
        <v>0</v>
      </c>
      <c r="W911" t="b">
        <f>AND(OR(WEEKDAY(C911,2)=5,WEEKDAY(C911,2)=6),'01_Parameters'!$C$11="Enabled")</f>
        <v>0</v>
      </c>
      <c r="X911" t="b">
        <f t="shared" si="72"/>
        <v>1</v>
      </c>
      <c r="Y911" t="b">
        <f t="shared" si="73"/>
        <v>0</v>
      </c>
      <c r="Z911" t="b">
        <f t="shared" si="74"/>
        <v>0</v>
      </c>
    </row>
    <row r="912" spans="1:26" ht="15" customHeight="1">
      <c r="A912" t="s">
        <v>1994</v>
      </c>
      <c r="B912" t="s">
        <v>1997</v>
      </c>
      <c r="C912" s="14">
        <v>45902</v>
      </c>
      <c r="D912" s="14">
        <v>45902</v>
      </c>
      <c r="E912">
        <v>2025</v>
      </c>
      <c r="F912">
        <v>9</v>
      </c>
      <c r="G912" t="s">
        <v>185</v>
      </c>
      <c r="H912" t="s">
        <v>186</v>
      </c>
      <c r="I912" t="s">
        <v>134</v>
      </c>
      <c r="J912" s="15">
        <v>0</v>
      </c>
      <c r="K912" s="15">
        <v>6148.64</v>
      </c>
      <c r="L912" s="15">
        <f t="shared" si="70"/>
        <v>-6148.64</v>
      </c>
      <c r="M912" t="s">
        <v>181</v>
      </c>
      <c r="N912" t="s">
        <v>1996</v>
      </c>
      <c r="O912" t="s">
        <v>183</v>
      </c>
      <c r="P912" t="s">
        <v>129</v>
      </c>
      <c r="Q912" t="s">
        <v>128</v>
      </c>
      <c r="R912" s="16">
        <v>45902.833333333299</v>
      </c>
      <c r="S912" t="s">
        <v>130</v>
      </c>
      <c r="V912" t="b">
        <f t="shared" si="71"/>
        <v>0</v>
      </c>
      <c r="W912" t="b">
        <f>AND(OR(WEEKDAY(C912,2)=5,WEEKDAY(C912,2)=6),'01_Parameters'!$C$11="Enabled")</f>
        <v>0</v>
      </c>
      <c r="X912" t="b">
        <f t="shared" si="72"/>
        <v>1</v>
      </c>
      <c r="Y912" t="b">
        <f t="shared" si="73"/>
        <v>0</v>
      </c>
      <c r="Z912" t="b">
        <f t="shared" si="74"/>
        <v>0</v>
      </c>
    </row>
    <row r="913" spans="1:26" ht="15" customHeight="1">
      <c r="A913" t="s">
        <v>1998</v>
      </c>
      <c r="B913" t="s">
        <v>1999</v>
      </c>
      <c r="C913" s="14">
        <v>45922</v>
      </c>
      <c r="D913" s="14">
        <v>45917</v>
      </c>
      <c r="E913">
        <v>2025</v>
      </c>
      <c r="F913">
        <v>9</v>
      </c>
      <c r="G913" t="s">
        <v>137</v>
      </c>
      <c r="H913" t="s">
        <v>138</v>
      </c>
      <c r="I913" t="s">
        <v>124</v>
      </c>
      <c r="J913" s="15">
        <v>70937.25</v>
      </c>
      <c r="K913" s="15">
        <v>0</v>
      </c>
      <c r="L913" s="15">
        <f t="shared" si="70"/>
        <v>70937.25</v>
      </c>
      <c r="M913" t="s">
        <v>209</v>
      </c>
      <c r="N913" t="s">
        <v>2000</v>
      </c>
      <c r="O913" t="s">
        <v>211</v>
      </c>
      <c r="P913" t="s">
        <v>175</v>
      </c>
      <c r="Q913" t="s">
        <v>151</v>
      </c>
      <c r="R913" s="16">
        <v>45922.302083333299</v>
      </c>
      <c r="S913" t="s">
        <v>130</v>
      </c>
      <c r="T913" t="s">
        <v>887</v>
      </c>
      <c r="U913" t="s">
        <v>2000</v>
      </c>
      <c r="V913" t="b">
        <f t="shared" si="71"/>
        <v>0</v>
      </c>
      <c r="W913" t="b">
        <f>AND(OR(WEEKDAY(C913,2)=5,WEEKDAY(C913,2)=6),'01_Parameters'!$C$11="Enabled")</f>
        <v>0</v>
      </c>
      <c r="X913" t="b">
        <f t="shared" si="72"/>
        <v>1</v>
      </c>
      <c r="Y913" t="b">
        <f t="shared" si="73"/>
        <v>0</v>
      </c>
      <c r="Z913" t="b">
        <f t="shared" si="74"/>
        <v>0</v>
      </c>
    </row>
    <row r="914" spans="1:26" ht="15" customHeight="1">
      <c r="A914" t="s">
        <v>1998</v>
      </c>
      <c r="B914" t="s">
        <v>2001</v>
      </c>
      <c r="C914" s="14">
        <v>45922</v>
      </c>
      <c r="D914" s="14">
        <v>45917</v>
      </c>
      <c r="E914">
        <v>2025</v>
      </c>
      <c r="F914">
        <v>9</v>
      </c>
      <c r="G914" t="s">
        <v>132</v>
      </c>
      <c r="H914" t="s">
        <v>133</v>
      </c>
      <c r="I914" t="s">
        <v>134</v>
      </c>
      <c r="J914" s="15">
        <v>0</v>
      </c>
      <c r="K914" s="15">
        <v>70937.25</v>
      </c>
      <c r="L914" s="15">
        <f t="shared" si="70"/>
        <v>-70937.25</v>
      </c>
      <c r="M914" t="s">
        <v>209</v>
      </c>
      <c r="N914" t="s">
        <v>2000</v>
      </c>
      <c r="O914" t="s">
        <v>211</v>
      </c>
      <c r="P914" t="s">
        <v>175</v>
      </c>
      <c r="Q914" t="s">
        <v>151</v>
      </c>
      <c r="R914" s="16">
        <v>45922.302083333299</v>
      </c>
      <c r="S914" t="s">
        <v>130</v>
      </c>
      <c r="T914" t="s">
        <v>887</v>
      </c>
      <c r="U914" t="s">
        <v>2000</v>
      </c>
      <c r="V914" t="b">
        <f t="shared" si="71"/>
        <v>0</v>
      </c>
      <c r="W914" t="b">
        <f>AND(OR(WEEKDAY(C914,2)=5,WEEKDAY(C914,2)=6),'01_Parameters'!$C$11="Enabled")</f>
        <v>0</v>
      </c>
      <c r="X914" t="b">
        <f t="shared" si="72"/>
        <v>1</v>
      </c>
      <c r="Y914" t="b">
        <f t="shared" si="73"/>
        <v>0</v>
      </c>
      <c r="Z914" t="b">
        <f t="shared" si="74"/>
        <v>0</v>
      </c>
    </row>
    <row r="915" spans="1:26" ht="15" customHeight="1">
      <c r="A915" t="s">
        <v>2002</v>
      </c>
      <c r="B915" t="s">
        <v>2003</v>
      </c>
      <c r="C915" s="14">
        <v>45738</v>
      </c>
      <c r="D915" s="14">
        <v>45734</v>
      </c>
      <c r="E915">
        <v>2025</v>
      </c>
      <c r="F915">
        <v>3</v>
      </c>
      <c r="G915" t="s">
        <v>193</v>
      </c>
      <c r="H915" t="s">
        <v>194</v>
      </c>
      <c r="I915" t="s">
        <v>124</v>
      </c>
      <c r="J915" s="15">
        <v>46503.87</v>
      </c>
      <c r="K915" s="15">
        <v>0</v>
      </c>
      <c r="L915" s="15">
        <f t="shared" si="70"/>
        <v>46503.87</v>
      </c>
      <c r="M915" t="s">
        <v>195</v>
      </c>
      <c r="N915" t="s">
        <v>2004</v>
      </c>
      <c r="O915" t="s">
        <v>197</v>
      </c>
      <c r="P915" t="s">
        <v>175</v>
      </c>
      <c r="Q915" t="s">
        <v>151</v>
      </c>
      <c r="R915" s="16">
        <v>45738.552083333299</v>
      </c>
      <c r="S915" t="s">
        <v>130</v>
      </c>
      <c r="V915" t="b">
        <f t="shared" si="71"/>
        <v>0</v>
      </c>
      <c r="W915" t="b">
        <f>AND(OR(WEEKDAY(C915,2)=5,WEEKDAY(C915,2)=6),'01_Parameters'!$C$11="Enabled")</f>
        <v>1</v>
      </c>
      <c r="X915" t="b">
        <f t="shared" si="72"/>
        <v>0</v>
      </c>
      <c r="Y915" t="b">
        <f t="shared" si="73"/>
        <v>0</v>
      </c>
      <c r="Z915" t="b">
        <f t="shared" si="74"/>
        <v>0</v>
      </c>
    </row>
    <row r="916" spans="1:26" ht="15" customHeight="1">
      <c r="A916" t="s">
        <v>2002</v>
      </c>
      <c r="B916" t="s">
        <v>2005</v>
      </c>
      <c r="C916" s="14">
        <v>45738</v>
      </c>
      <c r="D916" s="14">
        <v>45734</v>
      </c>
      <c r="E916">
        <v>2025</v>
      </c>
      <c r="F916">
        <v>3</v>
      </c>
      <c r="G916" t="s">
        <v>199</v>
      </c>
      <c r="H916" t="s">
        <v>200</v>
      </c>
      <c r="I916" t="s">
        <v>146</v>
      </c>
      <c r="J916" s="15">
        <v>0</v>
      </c>
      <c r="K916" s="15">
        <v>46503.87</v>
      </c>
      <c r="L916" s="15">
        <f t="shared" si="70"/>
        <v>-46503.87</v>
      </c>
      <c r="M916" t="s">
        <v>195</v>
      </c>
      <c r="N916" t="s">
        <v>2004</v>
      </c>
      <c r="O916" t="s">
        <v>197</v>
      </c>
      <c r="P916" t="s">
        <v>175</v>
      </c>
      <c r="Q916" t="s">
        <v>151</v>
      </c>
      <c r="R916" s="16">
        <v>45738.552083333299</v>
      </c>
      <c r="S916" t="s">
        <v>130</v>
      </c>
      <c r="V916" t="b">
        <f t="shared" si="71"/>
        <v>0</v>
      </c>
      <c r="W916" t="b">
        <f>AND(OR(WEEKDAY(C916,2)=5,WEEKDAY(C916,2)=6),'01_Parameters'!$C$11="Enabled")</f>
        <v>1</v>
      </c>
      <c r="X916" t="b">
        <f t="shared" si="72"/>
        <v>0</v>
      </c>
      <c r="Y916" t="b">
        <f t="shared" si="73"/>
        <v>0</v>
      </c>
      <c r="Z916" t="b">
        <f t="shared" si="74"/>
        <v>0</v>
      </c>
    </row>
    <row r="917" spans="1:26" ht="15" customHeight="1">
      <c r="A917" t="s">
        <v>2006</v>
      </c>
      <c r="B917" t="s">
        <v>2007</v>
      </c>
      <c r="C917" s="14">
        <v>46002</v>
      </c>
      <c r="D917" s="14">
        <v>46000</v>
      </c>
      <c r="E917">
        <v>2025</v>
      </c>
      <c r="F917">
        <v>12</v>
      </c>
      <c r="G917" t="s">
        <v>144</v>
      </c>
      <c r="H917" t="s">
        <v>145</v>
      </c>
      <c r="I917" t="s">
        <v>146</v>
      </c>
      <c r="J917" s="15">
        <v>36210.79</v>
      </c>
      <c r="K917" s="15">
        <v>0</v>
      </c>
      <c r="L917" s="15">
        <f t="shared" si="70"/>
        <v>36210.79</v>
      </c>
      <c r="M917" t="s">
        <v>147</v>
      </c>
      <c r="N917" t="s">
        <v>2008</v>
      </c>
      <c r="O917" t="s">
        <v>149</v>
      </c>
      <c r="P917" t="s">
        <v>140</v>
      </c>
      <c r="Q917" t="s">
        <v>150</v>
      </c>
      <c r="R917" s="16">
        <v>46002.708333333299</v>
      </c>
      <c r="S917" t="s">
        <v>130</v>
      </c>
      <c r="V917" t="b">
        <f t="shared" si="71"/>
        <v>0</v>
      </c>
      <c r="W917" t="b">
        <f>AND(OR(WEEKDAY(C917,2)=5,WEEKDAY(C917,2)=6),'01_Parameters'!$C$11="Enabled")</f>
        <v>0</v>
      </c>
      <c r="X917" t="b">
        <f t="shared" si="72"/>
        <v>0</v>
      </c>
      <c r="Y917" t="b">
        <f t="shared" si="73"/>
        <v>0</v>
      </c>
      <c r="Z917" t="b">
        <f t="shared" si="74"/>
        <v>0</v>
      </c>
    </row>
    <row r="918" spans="1:26" ht="15" customHeight="1">
      <c r="A918" t="s">
        <v>2006</v>
      </c>
      <c r="B918" t="s">
        <v>2009</v>
      </c>
      <c r="C918" s="14">
        <v>46002</v>
      </c>
      <c r="D918" s="14">
        <v>46000</v>
      </c>
      <c r="E918">
        <v>2025</v>
      </c>
      <c r="F918">
        <v>12</v>
      </c>
      <c r="G918" t="s">
        <v>153</v>
      </c>
      <c r="H918" t="s">
        <v>154</v>
      </c>
      <c r="I918" t="s">
        <v>155</v>
      </c>
      <c r="J918" s="15">
        <v>0</v>
      </c>
      <c r="K918" s="15">
        <v>36210.79</v>
      </c>
      <c r="L918" s="15">
        <f t="shared" si="70"/>
        <v>-36210.79</v>
      </c>
      <c r="M918" t="s">
        <v>147</v>
      </c>
      <c r="N918" t="s">
        <v>2008</v>
      </c>
      <c r="O918" t="s">
        <v>149</v>
      </c>
      <c r="P918" t="s">
        <v>140</v>
      </c>
      <c r="Q918" t="s">
        <v>150</v>
      </c>
      <c r="R918" s="16">
        <v>46002.708333333299</v>
      </c>
      <c r="S918" t="s">
        <v>130</v>
      </c>
      <c r="V918" t="b">
        <f t="shared" si="71"/>
        <v>0</v>
      </c>
      <c r="W918" t="b">
        <f>AND(OR(WEEKDAY(C918,2)=5,WEEKDAY(C918,2)=6),'01_Parameters'!$C$11="Enabled")</f>
        <v>0</v>
      </c>
      <c r="X918" t="b">
        <f t="shared" si="72"/>
        <v>0</v>
      </c>
      <c r="Y918" t="b">
        <f t="shared" si="73"/>
        <v>0</v>
      </c>
      <c r="Z918" t="b">
        <f t="shared" si="74"/>
        <v>0</v>
      </c>
    </row>
    <row r="919" spans="1:26" ht="15" customHeight="1">
      <c r="A919" t="s">
        <v>2010</v>
      </c>
      <c r="B919" t="s">
        <v>2011</v>
      </c>
      <c r="C919" s="14">
        <v>45905</v>
      </c>
      <c r="D919" s="14">
        <v>45903</v>
      </c>
      <c r="E919">
        <v>2025</v>
      </c>
      <c r="F919">
        <v>9</v>
      </c>
      <c r="G919" t="s">
        <v>122</v>
      </c>
      <c r="H919" t="s">
        <v>123</v>
      </c>
      <c r="I919" t="s">
        <v>124</v>
      </c>
      <c r="J919" s="15">
        <v>6562.09</v>
      </c>
      <c r="K919" s="15">
        <v>0</v>
      </c>
      <c r="L919" s="15">
        <f t="shared" si="70"/>
        <v>6562.09</v>
      </c>
      <c r="M919" t="s">
        <v>209</v>
      </c>
      <c r="N919" t="s">
        <v>2012</v>
      </c>
      <c r="O919" t="s">
        <v>211</v>
      </c>
      <c r="P919" t="s">
        <v>128</v>
      </c>
      <c r="Q919" t="s">
        <v>140</v>
      </c>
      <c r="R919" s="16">
        <v>45905.302083333299</v>
      </c>
      <c r="S919" t="s">
        <v>130</v>
      </c>
      <c r="T919" t="s">
        <v>313</v>
      </c>
      <c r="U919" t="s">
        <v>2012</v>
      </c>
      <c r="V919" t="b">
        <f t="shared" si="71"/>
        <v>0</v>
      </c>
      <c r="W919" t="b">
        <f>AND(OR(WEEKDAY(C919,2)=5,WEEKDAY(C919,2)=6),'01_Parameters'!$C$11="Enabled")</f>
        <v>1</v>
      </c>
      <c r="X919" t="b">
        <f t="shared" si="72"/>
        <v>1</v>
      </c>
      <c r="Y919" t="b">
        <f t="shared" si="73"/>
        <v>0</v>
      </c>
      <c r="Z919" t="b">
        <f t="shared" si="74"/>
        <v>0</v>
      </c>
    </row>
    <row r="920" spans="1:26" ht="15" customHeight="1">
      <c r="A920" t="s">
        <v>2010</v>
      </c>
      <c r="B920" t="s">
        <v>2013</v>
      </c>
      <c r="C920" s="14">
        <v>45905</v>
      </c>
      <c r="D920" s="14">
        <v>45903</v>
      </c>
      <c r="E920">
        <v>2025</v>
      </c>
      <c r="F920">
        <v>9</v>
      </c>
      <c r="G920" t="s">
        <v>132</v>
      </c>
      <c r="H920" t="s">
        <v>133</v>
      </c>
      <c r="I920" t="s">
        <v>134</v>
      </c>
      <c r="J920" s="15">
        <v>0</v>
      </c>
      <c r="K920" s="15">
        <v>6562.09</v>
      </c>
      <c r="L920" s="15">
        <f t="shared" si="70"/>
        <v>-6562.09</v>
      </c>
      <c r="M920" t="s">
        <v>209</v>
      </c>
      <c r="N920" t="s">
        <v>2012</v>
      </c>
      <c r="O920" t="s">
        <v>211</v>
      </c>
      <c r="P920" t="s">
        <v>128</v>
      </c>
      <c r="Q920" t="s">
        <v>140</v>
      </c>
      <c r="R920" s="16">
        <v>45905.302083333299</v>
      </c>
      <c r="S920" t="s">
        <v>130</v>
      </c>
      <c r="T920" t="s">
        <v>313</v>
      </c>
      <c r="U920" t="s">
        <v>2012</v>
      </c>
      <c r="V920" t="b">
        <f t="shared" si="71"/>
        <v>0</v>
      </c>
      <c r="W920" t="b">
        <f>AND(OR(WEEKDAY(C920,2)=5,WEEKDAY(C920,2)=6),'01_Parameters'!$C$11="Enabled")</f>
        <v>1</v>
      </c>
      <c r="X920" t="b">
        <f t="shared" si="72"/>
        <v>1</v>
      </c>
      <c r="Y920" t="b">
        <f t="shared" si="73"/>
        <v>0</v>
      </c>
      <c r="Z920" t="b">
        <f t="shared" si="74"/>
        <v>0</v>
      </c>
    </row>
    <row r="921" spans="1:26" ht="15" customHeight="1">
      <c r="A921" t="s">
        <v>2014</v>
      </c>
      <c r="B921" t="s">
        <v>2015</v>
      </c>
      <c r="C921" s="14">
        <v>46016</v>
      </c>
      <c r="D921" s="14">
        <v>46016</v>
      </c>
      <c r="E921">
        <v>2025</v>
      </c>
      <c r="F921">
        <v>12</v>
      </c>
      <c r="G921" t="s">
        <v>158</v>
      </c>
      <c r="H921" t="s">
        <v>159</v>
      </c>
      <c r="I921" t="s">
        <v>124</v>
      </c>
      <c r="J921" s="15">
        <v>29164.82</v>
      </c>
      <c r="K921" s="15">
        <v>0</v>
      </c>
      <c r="L921" s="15">
        <f t="shared" si="70"/>
        <v>29164.82</v>
      </c>
      <c r="M921" t="s">
        <v>160</v>
      </c>
      <c r="N921" t="s">
        <v>2016</v>
      </c>
      <c r="O921" t="s">
        <v>162</v>
      </c>
      <c r="P921" t="s">
        <v>129</v>
      </c>
      <c r="Q921" t="s">
        <v>128</v>
      </c>
      <c r="R921" s="16">
        <v>46016.40625</v>
      </c>
      <c r="S921" t="s">
        <v>130</v>
      </c>
      <c r="V921" t="b">
        <f t="shared" si="71"/>
        <v>1</v>
      </c>
      <c r="W921" t="b">
        <f>AND(OR(WEEKDAY(C921,2)=5,WEEKDAY(C921,2)=6),'01_Parameters'!$C$11="Enabled")</f>
        <v>0</v>
      </c>
      <c r="X921" t="b">
        <f t="shared" si="72"/>
        <v>0</v>
      </c>
      <c r="Y921" t="b">
        <f t="shared" si="73"/>
        <v>0</v>
      </c>
      <c r="Z921" t="b">
        <f t="shared" si="74"/>
        <v>0</v>
      </c>
    </row>
    <row r="922" spans="1:26" ht="15" customHeight="1">
      <c r="A922" t="s">
        <v>2014</v>
      </c>
      <c r="B922" t="s">
        <v>2017</v>
      </c>
      <c r="C922" s="14">
        <v>46016</v>
      </c>
      <c r="D922" s="14">
        <v>46016</v>
      </c>
      <c r="E922">
        <v>2025</v>
      </c>
      <c r="F922">
        <v>12</v>
      </c>
      <c r="G922" t="s">
        <v>164</v>
      </c>
      <c r="H922" t="s">
        <v>165</v>
      </c>
      <c r="I922" t="s">
        <v>146</v>
      </c>
      <c r="J922" s="15">
        <v>0</v>
      </c>
      <c r="K922" s="15">
        <v>29164.82</v>
      </c>
      <c r="L922" s="15">
        <f t="shared" si="70"/>
        <v>-29164.82</v>
      </c>
      <c r="M922" t="s">
        <v>160</v>
      </c>
      <c r="N922" t="s">
        <v>2016</v>
      </c>
      <c r="O922" t="s">
        <v>162</v>
      </c>
      <c r="P922" t="s">
        <v>129</v>
      </c>
      <c r="Q922" t="s">
        <v>128</v>
      </c>
      <c r="R922" s="16">
        <v>46016.40625</v>
      </c>
      <c r="S922" t="s">
        <v>130</v>
      </c>
      <c r="V922" t="b">
        <f t="shared" si="71"/>
        <v>1</v>
      </c>
      <c r="W922" t="b">
        <f>AND(OR(WEEKDAY(C922,2)=5,WEEKDAY(C922,2)=6),'01_Parameters'!$C$11="Enabled")</f>
        <v>0</v>
      </c>
      <c r="X922" t="b">
        <f t="shared" si="72"/>
        <v>0</v>
      </c>
      <c r="Y922" t="b">
        <f t="shared" si="73"/>
        <v>0</v>
      </c>
      <c r="Z922" t="b">
        <f t="shared" si="74"/>
        <v>0</v>
      </c>
    </row>
    <row r="923" spans="1:26" ht="15" customHeight="1">
      <c r="A923" t="s">
        <v>2018</v>
      </c>
      <c r="B923" t="s">
        <v>2019</v>
      </c>
      <c r="C923" s="14">
        <v>45883</v>
      </c>
      <c r="D923" s="14">
        <v>45880</v>
      </c>
      <c r="E923">
        <v>2025</v>
      </c>
      <c r="F923">
        <v>8</v>
      </c>
      <c r="G923" t="s">
        <v>158</v>
      </c>
      <c r="H923" t="s">
        <v>159</v>
      </c>
      <c r="I923" t="s">
        <v>124</v>
      </c>
      <c r="J923" s="15">
        <v>31124.81</v>
      </c>
      <c r="K923" s="15">
        <v>0</v>
      </c>
      <c r="L923" s="15">
        <f t="shared" si="70"/>
        <v>31124.81</v>
      </c>
      <c r="M923" t="s">
        <v>160</v>
      </c>
      <c r="N923" t="s">
        <v>2020</v>
      </c>
      <c r="O923" t="s">
        <v>162</v>
      </c>
      <c r="P923" t="s">
        <v>128</v>
      </c>
      <c r="Q923" t="s">
        <v>150</v>
      </c>
      <c r="R923" s="16">
        <v>45883.260416666701</v>
      </c>
      <c r="S923" t="s">
        <v>130</v>
      </c>
      <c r="V923" t="b">
        <f t="shared" si="71"/>
        <v>0</v>
      </c>
      <c r="W923" t="b">
        <f>AND(OR(WEEKDAY(C923,2)=5,WEEKDAY(C923,2)=6),'01_Parameters'!$C$11="Enabled")</f>
        <v>0</v>
      </c>
      <c r="X923" t="b">
        <f t="shared" si="72"/>
        <v>1</v>
      </c>
      <c r="Y923" t="b">
        <f t="shared" si="73"/>
        <v>0</v>
      </c>
      <c r="Z923" t="b">
        <f t="shared" si="74"/>
        <v>0</v>
      </c>
    </row>
    <row r="924" spans="1:26" ht="15" customHeight="1">
      <c r="A924" t="s">
        <v>2018</v>
      </c>
      <c r="B924" t="s">
        <v>2021</v>
      </c>
      <c r="C924" s="14">
        <v>45883</v>
      </c>
      <c r="D924" s="14">
        <v>45880</v>
      </c>
      <c r="E924">
        <v>2025</v>
      </c>
      <c r="F924">
        <v>8</v>
      </c>
      <c r="G924" t="s">
        <v>164</v>
      </c>
      <c r="H924" t="s">
        <v>165</v>
      </c>
      <c r="I924" t="s">
        <v>146</v>
      </c>
      <c r="J924" s="15">
        <v>0</v>
      </c>
      <c r="K924" s="15">
        <v>31124.81</v>
      </c>
      <c r="L924" s="15">
        <f t="shared" si="70"/>
        <v>-31124.81</v>
      </c>
      <c r="M924" t="s">
        <v>160</v>
      </c>
      <c r="N924" t="s">
        <v>2020</v>
      </c>
      <c r="O924" t="s">
        <v>162</v>
      </c>
      <c r="P924" t="s">
        <v>128</v>
      </c>
      <c r="Q924" t="s">
        <v>150</v>
      </c>
      <c r="R924" s="16">
        <v>45883.260416666701</v>
      </c>
      <c r="S924" t="s">
        <v>130</v>
      </c>
      <c r="V924" t="b">
        <f t="shared" si="71"/>
        <v>0</v>
      </c>
      <c r="W924" t="b">
        <f>AND(OR(WEEKDAY(C924,2)=5,WEEKDAY(C924,2)=6),'01_Parameters'!$C$11="Enabled")</f>
        <v>0</v>
      </c>
      <c r="X924" t="b">
        <f t="shared" si="72"/>
        <v>1</v>
      </c>
      <c r="Y924" t="b">
        <f t="shared" si="73"/>
        <v>0</v>
      </c>
      <c r="Z924" t="b">
        <f t="shared" si="74"/>
        <v>0</v>
      </c>
    </row>
    <row r="925" spans="1:26" ht="15" customHeight="1">
      <c r="A925" t="s">
        <v>2022</v>
      </c>
      <c r="B925" t="s">
        <v>2023</v>
      </c>
      <c r="C925" s="14">
        <v>45814</v>
      </c>
      <c r="D925" s="14">
        <v>45814</v>
      </c>
      <c r="E925">
        <v>2025</v>
      </c>
      <c r="F925">
        <v>6</v>
      </c>
      <c r="G925" t="s">
        <v>172</v>
      </c>
      <c r="H925" t="s">
        <v>173</v>
      </c>
      <c r="I925" t="s">
        <v>124</v>
      </c>
      <c r="J925" s="15">
        <v>95591.86</v>
      </c>
      <c r="K925" s="15">
        <v>0</v>
      </c>
      <c r="L925" s="15">
        <f t="shared" si="70"/>
        <v>95591.86</v>
      </c>
      <c r="M925" t="s">
        <v>125</v>
      </c>
      <c r="N925" t="s">
        <v>2024</v>
      </c>
      <c r="O925" t="s">
        <v>127</v>
      </c>
      <c r="P925" t="s">
        <v>140</v>
      </c>
      <c r="Q925" t="s">
        <v>129</v>
      </c>
      <c r="R925" s="16">
        <v>45814.666666666701</v>
      </c>
      <c r="S925" t="s">
        <v>130</v>
      </c>
      <c r="V925" t="b">
        <f t="shared" si="71"/>
        <v>0</v>
      </c>
      <c r="W925" t="b">
        <f>AND(OR(WEEKDAY(C925,2)=5,WEEKDAY(C925,2)=6),'01_Parameters'!$C$11="Enabled")</f>
        <v>1</v>
      </c>
      <c r="X925" t="b">
        <f t="shared" si="72"/>
        <v>0</v>
      </c>
      <c r="Y925" t="b">
        <f t="shared" si="73"/>
        <v>0</v>
      </c>
      <c r="Z925" t="b">
        <f t="shared" si="74"/>
        <v>0</v>
      </c>
    </row>
    <row r="926" spans="1:26" ht="15" customHeight="1">
      <c r="A926" t="s">
        <v>2022</v>
      </c>
      <c r="B926" t="s">
        <v>2025</v>
      </c>
      <c r="C926" s="14">
        <v>45814</v>
      </c>
      <c r="D926" s="14">
        <v>45814</v>
      </c>
      <c r="E926">
        <v>2025</v>
      </c>
      <c r="F926">
        <v>6</v>
      </c>
      <c r="G926" t="s">
        <v>132</v>
      </c>
      <c r="H926" t="s">
        <v>133</v>
      </c>
      <c r="I926" t="s">
        <v>134</v>
      </c>
      <c r="J926" s="15">
        <v>0</v>
      </c>
      <c r="K926" s="15">
        <v>95591.86</v>
      </c>
      <c r="L926" s="15">
        <f t="shared" si="70"/>
        <v>-95591.86</v>
      </c>
      <c r="M926" t="s">
        <v>125</v>
      </c>
      <c r="N926" t="s">
        <v>2024</v>
      </c>
      <c r="O926" t="s">
        <v>127</v>
      </c>
      <c r="P926" t="s">
        <v>140</v>
      </c>
      <c r="Q926" t="s">
        <v>129</v>
      </c>
      <c r="R926" s="16">
        <v>45814.666666666701</v>
      </c>
      <c r="S926" t="s">
        <v>130</v>
      </c>
      <c r="V926" t="b">
        <f t="shared" si="71"/>
        <v>0</v>
      </c>
      <c r="W926" t="b">
        <f>AND(OR(WEEKDAY(C926,2)=5,WEEKDAY(C926,2)=6),'01_Parameters'!$C$11="Enabled")</f>
        <v>1</v>
      </c>
      <c r="X926" t="b">
        <f t="shared" si="72"/>
        <v>0</v>
      </c>
      <c r="Y926" t="b">
        <f t="shared" si="73"/>
        <v>0</v>
      </c>
      <c r="Z926" t="b">
        <f t="shared" si="74"/>
        <v>0</v>
      </c>
    </row>
    <row r="927" spans="1:26" ht="15" customHeight="1">
      <c r="A927" t="s">
        <v>2026</v>
      </c>
      <c r="B927" t="s">
        <v>2027</v>
      </c>
      <c r="C927" s="14">
        <v>45959</v>
      </c>
      <c r="D927" s="14">
        <v>45956</v>
      </c>
      <c r="E927">
        <v>2025</v>
      </c>
      <c r="F927">
        <v>10</v>
      </c>
      <c r="G927" t="s">
        <v>179</v>
      </c>
      <c r="H927" t="s">
        <v>180</v>
      </c>
      <c r="I927" t="s">
        <v>124</v>
      </c>
      <c r="J927" s="15">
        <v>31261.1</v>
      </c>
      <c r="K927" s="15">
        <v>0</v>
      </c>
      <c r="L927" s="15">
        <f t="shared" si="70"/>
        <v>31261.1</v>
      </c>
      <c r="M927" t="s">
        <v>181</v>
      </c>
      <c r="N927" t="s">
        <v>2028</v>
      </c>
      <c r="O927" t="s">
        <v>183</v>
      </c>
      <c r="P927" t="s">
        <v>129</v>
      </c>
      <c r="Q927" t="s">
        <v>150</v>
      </c>
      <c r="R927" s="16">
        <v>45959.916666666701</v>
      </c>
      <c r="S927" t="s">
        <v>130</v>
      </c>
      <c r="V927" t="b">
        <f t="shared" si="71"/>
        <v>0</v>
      </c>
      <c r="W927" t="b">
        <f>AND(OR(WEEKDAY(C927,2)=5,WEEKDAY(C927,2)=6),'01_Parameters'!$C$11="Enabled")</f>
        <v>0</v>
      </c>
      <c r="X927" t="b">
        <f t="shared" si="72"/>
        <v>1</v>
      </c>
      <c r="Y927" t="b">
        <f t="shared" si="73"/>
        <v>0</v>
      </c>
      <c r="Z927" t="b">
        <f t="shared" si="74"/>
        <v>0</v>
      </c>
    </row>
    <row r="928" spans="1:26" ht="15" customHeight="1">
      <c r="A928" t="s">
        <v>2026</v>
      </c>
      <c r="B928" t="s">
        <v>2029</v>
      </c>
      <c r="C928" s="14">
        <v>45959</v>
      </c>
      <c r="D928" s="14">
        <v>45956</v>
      </c>
      <c r="E928">
        <v>2025</v>
      </c>
      <c r="F928">
        <v>10</v>
      </c>
      <c r="G928" t="s">
        <v>185</v>
      </c>
      <c r="H928" t="s">
        <v>186</v>
      </c>
      <c r="I928" t="s">
        <v>134</v>
      </c>
      <c r="J928" s="15">
        <v>0</v>
      </c>
      <c r="K928" s="15">
        <v>31261.1</v>
      </c>
      <c r="L928" s="15">
        <f t="shared" si="70"/>
        <v>-31261.1</v>
      </c>
      <c r="M928" t="s">
        <v>181</v>
      </c>
      <c r="N928" t="s">
        <v>2028</v>
      </c>
      <c r="O928" t="s">
        <v>183</v>
      </c>
      <c r="P928" t="s">
        <v>129</v>
      </c>
      <c r="Q928" t="s">
        <v>150</v>
      </c>
      <c r="R928" s="16">
        <v>45959.916666666701</v>
      </c>
      <c r="S928" t="s">
        <v>130</v>
      </c>
      <c r="V928" t="b">
        <f t="shared" si="71"/>
        <v>0</v>
      </c>
      <c r="W928" t="b">
        <f>AND(OR(WEEKDAY(C928,2)=5,WEEKDAY(C928,2)=6),'01_Parameters'!$C$11="Enabled")</f>
        <v>0</v>
      </c>
      <c r="X928" t="b">
        <f t="shared" si="72"/>
        <v>1</v>
      </c>
      <c r="Y928" t="b">
        <f t="shared" si="73"/>
        <v>0</v>
      </c>
      <c r="Z928" t="b">
        <f t="shared" si="74"/>
        <v>0</v>
      </c>
    </row>
    <row r="929" spans="1:26" ht="15" customHeight="1">
      <c r="A929" t="s">
        <v>2030</v>
      </c>
      <c r="B929" t="s">
        <v>2031</v>
      </c>
      <c r="C929" s="14">
        <v>45896</v>
      </c>
      <c r="D929" s="14">
        <v>45891</v>
      </c>
      <c r="E929">
        <v>2025</v>
      </c>
      <c r="F929">
        <v>8</v>
      </c>
      <c r="G929" t="s">
        <v>158</v>
      </c>
      <c r="H929" t="s">
        <v>159</v>
      </c>
      <c r="I929" t="s">
        <v>124</v>
      </c>
      <c r="J929" s="15">
        <v>69758.3</v>
      </c>
      <c r="K929" s="15">
        <v>0</v>
      </c>
      <c r="L929" s="15">
        <f t="shared" si="70"/>
        <v>69758.3</v>
      </c>
      <c r="M929" t="s">
        <v>160</v>
      </c>
      <c r="N929" t="s">
        <v>2032</v>
      </c>
      <c r="O929" t="s">
        <v>162</v>
      </c>
      <c r="P929" t="s">
        <v>140</v>
      </c>
      <c r="Q929" t="s">
        <v>175</v>
      </c>
      <c r="R929" s="16">
        <v>45896.739583333299</v>
      </c>
      <c r="S929" t="s">
        <v>130</v>
      </c>
      <c r="V929" t="b">
        <f t="shared" si="71"/>
        <v>0</v>
      </c>
      <c r="W929" t="b">
        <f>AND(OR(WEEKDAY(C929,2)=5,WEEKDAY(C929,2)=6),'01_Parameters'!$C$11="Enabled")</f>
        <v>0</v>
      </c>
      <c r="X929" t="b">
        <f t="shared" si="72"/>
        <v>0</v>
      </c>
      <c r="Y929" t="b">
        <f t="shared" si="73"/>
        <v>0</v>
      </c>
      <c r="Z929" t="b">
        <f t="shared" si="74"/>
        <v>0</v>
      </c>
    </row>
    <row r="930" spans="1:26" ht="15" customHeight="1">
      <c r="A930" t="s">
        <v>2030</v>
      </c>
      <c r="B930" t="s">
        <v>2033</v>
      </c>
      <c r="C930" s="14">
        <v>45896</v>
      </c>
      <c r="D930" s="14">
        <v>45891</v>
      </c>
      <c r="E930">
        <v>2025</v>
      </c>
      <c r="F930">
        <v>8</v>
      </c>
      <c r="G930" t="s">
        <v>164</v>
      </c>
      <c r="H930" t="s">
        <v>165</v>
      </c>
      <c r="I930" t="s">
        <v>146</v>
      </c>
      <c r="J930" s="15">
        <v>0</v>
      </c>
      <c r="K930" s="15">
        <v>69758.3</v>
      </c>
      <c r="L930" s="15">
        <f t="shared" si="70"/>
        <v>-69758.3</v>
      </c>
      <c r="M930" t="s">
        <v>160</v>
      </c>
      <c r="N930" t="s">
        <v>2032</v>
      </c>
      <c r="O930" t="s">
        <v>162</v>
      </c>
      <c r="P930" t="s">
        <v>140</v>
      </c>
      <c r="Q930" t="s">
        <v>175</v>
      </c>
      <c r="R930" s="16">
        <v>45896.739583333299</v>
      </c>
      <c r="S930" t="s">
        <v>130</v>
      </c>
      <c r="V930" t="b">
        <f t="shared" si="71"/>
        <v>0</v>
      </c>
      <c r="W930" t="b">
        <f>AND(OR(WEEKDAY(C930,2)=5,WEEKDAY(C930,2)=6),'01_Parameters'!$C$11="Enabled")</f>
        <v>0</v>
      </c>
      <c r="X930" t="b">
        <f t="shared" si="72"/>
        <v>0</v>
      </c>
      <c r="Y930" t="b">
        <f t="shared" si="73"/>
        <v>0</v>
      </c>
      <c r="Z930" t="b">
        <f t="shared" si="74"/>
        <v>0</v>
      </c>
    </row>
    <row r="931" spans="1:26" ht="15" customHeight="1">
      <c r="A931" t="s">
        <v>2034</v>
      </c>
      <c r="B931" t="s">
        <v>2035</v>
      </c>
      <c r="C931" s="14">
        <v>45718</v>
      </c>
      <c r="D931" s="14">
        <v>45715</v>
      </c>
      <c r="E931">
        <v>2025</v>
      </c>
      <c r="F931">
        <v>3</v>
      </c>
      <c r="G931" t="s">
        <v>207</v>
      </c>
      <c r="H931" t="s">
        <v>208</v>
      </c>
      <c r="I931" t="s">
        <v>124</v>
      </c>
      <c r="J931" s="15">
        <v>58435.56</v>
      </c>
      <c r="K931" s="15">
        <v>0</v>
      </c>
      <c r="L931" s="15">
        <f t="shared" si="70"/>
        <v>58435.56</v>
      </c>
      <c r="M931" t="s">
        <v>209</v>
      </c>
      <c r="N931" t="s">
        <v>2036</v>
      </c>
      <c r="O931" t="s">
        <v>211</v>
      </c>
      <c r="P931" t="s">
        <v>128</v>
      </c>
      <c r="Q931" t="s">
        <v>175</v>
      </c>
      <c r="R931" s="16">
        <v>45718.541666666701</v>
      </c>
      <c r="S931" t="s">
        <v>130</v>
      </c>
      <c r="T931" t="s">
        <v>887</v>
      </c>
      <c r="U931" t="s">
        <v>2036</v>
      </c>
      <c r="V931" t="b">
        <f t="shared" si="71"/>
        <v>0</v>
      </c>
      <c r="W931" t="b">
        <f>AND(OR(WEEKDAY(C931,2)=5,WEEKDAY(C931,2)=6),'01_Parameters'!$C$11="Enabled")</f>
        <v>0</v>
      </c>
      <c r="X931" t="b">
        <f t="shared" si="72"/>
        <v>0</v>
      </c>
      <c r="Y931" t="b">
        <f t="shared" si="73"/>
        <v>0</v>
      </c>
      <c r="Z931" t="b">
        <f t="shared" si="74"/>
        <v>0</v>
      </c>
    </row>
    <row r="932" spans="1:26" ht="15" customHeight="1">
      <c r="A932" t="s">
        <v>2034</v>
      </c>
      <c r="B932" t="s">
        <v>2037</v>
      </c>
      <c r="C932" s="14">
        <v>45718</v>
      </c>
      <c r="D932" s="14">
        <v>45715</v>
      </c>
      <c r="E932">
        <v>2025</v>
      </c>
      <c r="F932">
        <v>3</v>
      </c>
      <c r="G932" t="s">
        <v>132</v>
      </c>
      <c r="H932" t="s">
        <v>133</v>
      </c>
      <c r="I932" t="s">
        <v>134</v>
      </c>
      <c r="J932" s="15">
        <v>0</v>
      </c>
      <c r="K932" s="15">
        <v>58435.56</v>
      </c>
      <c r="L932" s="15">
        <f t="shared" si="70"/>
        <v>-58435.56</v>
      </c>
      <c r="M932" t="s">
        <v>209</v>
      </c>
      <c r="N932" t="s">
        <v>2036</v>
      </c>
      <c r="O932" t="s">
        <v>211</v>
      </c>
      <c r="P932" t="s">
        <v>128</v>
      </c>
      <c r="Q932" t="s">
        <v>175</v>
      </c>
      <c r="R932" s="16">
        <v>45718.541666666701</v>
      </c>
      <c r="S932" t="s">
        <v>130</v>
      </c>
      <c r="T932" t="s">
        <v>887</v>
      </c>
      <c r="U932" t="s">
        <v>2036</v>
      </c>
      <c r="V932" t="b">
        <f t="shared" si="71"/>
        <v>0</v>
      </c>
      <c r="W932" t="b">
        <f>AND(OR(WEEKDAY(C932,2)=5,WEEKDAY(C932,2)=6),'01_Parameters'!$C$11="Enabled")</f>
        <v>0</v>
      </c>
      <c r="X932" t="b">
        <f t="shared" si="72"/>
        <v>0</v>
      </c>
      <c r="Y932" t="b">
        <f t="shared" si="73"/>
        <v>0</v>
      </c>
      <c r="Z932" t="b">
        <f t="shared" si="74"/>
        <v>0</v>
      </c>
    </row>
    <row r="933" spans="1:26" ht="15" customHeight="1">
      <c r="A933" t="s">
        <v>2038</v>
      </c>
      <c r="B933" t="s">
        <v>2039</v>
      </c>
      <c r="C933" s="14">
        <v>45706</v>
      </c>
      <c r="D933" s="14">
        <v>45705</v>
      </c>
      <c r="E933">
        <v>2025</v>
      </c>
      <c r="F933">
        <v>2</v>
      </c>
      <c r="G933" t="s">
        <v>144</v>
      </c>
      <c r="H933" t="s">
        <v>145</v>
      </c>
      <c r="I933" t="s">
        <v>146</v>
      </c>
      <c r="J933" s="15">
        <v>27504.39</v>
      </c>
      <c r="K933" s="15">
        <v>0</v>
      </c>
      <c r="L933" s="15">
        <f t="shared" si="70"/>
        <v>27504.39</v>
      </c>
      <c r="M933" t="s">
        <v>147</v>
      </c>
      <c r="N933" t="s">
        <v>2040</v>
      </c>
      <c r="O933" t="s">
        <v>149</v>
      </c>
      <c r="P933" t="s">
        <v>128</v>
      </c>
      <c r="Q933" t="s">
        <v>140</v>
      </c>
      <c r="R933" s="16">
        <v>45706.260416666701</v>
      </c>
      <c r="S933" t="s">
        <v>130</v>
      </c>
      <c r="V933" t="b">
        <f t="shared" si="71"/>
        <v>0</v>
      </c>
      <c r="W933" t="b">
        <f>AND(OR(WEEKDAY(C933,2)=5,WEEKDAY(C933,2)=6),'01_Parameters'!$C$11="Enabled")</f>
        <v>0</v>
      </c>
      <c r="X933" t="b">
        <f t="shared" si="72"/>
        <v>1</v>
      </c>
      <c r="Y933" t="b">
        <f t="shared" si="73"/>
        <v>0</v>
      </c>
      <c r="Z933" t="b">
        <f t="shared" si="74"/>
        <v>0</v>
      </c>
    </row>
    <row r="934" spans="1:26" ht="15" customHeight="1">
      <c r="A934" t="s">
        <v>2038</v>
      </c>
      <c r="B934" t="s">
        <v>2041</v>
      </c>
      <c r="C934" s="14">
        <v>45706</v>
      </c>
      <c r="D934" s="14">
        <v>45705</v>
      </c>
      <c r="E934">
        <v>2025</v>
      </c>
      <c r="F934">
        <v>2</v>
      </c>
      <c r="G934" t="s">
        <v>153</v>
      </c>
      <c r="H934" t="s">
        <v>154</v>
      </c>
      <c r="I934" t="s">
        <v>155</v>
      </c>
      <c r="J934" s="15">
        <v>0</v>
      </c>
      <c r="K934" s="15">
        <v>27504.39</v>
      </c>
      <c r="L934" s="15">
        <f t="shared" si="70"/>
        <v>-27504.39</v>
      </c>
      <c r="M934" t="s">
        <v>147</v>
      </c>
      <c r="N934" t="s">
        <v>2040</v>
      </c>
      <c r="O934" t="s">
        <v>149</v>
      </c>
      <c r="P934" t="s">
        <v>128</v>
      </c>
      <c r="Q934" t="s">
        <v>140</v>
      </c>
      <c r="R934" s="16">
        <v>45706.260416666701</v>
      </c>
      <c r="S934" t="s">
        <v>130</v>
      </c>
      <c r="V934" t="b">
        <f t="shared" si="71"/>
        <v>0</v>
      </c>
      <c r="W934" t="b">
        <f>AND(OR(WEEKDAY(C934,2)=5,WEEKDAY(C934,2)=6),'01_Parameters'!$C$11="Enabled")</f>
        <v>0</v>
      </c>
      <c r="X934" t="b">
        <f t="shared" si="72"/>
        <v>1</v>
      </c>
      <c r="Y934" t="b">
        <f t="shared" si="73"/>
        <v>0</v>
      </c>
      <c r="Z934" t="b">
        <f t="shared" si="74"/>
        <v>0</v>
      </c>
    </row>
    <row r="935" spans="1:26" ht="15" customHeight="1">
      <c r="A935" t="s">
        <v>2042</v>
      </c>
      <c r="B935" t="s">
        <v>2043</v>
      </c>
      <c r="C935" s="14">
        <v>45744</v>
      </c>
      <c r="D935" s="14">
        <v>45741</v>
      </c>
      <c r="E935">
        <v>2025</v>
      </c>
      <c r="F935">
        <v>3</v>
      </c>
      <c r="G935" t="s">
        <v>158</v>
      </c>
      <c r="H935" t="s">
        <v>159</v>
      </c>
      <c r="I935" t="s">
        <v>124</v>
      </c>
      <c r="J935" s="15">
        <v>52561.25</v>
      </c>
      <c r="K935" s="15">
        <v>0</v>
      </c>
      <c r="L935" s="15">
        <f t="shared" si="70"/>
        <v>52561.25</v>
      </c>
      <c r="M935" t="s">
        <v>160</v>
      </c>
      <c r="N935" t="s">
        <v>2044</v>
      </c>
      <c r="O935" t="s">
        <v>162</v>
      </c>
      <c r="P935" t="s">
        <v>129</v>
      </c>
      <c r="Q935" t="s">
        <v>128</v>
      </c>
      <c r="R935" s="16">
        <v>45744.864583333299</v>
      </c>
      <c r="S935" t="s">
        <v>130</v>
      </c>
      <c r="V935" t="b">
        <f t="shared" si="71"/>
        <v>0</v>
      </c>
      <c r="W935" t="b">
        <f>AND(OR(WEEKDAY(C935,2)=5,WEEKDAY(C935,2)=6),'01_Parameters'!$C$11="Enabled")</f>
        <v>1</v>
      </c>
      <c r="X935" t="b">
        <f t="shared" si="72"/>
        <v>1</v>
      </c>
      <c r="Y935" t="b">
        <f t="shared" si="73"/>
        <v>0</v>
      </c>
      <c r="Z935" t="b">
        <f t="shared" si="74"/>
        <v>0</v>
      </c>
    </row>
    <row r="936" spans="1:26" ht="15" customHeight="1">
      <c r="A936" t="s">
        <v>2042</v>
      </c>
      <c r="B936" t="s">
        <v>2045</v>
      </c>
      <c r="C936" s="14">
        <v>45744</v>
      </c>
      <c r="D936" s="14">
        <v>45741</v>
      </c>
      <c r="E936">
        <v>2025</v>
      </c>
      <c r="F936">
        <v>3</v>
      </c>
      <c r="G936" t="s">
        <v>164</v>
      </c>
      <c r="H936" t="s">
        <v>165</v>
      </c>
      <c r="I936" t="s">
        <v>146</v>
      </c>
      <c r="J936" s="15">
        <v>0</v>
      </c>
      <c r="K936" s="15">
        <v>52561.25</v>
      </c>
      <c r="L936" s="15">
        <f t="shared" si="70"/>
        <v>-52561.25</v>
      </c>
      <c r="M936" t="s">
        <v>160</v>
      </c>
      <c r="N936" t="s">
        <v>2044</v>
      </c>
      <c r="O936" t="s">
        <v>162</v>
      </c>
      <c r="P936" t="s">
        <v>129</v>
      </c>
      <c r="Q936" t="s">
        <v>128</v>
      </c>
      <c r="R936" s="16">
        <v>45744.864583333299</v>
      </c>
      <c r="S936" t="s">
        <v>130</v>
      </c>
      <c r="V936" t="b">
        <f t="shared" si="71"/>
        <v>0</v>
      </c>
      <c r="W936" t="b">
        <f>AND(OR(WEEKDAY(C936,2)=5,WEEKDAY(C936,2)=6),'01_Parameters'!$C$11="Enabled")</f>
        <v>1</v>
      </c>
      <c r="X936" t="b">
        <f t="shared" si="72"/>
        <v>1</v>
      </c>
      <c r="Y936" t="b">
        <f t="shared" si="73"/>
        <v>0</v>
      </c>
      <c r="Z936" t="b">
        <f t="shared" si="74"/>
        <v>0</v>
      </c>
    </row>
    <row r="937" spans="1:26" ht="15" customHeight="1">
      <c r="A937" t="s">
        <v>2046</v>
      </c>
      <c r="B937" t="s">
        <v>2047</v>
      </c>
      <c r="C937" s="14">
        <v>45975</v>
      </c>
      <c r="D937" s="14">
        <v>45973</v>
      </c>
      <c r="E937">
        <v>2025</v>
      </c>
      <c r="F937">
        <v>11</v>
      </c>
      <c r="G937" t="s">
        <v>158</v>
      </c>
      <c r="H937" t="s">
        <v>159</v>
      </c>
      <c r="I937" t="s">
        <v>124</v>
      </c>
      <c r="J937" s="15">
        <v>52504.78</v>
      </c>
      <c r="K937" s="15">
        <v>0</v>
      </c>
      <c r="L937" s="15">
        <f t="shared" si="70"/>
        <v>52504.78</v>
      </c>
      <c r="M937" t="s">
        <v>160</v>
      </c>
      <c r="N937" t="s">
        <v>2048</v>
      </c>
      <c r="O937" t="s">
        <v>162</v>
      </c>
      <c r="P937" t="s">
        <v>175</v>
      </c>
      <c r="Q937" t="s">
        <v>150</v>
      </c>
      <c r="R937" s="16">
        <v>45975.375</v>
      </c>
      <c r="S937" t="s">
        <v>130</v>
      </c>
      <c r="V937" t="b">
        <f t="shared" si="71"/>
        <v>0</v>
      </c>
      <c r="W937" t="b">
        <f>AND(OR(WEEKDAY(C937,2)=5,WEEKDAY(C937,2)=6),'01_Parameters'!$C$11="Enabled")</f>
        <v>1</v>
      </c>
      <c r="X937" t="b">
        <f t="shared" si="72"/>
        <v>0</v>
      </c>
      <c r="Y937" t="b">
        <f t="shared" si="73"/>
        <v>0</v>
      </c>
      <c r="Z937" t="b">
        <f t="shared" si="74"/>
        <v>0</v>
      </c>
    </row>
    <row r="938" spans="1:26" ht="15" customHeight="1">
      <c r="A938" t="s">
        <v>2046</v>
      </c>
      <c r="B938" t="s">
        <v>2049</v>
      </c>
      <c r="C938" s="14">
        <v>45975</v>
      </c>
      <c r="D938" s="14">
        <v>45973</v>
      </c>
      <c r="E938">
        <v>2025</v>
      </c>
      <c r="F938">
        <v>11</v>
      </c>
      <c r="G938" t="s">
        <v>164</v>
      </c>
      <c r="H938" t="s">
        <v>165</v>
      </c>
      <c r="I938" t="s">
        <v>146</v>
      </c>
      <c r="J938" s="15">
        <v>0</v>
      </c>
      <c r="K938" s="15">
        <v>52504.78</v>
      </c>
      <c r="L938" s="15">
        <f t="shared" si="70"/>
        <v>-52504.78</v>
      </c>
      <c r="M938" t="s">
        <v>160</v>
      </c>
      <c r="N938" t="s">
        <v>2048</v>
      </c>
      <c r="O938" t="s">
        <v>162</v>
      </c>
      <c r="P938" t="s">
        <v>175</v>
      </c>
      <c r="Q938" t="s">
        <v>150</v>
      </c>
      <c r="R938" s="16">
        <v>45975.375</v>
      </c>
      <c r="S938" t="s">
        <v>130</v>
      </c>
      <c r="V938" t="b">
        <f t="shared" si="71"/>
        <v>0</v>
      </c>
      <c r="W938" t="b">
        <f>AND(OR(WEEKDAY(C938,2)=5,WEEKDAY(C938,2)=6),'01_Parameters'!$C$11="Enabled")</f>
        <v>1</v>
      </c>
      <c r="X938" t="b">
        <f t="shared" si="72"/>
        <v>0</v>
      </c>
      <c r="Y938" t="b">
        <f t="shared" si="73"/>
        <v>0</v>
      </c>
      <c r="Z938" t="b">
        <f t="shared" si="74"/>
        <v>0</v>
      </c>
    </row>
    <row r="939" spans="1:26" ht="15" customHeight="1">
      <c r="A939" t="s">
        <v>2050</v>
      </c>
      <c r="B939" t="s">
        <v>2051</v>
      </c>
      <c r="C939" s="14">
        <v>45953</v>
      </c>
      <c r="D939" s="14">
        <v>45948</v>
      </c>
      <c r="E939">
        <v>2025</v>
      </c>
      <c r="F939">
        <v>10</v>
      </c>
      <c r="G939" t="s">
        <v>158</v>
      </c>
      <c r="H939" t="s">
        <v>159</v>
      </c>
      <c r="I939" t="s">
        <v>124</v>
      </c>
      <c r="J939" s="15">
        <v>1773.76</v>
      </c>
      <c r="K939" s="15">
        <v>0</v>
      </c>
      <c r="L939" s="15">
        <f t="shared" si="70"/>
        <v>1773.76</v>
      </c>
      <c r="M939" t="s">
        <v>160</v>
      </c>
      <c r="N939" t="s">
        <v>2052</v>
      </c>
      <c r="O939" t="s">
        <v>162</v>
      </c>
      <c r="P939" t="s">
        <v>175</v>
      </c>
      <c r="Q939" t="s">
        <v>150</v>
      </c>
      <c r="R939" s="16">
        <v>45953.78125</v>
      </c>
      <c r="S939" t="s">
        <v>130</v>
      </c>
      <c r="V939" t="b">
        <f t="shared" si="71"/>
        <v>0</v>
      </c>
      <c r="W939" t="b">
        <f>AND(OR(WEEKDAY(C939,2)=5,WEEKDAY(C939,2)=6),'01_Parameters'!$C$11="Enabled")</f>
        <v>0</v>
      </c>
      <c r="X939" t="b">
        <f t="shared" si="72"/>
        <v>1</v>
      </c>
      <c r="Y939" t="b">
        <f t="shared" si="73"/>
        <v>0</v>
      </c>
      <c r="Z939" t="b">
        <f t="shared" si="74"/>
        <v>0</v>
      </c>
    </row>
    <row r="940" spans="1:26" ht="15" customHeight="1">
      <c r="A940" t="s">
        <v>2050</v>
      </c>
      <c r="B940" t="s">
        <v>2053</v>
      </c>
      <c r="C940" s="14">
        <v>45953</v>
      </c>
      <c r="D940" s="14">
        <v>45948</v>
      </c>
      <c r="E940">
        <v>2025</v>
      </c>
      <c r="F940">
        <v>10</v>
      </c>
      <c r="G940" t="s">
        <v>164</v>
      </c>
      <c r="H940" t="s">
        <v>165</v>
      </c>
      <c r="I940" t="s">
        <v>146</v>
      </c>
      <c r="J940" s="15">
        <v>0</v>
      </c>
      <c r="K940" s="15">
        <v>1773.76</v>
      </c>
      <c r="L940" s="15">
        <f t="shared" si="70"/>
        <v>-1773.76</v>
      </c>
      <c r="M940" t="s">
        <v>160</v>
      </c>
      <c r="N940" t="s">
        <v>2052</v>
      </c>
      <c r="O940" t="s">
        <v>162</v>
      </c>
      <c r="P940" t="s">
        <v>175</v>
      </c>
      <c r="Q940" t="s">
        <v>150</v>
      </c>
      <c r="R940" s="16">
        <v>45953.78125</v>
      </c>
      <c r="S940" t="s">
        <v>130</v>
      </c>
      <c r="V940" t="b">
        <f t="shared" si="71"/>
        <v>0</v>
      </c>
      <c r="W940" t="b">
        <f>AND(OR(WEEKDAY(C940,2)=5,WEEKDAY(C940,2)=6),'01_Parameters'!$C$11="Enabled")</f>
        <v>0</v>
      </c>
      <c r="X940" t="b">
        <f t="shared" si="72"/>
        <v>1</v>
      </c>
      <c r="Y940" t="b">
        <f t="shared" si="73"/>
        <v>0</v>
      </c>
      <c r="Z940" t="b">
        <f t="shared" si="74"/>
        <v>0</v>
      </c>
    </row>
    <row r="941" spans="1:26" ht="15" customHeight="1">
      <c r="A941" t="s">
        <v>2054</v>
      </c>
      <c r="B941" t="s">
        <v>2055</v>
      </c>
      <c r="C941" s="14">
        <v>45775</v>
      </c>
      <c r="D941" s="14">
        <v>45773</v>
      </c>
      <c r="E941">
        <v>2025</v>
      </c>
      <c r="F941">
        <v>4</v>
      </c>
      <c r="G941" t="s">
        <v>158</v>
      </c>
      <c r="H941" t="s">
        <v>159</v>
      </c>
      <c r="I941" t="s">
        <v>124</v>
      </c>
      <c r="J941" s="15">
        <v>15175.27</v>
      </c>
      <c r="K941" s="15">
        <v>0</v>
      </c>
      <c r="L941" s="15">
        <f t="shared" si="70"/>
        <v>15175.27</v>
      </c>
      <c r="M941" t="s">
        <v>160</v>
      </c>
      <c r="N941" t="s">
        <v>2056</v>
      </c>
      <c r="O941" t="s">
        <v>162</v>
      </c>
      <c r="P941" t="s">
        <v>140</v>
      </c>
      <c r="Q941" t="s">
        <v>128</v>
      </c>
      <c r="R941" s="16">
        <v>45775.34375</v>
      </c>
      <c r="S941" t="s">
        <v>130</v>
      </c>
      <c r="V941" t="b">
        <f t="shared" si="71"/>
        <v>0</v>
      </c>
      <c r="W941" t="b">
        <f>AND(OR(WEEKDAY(C941,2)=5,WEEKDAY(C941,2)=6),'01_Parameters'!$C$11="Enabled")</f>
        <v>0</v>
      </c>
      <c r="X941" t="b">
        <f t="shared" si="72"/>
        <v>0</v>
      </c>
      <c r="Y941" t="b">
        <f t="shared" si="73"/>
        <v>0</v>
      </c>
      <c r="Z941" t="b">
        <f t="shared" si="74"/>
        <v>0</v>
      </c>
    </row>
    <row r="942" spans="1:26" ht="15" customHeight="1">
      <c r="A942" t="s">
        <v>2054</v>
      </c>
      <c r="B942" t="s">
        <v>2057</v>
      </c>
      <c r="C942" s="14">
        <v>45775</v>
      </c>
      <c r="D942" s="14">
        <v>45773</v>
      </c>
      <c r="E942">
        <v>2025</v>
      </c>
      <c r="F942">
        <v>4</v>
      </c>
      <c r="G942" t="s">
        <v>164</v>
      </c>
      <c r="H942" t="s">
        <v>165</v>
      </c>
      <c r="I942" t="s">
        <v>146</v>
      </c>
      <c r="J942" s="15">
        <v>0</v>
      </c>
      <c r="K942" s="15">
        <v>15175.27</v>
      </c>
      <c r="L942" s="15">
        <f t="shared" si="70"/>
        <v>-15175.27</v>
      </c>
      <c r="M942" t="s">
        <v>160</v>
      </c>
      <c r="N942" t="s">
        <v>2056</v>
      </c>
      <c r="O942" t="s">
        <v>162</v>
      </c>
      <c r="P942" t="s">
        <v>140</v>
      </c>
      <c r="Q942" t="s">
        <v>128</v>
      </c>
      <c r="R942" s="16">
        <v>45775.34375</v>
      </c>
      <c r="S942" t="s">
        <v>130</v>
      </c>
      <c r="V942" t="b">
        <f t="shared" si="71"/>
        <v>0</v>
      </c>
      <c r="W942" t="b">
        <f>AND(OR(WEEKDAY(C942,2)=5,WEEKDAY(C942,2)=6),'01_Parameters'!$C$11="Enabled")</f>
        <v>0</v>
      </c>
      <c r="X942" t="b">
        <f t="shared" si="72"/>
        <v>0</v>
      </c>
      <c r="Y942" t="b">
        <f t="shared" si="73"/>
        <v>0</v>
      </c>
      <c r="Z942" t="b">
        <f t="shared" si="74"/>
        <v>0</v>
      </c>
    </row>
    <row r="943" spans="1:26" ht="15" customHeight="1">
      <c r="A943" t="s">
        <v>2058</v>
      </c>
      <c r="B943" t="s">
        <v>2059</v>
      </c>
      <c r="C943" s="14">
        <v>45813</v>
      </c>
      <c r="D943" s="14">
        <v>45812</v>
      </c>
      <c r="E943">
        <v>2025</v>
      </c>
      <c r="F943">
        <v>6</v>
      </c>
      <c r="G943" t="s">
        <v>122</v>
      </c>
      <c r="H943" t="s">
        <v>123</v>
      </c>
      <c r="I943" t="s">
        <v>124</v>
      </c>
      <c r="J943" s="15">
        <v>85564.64</v>
      </c>
      <c r="K943" s="15">
        <v>0</v>
      </c>
      <c r="L943" s="15">
        <f t="shared" si="70"/>
        <v>85564.64</v>
      </c>
      <c r="M943" t="s">
        <v>125</v>
      </c>
      <c r="N943" t="s">
        <v>2060</v>
      </c>
      <c r="O943" t="s">
        <v>127</v>
      </c>
      <c r="P943" t="s">
        <v>175</v>
      </c>
      <c r="Q943" t="s">
        <v>151</v>
      </c>
      <c r="R943" s="16">
        <v>45813.927083333299</v>
      </c>
      <c r="S943" t="s">
        <v>130</v>
      </c>
      <c r="V943" t="b">
        <f t="shared" si="71"/>
        <v>0</v>
      </c>
      <c r="W943" t="b">
        <f>AND(OR(WEEKDAY(C943,2)=5,WEEKDAY(C943,2)=6),'01_Parameters'!$C$11="Enabled")</f>
        <v>0</v>
      </c>
      <c r="X943" t="b">
        <f t="shared" si="72"/>
        <v>1</v>
      </c>
      <c r="Y943" t="b">
        <f t="shared" si="73"/>
        <v>0</v>
      </c>
      <c r="Z943" t="b">
        <f t="shared" si="74"/>
        <v>0</v>
      </c>
    </row>
    <row r="944" spans="1:26" ht="15" customHeight="1">
      <c r="A944" t="s">
        <v>2058</v>
      </c>
      <c r="B944" t="s">
        <v>2061</v>
      </c>
      <c r="C944" s="14">
        <v>45813</v>
      </c>
      <c r="D944" s="14">
        <v>45812</v>
      </c>
      <c r="E944">
        <v>2025</v>
      </c>
      <c r="F944">
        <v>6</v>
      </c>
      <c r="G944" t="s">
        <v>132</v>
      </c>
      <c r="H944" t="s">
        <v>133</v>
      </c>
      <c r="I944" t="s">
        <v>134</v>
      </c>
      <c r="J944" s="15">
        <v>0</v>
      </c>
      <c r="K944" s="15">
        <v>85564.64</v>
      </c>
      <c r="L944" s="15">
        <f t="shared" si="70"/>
        <v>-85564.64</v>
      </c>
      <c r="M944" t="s">
        <v>125</v>
      </c>
      <c r="N944" t="s">
        <v>2060</v>
      </c>
      <c r="O944" t="s">
        <v>127</v>
      </c>
      <c r="P944" t="s">
        <v>175</v>
      </c>
      <c r="Q944" t="s">
        <v>151</v>
      </c>
      <c r="R944" s="16">
        <v>45813.927083333299</v>
      </c>
      <c r="S944" t="s">
        <v>130</v>
      </c>
      <c r="V944" t="b">
        <f t="shared" si="71"/>
        <v>0</v>
      </c>
      <c r="W944" t="b">
        <f>AND(OR(WEEKDAY(C944,2)=5,WEEKDAY(C944,2)=6),'01_Parameters'!$C$11="Enabled")</f>
        <v>0</v>
      </c>
      <c r="X944" t="b">
        <f t="shared" si="72"/>
        <v>1</v>
      </c>
      <c r="Y944" t="b">
        <f t="shared" si="73"/>
        <v>0</v>
      </c>
      <c r="Z944" t="b">
        <f t="shared" si="74"/>
        <v>0</v>
      </c>
    </row>
    <row r="945" spans="1:26" ht="15" customHeight="1">
      <c r="A945" t="s">
        <v>2062</v>
      </c>
      <c r="B945" t="s">
        <v>2063</v>
      </c>
      <c r="C945" s="14">
        <v>45808</v>
      </c>
      <c r="D945" s="14">
        <v>45808</v>
      </c>
      <c r="E945">
        <v>2025</v>
      </c>
      <c r="F945">
        <v>5</v>
      </c>
      <c r="G945" t="s">
        <v>122</v>
      </c>
      <c r="H945" t="s">
        <v>123</v>
      </c>
      <c r="I945" t="s">
        <v>124</v>
      </c>
      <c r="J945" s="15">
        <v>66111.87</v>
      </c>
      <c r="K945" s="15">
        <v>0</v>
      </c>
      <c r="L945" s="15">
        <f t="shared" si="70"/>
        <v>66111.87</v>
      </c>
      <c r="M945" t="s">
        <v>209</v>
      </c>
      <c r="N945" t="s">
        <v>2064</v>
      </c>
      <c r="O945" t="s">
        <v>211</v>
      </c>
      <c r="P945" t="s">
        <v>140</v>
      </c>
      <c r="Q945" t="s">
        <v>129</v>
      </c>
      <c r="R945" s="16">
        <v>45808.875</v>
      </c>
      <c r="S945" t="s">
        <v>130</v>
      </c>
      <c r="T945" t="s">
        <v>313</v>
      </c>
      <c r="U945" t="s">
        <v>2064</v>
      </c>
      <c r="V945" t="b">
        <f t="shared" si="71"/>
        <v>0</v>
      </c>
      <c r="W945" t="b">
        <f>AND(OR(WEEKDAY(C945,2)=5,WEEKDAY(C945,2)=6),'01_Parameters'!$C$11="Enabled")</f>
        <v>1</v>
      </c>
      <c r="X945" t="b">
        <f t="shared" si="72"/>
        <v>1</v>
      </c>
      <c r="Y945" t="b">
        <f t="shared" si="73"/>
        <v>0</v>
      </c>
      <c r="Z945" t="b">
        <f t="shared" si="74"/>
        <v>0</v>
      </c>
    </row>
    <row r="946" spans="1:26" ht="15" customHeight="1">
      <c r="A946" t="s">
        <v>2062</v>
      </c>
      <c r="B946" t="s">
        <v>2065</v>
      </c>
      <c r="C946" s="14">
        <v>45808</v>
      </c>
      <c r="D946" s="14">
        <v>45808</v>
      </c>
      <c r="E946">
        <v>2025</v>
      </c>
      <c r="F946">
        <v>5</v>
      </c>
      <c r="G946" t="s">
        <v>132</v>
      </c>
      <c r="H946" t="s">
        <v>133</v>
      </c>
      <c r="I946" t="s">
        <v>134</v>
      </c>
      <c r="J946" s="15">
        <v>0</v>
      </c>
      <c r="K946" s="15">
        <v>66111.87</v>
      </c>
      <c r="L946" s="15">
        <f t="shared" si="70"/>
        <v>-66111.87</v>
      </c>
      <c r="M946" t="s">
        <v>209</v>
      </c>
      <c r="N946" t="s">
        <v>2064</v>
      </c>
      <c r="O946" t="s">
        <v>211</v>
      </c>
      <c r="P946" t="s">
        <v>140</v>
      </c>
      <c r="Q946" t="s">
        <v>129</v>
      </c>
      <c r="R946" s="16">
        <v>45808.875</v>
      </c>
      <c r="S946" t="s">
        <v>130</v>
      </c>
      <c r="T946" t="s">
        <v>313</v>
      </c>
      <c r="U946" t="s">
        <v>2064</v>
      </c>
      <c r="V946" t="b">
        <f t="shared" si="71"/>
        <v>0</v>
      </c>
      <c r="W946" t="b">
        <f>AND(OR(WEEKDAY(C946,2)=5,WEEKDAY(C946,2)=6),'01_Parameters'!$C$11="Enabled")</f>
        <v>1</v>
      </c>
      <c r="X946" t="b">
        <f t="shared" si="72"/>
        <v>1</v>
      </c>
      <c r="Y946" t="b">
        <f t="shared" si="73"/>
        <v>0</v>
      </c>
      <c r="Z946" t="b">
        <f t="shared" si="74"/>
        <v>0</v>
      </c>
    </row>
    <row r="947" spans="1:26" ht="15" customHeight="1">
      <c r="A947" t="s">
        <v>2066</v>
      </c>
      <c r="B947" t="s">
        <v>2067</v>
      </c>
      <c r="C947" s="14">
        <v>45978</v>
      </c>
      <c r="D947" s="14">
        <v>45978</v>
      </c>
      <c r="E947">
        <v>2025</v>
      </c>
      <c r="F947">
        <v>11</v>
      </c>
      <c r="G947" t="s">
        <v>193</v>
      </c>
      <c r="H947" t="s">
        <v>194</v>
      </c>
      <c r="I947" t="s">
        <v>124</v>
      </c>
      <c r="J947" s="15">
        <v>41326.69</v>
      </c>
      <c r="K947" s="15">
        <v>0</v>
      </c>
      <c r="L947" s="15">
        <f t="shared" si="70"/>
        <v>41326.69</v>
      </c>
      <c r="M947" t="s">
        <v>195</v>
      </c>
      <c r="N947" t="s">
        <v>2068</v>
      </c>
      <c r="O947" t="s">
        <v>197</v>
      </c>
      <c r="P947" t="s">
        <v>129</v>
      </c>
      <c r="Q947" t="s">
        <v>128</v>
      </c>
      <c r="R947" s="16">
        <v>45978.822916666701</v>
      </c>
      <c r="S947" t="s">
        <v>130</v>
      </c>
      <c r="V947" t="b">
        <f t="shared" si="71"/>
        <v>0</v>
      </c>
      <c r="W947" t="b">
        <f>AND(OR(WEEKDAY(C947,2)=5,WEEKDAY(C947,2)=6),'01_Parameters'!$C$11="Enabled")</f>
        <v>0</v>
      </c>
      <c r="X947" t="b">
        <f t="shared" si="72"/>
        <v>1</v>
      </c>
      <c r="Y947" t="b">
        <f t="shared" si="73"/>
        <v>0</v>
      </c>
      <c r="Z947" t="b">
        <f t="shared" si="74"/>
        <v>0</v>
      </c>
    </row>
    <row r="948" spans="1:26" ht="15" customHeight="1">
      <c r="A948" t="s">
        <v>2066</v>
      </c>
      <c r="B948" t="s">
        <v>2069</v>
      </c>
      <c r="C948" s="14">
        <v>45978</v>
      </c>
      <c r="D948" s="14">
        <v>45978</v>
      </c>
      <c r="E948">
        <v>2025</v>
      </c>
      <c r="F948">
        <v>11</v>
      </c>
      <c r="G948" t="s">
        <v>199</v>
      </c>
      <c r="H948" t="s">
        <v>200</v>
      </c>
      <c r="I948" t="s">
        <v>146</v>
      </c>
      <c r="J948" s="15">
        <v>0</v>
      </c>
      <c r="K948" s="15">
        <v>41326.69</v>
      </c>
      <c r="L948" s="15">
        <f t="shared" si="70"/>
        <v>-41326.69</v>
      </c>
      <c r="M948" t="s">
        <v>195</v>
      </c>
      <c r="N948" t="s">
        <v>2068</v>
      </c>
      <c r="O948" t="s">
        <v>197</v>
      </c>
      <c r="P948" t="s">
        <v>129</v>
      </c>
      <c r="Q948" t="s">
        <v>128</v>
      </c>
      <c r="R948" s="16">
        <v>45978.822916666701</v>
      </c>
      <c r="S948" t="s">
        <v>130</v>
      </c>
      <c r="V948" t="b">
        <f t="shared" si="71"/>
        <v>0</v>
      </c>
      <c r="W948" t="b">
        <f>AND(OR(WEEKDAY(C948,2)=5,WEEKDAY(C948,2)=6),'01_Parameters'!$C$11="Enabled")</f>
        <v>0</v>
      </c>
      <c r="X948" t="b">
        <f t="shared" si="72"/>
        <v>1</v>
      </c>
      <c r="Y948" t="b">
        <f t="shared" si="73"/>
        <v>0</v>
      </c>
      <c r="Z948" t="b">
        <f t="shared" si="74"/>
        <v>0</v>
      </c>
    </row>
    <row r="949" spans="1:26" ht="15" customHeight="1">
      <c r="A949" t="s">
        <v>2070</v>
      </c>
      <c r="B949" t="s">
        <v>2071</v>
      </c>
      <c r="C949" s="14">
        <v>45672</v>
      </c>
      <c r="D949" s="14">
        <v>45670</v>
      </c>
      <c r="E949">
        <v>2025</v>
      </c>
      <c r="F949">
        <v>1</v>
      </c>
      <c r="G949" t="s">
        <v>179</v>
      </c>
      <c r="H949" t="s">
        <v>180</v>
      </c>
      <c r="I949" t="s">
        <v>124</v>
      </c>
      <c r="J949" s="15">
        <v>2066.14</v>
      </c>
      <c r="K949" s="15">
        <v>0</v>
      </c>
      <c r="L949" s="15">
        <f t="shared" si="70"/>
        <v>2066.14</v>
      </c>
      <c r="M949" t="s">
        <v>181</v>
      </c>
      <c r="N949" t="s">
        <v>2072</v>
      </c>
      <c r="O949" t="s">
        <v>183</v>
      </c>
      <c r="P949" t="s">
        <v>150</v>
      </c>
      <c r="Q949" t="s">
        <v>140</v>
      </c>
      <c r="R949" s="16">
        <v>45672.635416666701</v>
      </c>
      <c r="S949" t="s">
        <v>130</v>
      </c>
      <c r="V949" t="b">
        <f t="shared" si="71"/>
        <v>0</v>
      </c>
      <c r="W949" t="b">
        <f>AND(OR(WEEKDAY(C949,2)=5,WEEKDAY(C949,2)=6),'01_Parameters'!$C$11="Enabled")</f>
        <v>0</v>
      </c>
      <c r="X949" t="b">
        <f t="shared" si="72"/>
        <v>0</v>
      </c>
      <c r="Y949" t="b">
        <f t="shared" si="73"/>
        <v>0</v>
      </c>
      <c r="Z949" t="b">
        <f t="shared" si="74"/>
        <v>0</v>
      </c>
    </row>
    <row r="950" spans="1:26" ht="15" customHeight="1">
      <c r="A950" t="s">
        <v>2070</v>
      </c>
      <c r="B950" t="s">
        <v>2073</v>
      </c>
      <c r="C950" s="14">
        <v>45672</v>
      </c>
      <c r="D950" s="14">
        <v>45670</v>
      </c>
      <c r="E950">
        <v>2025</v>
      </c>
      <c r="F950">
        <v>1</v>
      </c>
      <c r="G950" t="s">
        <v>185</v>
      </c>
      <c r="H950" t="s">
        <v>186</v>
      </c>
      <c r="I950" t="s">
        <v>134</v>
      </c>
      <c r="J950" s="15">
        <v>0</v>
      </c>
      <c r="K950" s="15">
        <v>2066.14</v>
      </c>
      <c r="L950" s="15">
        <f t="shared" si="70"/>
        <v>-2066.14</v>
      </c>
      <c r="M950" t="s">
        <v>181</v>
      </c>
      <c r="N950" t="s">
        <v>2072</v>
      </c>
      <c r="O950" t="s">
        <v>183</v>
      </c>
      <c r="P950" t="s">
        <v>150</v>
      </c>
      <c r="Q950" t="s">
        <v>140</v>
      </c>
      <c r="R950" s="16">
        <v>45672.635416666701</v>
      </c>
      <c r="S950" t="s">
        <v>130</v>
      </c>
      <c r="V950" t="b">
        <f t="shared" si="71"/>
        <v>0</v>
      </c>
      <c r="W950" t="b">
        <f>AND(OR(WEEKDAY(C950,2)=5,WEEKDAY(C950,2)=6),'01_Parameters'!$C$11="Enabled")</f>
        <v>0</v>
      </c>
      <c r="X950" t="b">
        <f t="shared" si="72"/>
        <v>0</v>
      </c>
      <c r="Y950" t="b">
        <f t="shared" si="73"/>
        <v>0</v>
      </c>
      <c r="Z950" t="b">
        <f t="shared" si="74"/>
        <v>0</v>
      </c>
    </row>
    <row r="951" spans="1:26" ht="15" customHeight="1">
      <c r="A951" t="s">
        <v>2074</v>
      </c>
      <c r="B951" t="s">
        <v>2075</v>
      </c>
      <c r="C951" s="14">
        <v>45661</v>
      </c>
      <c r="D951" s="14">
        <v>45656</v>
      </c>
      <c r="E951">
        <v>2025</v>
      </c>
      <c r="F951">
        <v>1</v>
      </c>
      <c r="G951" t="s">
        <v>179</v>
      </c>
      <c r="H951" t="s">
        <v>180</v>
      </c>
      <c r="I951" t="s">
        <v>124</v>
      </c>
      <c r="J951" s="15">
        <v>12199.09</v>
      </c>
      <c r="K951" s="15">
        <v>0</v>
      </c>
      <c r="L951" s="15">
        <f t="shared" si="70"/>
        <v>12199.09</v>
      </c>
      <c r="M951" t="s">
        <v>181</v>
      </c>
      <c r="N951" t="s">
        <v>2076</v>
      </c>
      <c r="O951" t="s">
        <v>183</v>
      </c>
      <c r="P951" t="s">
        <v>140</v>
      </c>
      <c r="Q951" t="s">
        <v>175</v>
      </c>
      <c r="R951" s="16">
        <v>45661.447916666701</v>
      </c>
      <c r="S951" t="s">
        <v>130</v>
      </c>
      <c r="V951" t="b">
        <f t="shared" si="71"/>
        <v>0</v>
      </c>
      <c r="W951" t="b">
        <f>AND(OR(WEEKDAY(C951,2)=5,WEEKDAY(C951,2)=6),'01_Parameters'!$C$11="Enabled")</f>
        <v>1</v>
      </c>
      <c r="X951" t="b">
        <f t="shared" si="72"/>
        <v>0</v>
      </c>
      <c r="Y951" t="b">
        <f t="shared" si="73"/>
        <v>0</v>
      </c>
      <c r="Z951" t="b">
        <f t="shared" si="74"/>
        <v>0</v>
      </c>
    </row>
    <row r="952" spans="1:26" ht="15" customHeight="1">
      <c r="A952" t="s">
        <v>2074</v>
      </c>
      <c r="B952" t="s">
        <v>2077</v>
      </c>
      <c r="C952" s="14">
        <v>45661</v>
      </c>
      <c r="D952" s="14">
        <v>45656</v>
      </c>
      <c r="E952">
        <v>2025</v>
      </c>
      <c r="F952">
        <v>1</v>
      </c>
      <c r="G952" t="s">
        <v>185</v>
      </c>
      <c r="H952" t="s">
        <v>186</v>
      </c>
      <c r="I952" t="s">
        <v>134</v>
      </c>
      <c r="J952" s="15">
        <v>0</v>
      </c>
      <c r="K952" s="15">
        <v>12199.09</v>
      </c>
      <c r="L952" s="15">
        <f t="shared" si="70"/>
        <v>-12199.09</v>
      </c>
      <c r="M952" t="s">
        <v>181</v>
      </c>
      <c r="N952" t="s">
        <v>2076</v>
      </c>
      <c r="O952" t="s">
        <v>183</v>
      </c>
      <c r="P952" t="s">
        <v>140</v>
      </c>
      <c r="Q952" t="s">
        <v>175</v>
      </c>
      <c r="R952" s="16">
        <v>45661.447916666701</v>
      </c>
      <c r="S952" t="s">
        <v>130</v>
      </c>
      <c r="V952" t="b">
        <f t="shared" si="71"/>
        <v>0</v>
      </c>
      <c r="W952" t="b">
        <f>AND(OR(WEEKDAY(C952,2)=5,WEEKDAY(C952,2)=6),'01_Parameters'!$C$11="Enabled")</f>
        <v>1</v>
      </c>
      <c r="X952" t="b">
        <f t="shared" si="72"/>
        <v>0</v>
      </c>
      <c r="Y952" t="b">
        <f t="shared" si="73"/>
        <v>0</v>
      </c>
      <c r="Z952" t="b">
        <f t="shared" si="74"/>
        <v>0</v>
      </c>
    </row>
    <row r="953" spans="1:26" ht="15" customHeight="1">
      <c r="A953" t="s">
        <v>2078</v>
      </c>
      <c r="B953" t="s">
        <v>2079</v>
      </c>
      <c r="C953" s="14">
        <v>45683</v>
      </c>
      <c r="D953" s="14">
        <v>45679</v>
      </c>
      <c r="E953">
        <v>2025</v>
      </c>
      <c r="F953">
        <v>1</v>
      </c>
      <c r="G953" t="s">
        <v>144</v>
      </c>
      <c r="H953" t="s">
        <v>145</v>
      </c>
      <c r="I953" t="s">
        <v>146</v>
      </c>
      <c r="J953" s="15">
        <v>72103.33</v>
      </c>
      <c r="K953" s="15">
        <v>0</v>
      </c>
      <c r="L953" s="15">
        <f t="shared" si="70"/>
        <v>72103.33</v>
      </c>
      <c r="M953" t="s">
        <v>147</v>
      </c>
      <c r="N953" t="s">
        <v>2080</v>
      </c>
      <c r="O953" t="s">
        <v>149</v>
      </c>
      <c r="P953" t="s">
        <v>140</v>
      </c>
      <c r="Q953" t="s">
        <v>128</v>
      </c>
      <c r="R953" s="16">
        <v>45683.947916666701</v>
      </c>
      <c r="S953" t="s">
        <v>130</v>
      </c>
      <c r="V953" t="b">
        <f t="shared" si="71"/>
        <v>0</v>
      </c>
      <c r="W953" t="b">
        <f>AND(OR(WEEKDAY(C953,2)=5,WEEKDAY(C953,2)=6),'01_Parameters'!$C$11="Enabled")</f>
        <v>0</v>
      </c>
      <c r="X953" t="b">
        <f t="shared" si="72"/>
        <v>1</v>
      </c>
      <c r="Y953" t="b">
        <f t="shared" si="73"/>
        <v>0</v>
      </c>
      <c r="Z953" t="b">
        <f t="shared" si="74"/>
        <v>0</v>
      </c>
    </row>
    <row r="954" spans="1:26" ht="15" customHeight="1">
      <c r="A954" t="s">
        <v>2078</v>
      </c>
      <c r="B954" t="s">
        <v>2081</v>
      </c>
      <c r="C954" s="14">
        <v>45683</v>
      </c>
      <c r="D954" s="14">
        <v>45679</v>
      </c>
      <c r="E954">
        <v>2025</v>
      </c>
      <c r="F954">
        <v>1</v>
      </c>
      <c r="G954" t="s">
        <v>153</v>
      </c>
      <c r="H954" t="s">
        <v>154</v>
      </c>
      <c r="I954" t="s">
        <v>155</v>
      </c>
      <c r="J954" s="15">
        <v>0</v>
      </c>
      <c r="K954" s="15">
        <v>72103.33</v>
      </c>
      <c r="L954" s="15">
        <f t="shared" si="70"/>
        <v>-72103.33</v>
      </c>
      <c r="M954" t="s">
        <v>147</v>
      </c>
      <c r="N954" t="s">
        <v>2080</v>
      </c>
      <c r="O954" t="s">
        <v>149</v>
      </c>
      <c r="P954" t="s">
        <v>140</v>
      </c>
      <c r="Q954" t="s">
        <v>128</v>
      </c>
      <c r="R954" s="16">
        <v>45683.947916666701</v>
      </c>
      <c r="S954" t="s">
        <v>130</v>
      </c>
      <c r="V954" t="b">
        <f t="shared" si="71"/>
        <v>0</v>
      </c>
      <c r="W954" t="b">
        <f>AND(OR(WEEKDAY(C954,2)=5,WEEKDAY(C954,2)=6),'01_Parameters'!$C$11="Enabled")</f>
        <v>0</v>
      </c>
      <c r="X954" t="b">
        <f t="shared" si="72"/>
        <v>1</v>
      </c>
      <c r="Y954" t="b">
        <f t="shared" si="73"/>
        <v>0</v>
      </c>
      <c r="Z954" t="b">
        <f t="shared" si="74"/>
        <v>0</v>
      </c>
    </row>
    <row r="955" spans="1:26" ht="15" customHeight="1">
      <c r="A955" t="s">
        <v>2082</v>
      </c>
      <c r="B955" t="s">
        <v>2083</v>
      </c>
      <c r="C955" s="14">
        <v>45899</v>
      </c>
      <c r="D955" s="14">
        <v>45898</v>
      </c>
      <c r="E955">
        <v>2025</v>
      </c>
      <c r="F955">
        <v>8</v>
      </c>
      <c r="G955" t="s">
        <v>122</v>
      </c>
      <c r="H955" t="s">
        <v>123</v>
      </c>
      <c r="I955" t="s">
        <v>124</v>
      </c>
      <c r="J955" s="15">
        <v>64500.94</v>
      </c>
      <c r="K955" s="15">
        <v>0</v>
      </c>
      <c r="L955" s="15">
        <f t="shared" si="70"/>
        <v>64500.94</v>
      </c>
      <c r="M955" t="s">
        <v>209</v>
      </c>
      <c r="N955" t="s">
        <v>886</v>
      </c>
      <c r="O955" t="s">
        <v>211</v>
      </c>
      <c r="P955" t="s">
        <v>129</v>
      </c>
      <c r="Q955" t="s">
        <v>175</v>
      </c>
      <c r="R955" s="16">
        <v>45899.8125</v>
      </c>
      <c r="S955" t="s">
        <v>130</v>
      </c>
      <c r="T955" t="s">
        <v>887</v>
      </c>
      <c r="U955" t="s">
        <v>886</v>
      </c>
      <c r="V955" t="b">
        <f t="shared" si="71"/>
        <v>0</v>
      </c>
      <c r="W955" t="b">
        <f>AND(OR(WEEKDAY(C955,2)=5,WEEKDAY(C955,2)=6),'01_Parameters'!$C$11="Enabled")</f>
        <v>1</v>
      </c>
      <c r="X955" t="b">
        <f t="shared" si="72"/>
        <v>1</v>
      </c>
      <c r="Y955" t="b">
        <f t="shared" si="73"/>
        <v>0</v>
      </c>
      <c r="Z955" t="b">
        <f t="shared" si="74"/>
        <v>0</v>
      </c>
    </row>
    <row r="956" spans="1:26" ht="15" customHeight="1">
      <c r="A956" t="s">
        <v>2082</v>
      </c>
      <c r="B956" t="s">
        <v>2084</v>
      </c>
      <c r="C956" s="14">
        <v>45899</v>
      </c>
      <c r="D956" s="14">
        <v>45898</v>
      </c>
      <c r="E956">
        <v>2025</v>
      </c>
      <c r="F956">
        <v>8</v>
      </c>
      <c r="G956" t="s">
        <v>132</v>
      </c>
      <c r="H956" t="s">
        <v>133</v>
      </c>
      <c r="I956" t="s">
        <v>134</v>
      </c>
      <c r="J956" s="15">
        <v>0</v>
      </c>
      <c r="K956" s="15">
        <v>64500.94</v>
      </c>
      <c r="L956" s="15">
        <f t="shared" si="70"/>
        <v>-64500.94</v>
      </c>
      <c r="M956" t="s">
        <v>209</v>
      </c>
      <c r="N956" t="s">
        <v>886</v>
      </c>
      <c r="O956" t="s">
        <v>211</v>
      </c>
      <c r="P956" t="s">
        <v>129</v>
      </c>
      <c r="Q956" t="s">
        <v>175</v>
      </c>
      <c r="R956" s="16">
        <v>45899.8125</v>
      </c>
      <c r="S956" t="s">
        <v>130</v>
      </c>
      <c r="T956" t="s">
        <v>887</v>
      </c>
      <c r="U956" t="s">
        <v>886</v>
      </c>
      <c r="V956" t="b">
        <f t="shared" si="71"/>
        <v>0</v>
      </c>
      <c r="W956" t="b">
        <f>AND(OR(WEEKDAY(C956,2)=5,WEEKDAY(C956,2)=6),'01_Parameters'!$C$11="Enabled")</f>
        <v>1</v>
      </c>
      <c r="X956" t="b">
        <f t="shared" si="72"/>
        <v>1</v>
      </c>
      <c r="Y956" t="b">
        <f t="shared" si="73"/>
        <v>0</v>
      </c>
      <c r="Z956" t="b">
        <f t="shared" si="74"/>
        <v>0</v>
      </c>
    </row>
    <row r="957" spans="1:26" ht="15" customHeight="1">
      <c r="A957" t="s">
        <v>2085</v>
      </c>
      <c r="B957" t="s">
        <v>2086</v>
      </c>
      <c r="C957" s="14">
        <v>45959</v>
      </c>
      <c r="D957" s="14">
        <v>45955</v>
      </c>
      <c r="E957">
        <v>2025</v>
      </c>
      <c r="F957">
        <v>10</v>
      </c>
      <c r="G957" t="s">
        <v>144</v>
      </c>
      <c r="H957" t="s">
        <v>145</v>
      </c>
      <c r="I957" t="s">
        <v>146</v>
      </c>
      <c r="J957" s="15">
        <v>51727.96</v>
      </c>
      <c r="K957" s="15">
        <v>0</v>
      </c>
      <c r="L957" s="15">
        <f t="shared" si="70"/>
        <v>51727.96</v>
      </c>
      <c r="M957" t="s">
        <v>147</v>
      </c>
      <c r="N957" t="s">
        <v>2087</v>
      </c>
      <c r="O957" t="s">
        <v>149</v>
      </c>
      <c r="P957" t="s">
        <v>140</v>
      </c>
      <c r="Q957" t="s">
        <v>151</v>
      </c>
      <c r="R957" s="16">
        <v>45959.625</v>
      </c>
      <c r="S957" t="s">
        <v>130</v>
      </c>
      <c r="V957" t="b">
        <f t="shared" si="71"/>
        <v>0</v>
      </c>
      <c r="W957" t="b">
        <f>AND(OR(WEEKDAY(C957,2)=5,WEEKDAY(C957,2)=6),'01_Parameters'!$C$11="Enabled")</f>
        <v>0</v>
      </c>
      <c r="X957" t="b">
        <f t="shared" si="72"/>
        <v>0</v>
      </c>
      <c r="Y957" t="b">
        <f t="shared" si="73"/>
        <v>0</v>
      </c>
      <c r="Z957" t="b">
        <f t="shared" si="74"/>
        <v>0</v>
      </c>
    </row>
    <row r="958" spans="1:26" ht="15" customHeight="1">
      <c r="A958" t="s">
        <v>2085</v>
      </c>
      <c r="B958" t="s">
        <v>2088</v>
      </c>
      <c r="C958" s="14">
        <v>45959</v>
      </c>
      <c r="D958" s="14">
        <v>45955</v>
      </c>
      <c r="E958">
        <v>2025</v>
      </c>
      <c r="F958">
        <v>10</v>
      </c>
      <c r="G958" t="s">
        <v>153</v>
      </c>
      <c r="H958" t="s">
        <v>154</v>
      </c>
      <c r="I958" t="s">
        <v>155</v>
      </c>
      <c r="J958" s="15">
        <v>0</v>
      </c>
      <c r="K958" s="15">
        <v>51727.96</v>
      </c>
      <c r="L958" s="15">
        <f t="shared" si="70"/>
        <v>-51727.96</v>
      </c>
      <c r="M958" t="s">
        <v>147</v>
      </c>
      <c r="N958" t="s">
        <v>2087</v>
      </c>
      <c r="O958" t="s">
        <v>149</v>
      </c>
      <c r="P958" t="s">
        <v>140</v>
      </c>
      <c r="Q958" t="s">
        <v>151</v>
      </c>
      <c r="R958" s="16">
        <v>45959.625</v>
      </c>
      <c r="S958" t="s">
        <v>130</v>
      </c>
      <c r="V958" t="b">
        <f t="shared" si="71"/>
        <v>0</v>
      </c>
      <c r="W958" t="b">
        <f>AND(OR(WEEKDAY(C958,2)=5,WEEKDAY(C958,2)=6),'01_Parameters'!$C$11="Enabled")</f>
        <v>0</v>
      </c>
      <c r="X958" t="b">
        <f t="shared" si="72"/>
        <v>0</v>
      </c>
      <c r="Y958" t="b">
        <f t="shared" si="73"/>
        <v>0</v>
      </c>
      <c r="Z958" t="b">
        <f t="shared" si="74"/>
        <v>0</v>
      </c>
    </row>
    <row r="959" spans="1:26" ht="15" customHeight="1">
      <c r="A959" t="s">
        <v>2089</v>
      </c>
      <c r="B959" t="s">
        <v>2090</v>
      </c>
      <c r="C959" s="14">
        <v>45762</v>
      </c>
      <c r="D959" s="14">
        <v>45762</v>
      </c>
      <c r="E959">
        <v>2025</v>
      </c>
      <c r="F959">
        <v>4</v>
      </c>
      <c r="G959" t="s">
        <v>158</v>
      </c>
      <c r="H959" t="s">
        <v>159</v>
      </c>
      <c r="I959" t="s">
        <v>124</v>
      </c>
      <c r="J959" s="15">
        <v>34870.14</v>
      </c>
      <c r="K959" s="15">
        <v>0</v>
      </c>
      <c r="L959" s="15">
        <f t="shared" si="70"/>
        <v>34870.14</v>
      </c>
      <c r="M959" t="s">
        <v>160</v>
      </c>
      <c r="N959" t="s">
        <v>2091</v>
      </c>
      <c r="O959" t="s">
        <v>162</v>
      </c>
      <c r="P959" t="s">
        <v>150</v>
      </c>
      <c r="Q959" t="s">
        <v>175</v>
      </c>
      <c r="R959" s="16">
        <v>45762.625</v>
      </c>
      <c r="S959" t="s">
        <v>130</v>
      </c>
      <c r="V959" t="b">
        <f t="shared" si="71"/>
        <v>0</v>
      </c>
      <c r="W959" t="b">
        <f>AND(OR(WEEKDAY(C959,2)=5,WEEKDAY(C959,2)=6),'01_Parameters'!$C$11="Enabled")</f>
        <v>0</v>
      </c>
      <c r="X959" t="b">
        <f t="shared" si="72"/>
        <v>0</v>
      </c>
      <c r="Y959" t="b">
        <f t="shared" si="73"/>
        <v>0</v>
      </c>
      <c r="Z959" t="b">
        <f t="shared" si="74"/>
        <v>0</v>
      </c>
    </row>
    <row r="960" spans="1:26" ht="15" customHeight="1">
      <c r="A960" t="s">
        <v>2089</v>
      </c>
      <c r="B960" t="s">
        <v>2092</v>
      </c>
      <c r="C960" s="14">
        <v>45762</v>
      </c>
      <c r="D960" s="14">
        <v>45762</v>
      </c>
      <c r="E960">
        <v>2025</v>
      </c>
      <c r="F960">
        <v>4</v>
      </c>
      <c r="G960" t="s">
        <v>164</v>
      </c>
      <c r="H960" t="s">
        <v>165</v>
      </c>
      <c r="I960" t="s">
        <v>146</v>
      </c>
      <c r="J960" s="15">
        <v>0</v>
      </c>
      <c r="K960" s="15">
        <v>34870.14</v>
      </c>
      <c r="L960" s="15">
        <f t="shared" si="70"/>
        <v>-34870.14</v>
      </c>
      <c r="M960" t="s">
        <v>160</v>
      </c>
      <c r="N960" t="s">
        <v>2091</v>
      </c>
      <c r="O960" t="s">
        <v>162</v>
      </c>
      <c r="P960" t="s">
        <v>150</v>
      </c>
      <c r="Q960" t="s">
        <v>175</v>
      </c>
      <c r="R960" s="16">
        <v>45762.625</v>
      </c>
      <c r="S960" t="s">
        <v>130</v>
      </c>
      <c r="V960" t="b">
        <f t="shared" si="71"/>
        <v>0</v>
      </c>
      <c r="W960" t="b">
        <f>AND(OR(WEEKDAY(C960,2)=5,WEEKDAY(C960,2)=6),'01_Parameters'!$C$11="Enabled")</f>
        <v>0</v>
      </c>
      <c r="X960" t="b">
        <f t="shared" si="72"/>
        <v>0</v>
      </c>
      <c r="Y960" t="b">
        <f t="shared" si="73"/>
        <v>0</v>
      </c>
      <c r="Z960" t="b">
        <f t="shared" si="74"/>
        <v>0</v>
      </c>
    </row>
    <row r="961" spans="1:26" ht="15" customHeight="1">
      <c r="A961" t="s">
        <v>2093</v>
      </c>
      <c r="B961" t="s">
        <v>2094</v>
      </c>
      <c r="C961" s="14">
        <v>45757</v>
      </c>
      <c r="D961" s="14">
        <v>45757</v>
      </c>
      <c r="E961">
        <v>2025</v>
      </c>
      <c r="F961">
        <v>4</v>
      </c>
      <c r="G961" t="s">
        <v>158</v>
      </c>
      <c r="H961" t="s">
        <v>159</v>
      </c>
      <c r="I961" t="s">
        <v>124</v>
      </c>
      <c r="J961" s="15">
        <v>71815.16</v>
      </c>
      <c r="K961" s="15">
        <v>0</v>
      </c>
      <c r="L961" s="15">
        <f t="shared" si="70"/>
        <v>71815.16</v>
      </c>
      <c r="M961" t="s">
        <v>160</v>
      </c>
      <c r="N961" t="s">
        <v>2095</v>
      </c>
      <c r="O961" t="s">
        <v>162</v>
      </c>
      <c r="P961" t="s">
        <v>175</v>
      </c>
      <c r="Q961" t="s">
        <v>140</v>
      </c>
      <c r="R961" s="16">
        <v>45757.875</v>
      </c>
      <c r="S961" t="s">
        <v>130</v>
      </c>
      <c r="V961" t="b">
        <f t="shared" si="71"/>
        <v>0</v>
      </c>
      <c r="W961" t="b">
        <f>AND(OR(WEEKDAY(C961,2)=5,WEEKDAY(C961,2)=6),'01_Parameters'!$C$11="Enabled")</f>
        <v>0</v>
      </c>
      <c r="X961" t="b">
        <f t="shared" si="72"/>
        <v>1</v>
      </c>
      <c r="Y961" t="b">
        <f t="shared" si="73"/>
        <v>0</v>
      </c>
      <c r="Z961" t="b">
        <f t="shared" si="74"/>
        <v>0</v>
      </c>
    </row>
    <row r="962" spans="1:26" ht="15" customHeight="1">
      <c r="A962" t="s">
        <v>2093</v>
      </c>
      <c r="B962" t="s">
        <v>2096</v>
      </c>
      <c r="C962" s="14">
        <v>45757</v>
      </c>
      <c r="D962" s="14">
        <v>45757</v>
      </c>
      <c r="E962">
        <v>2025</v>
      </c>
      <c r="F962">
        <v>4</v>
      </c>
      <c r="G962" t="s">
        <v>164</v>
      </c>
      <c r="H962" t="s">
        <v>165</v>
      </c>
      <c r="I962" t="s">
        <v>146</v>
      </c>
      <c r="J962" s="15">
        <v>0</v>
      </c>
      <c r="K962" s="15">
        <v>71815.16</v>
      </c>
      <c r="L962" s="15">
        <f t="shared" si="70"/>
        <v>-71815.16</v>
      </c>
      <c r="M962" t="s">
        <v>160</v>
      </c>
      <c r="N962" t="s">
        <v>2095</v>
      </c>
      <c r="O962" t="s">
        <v>162</v>
      </c>
      <c r="P962" t="s">
        <v>175</v>
      </c>
      <c r="Q962" t="s">
        <v>140</v>
      </c>
      <c r="R962" s="16">
        <v>45757.875</v>
      </c>
      <c r="S962" t="s">
        <v>130</v>
      </c>
      <c r="V962" t="b">
        <f t="shared" si="71"/>
        <v>0</v>
      </c>
      <c r="W962" t="b">
        <f>AND(OR(WEEKDAY(C962,2)=5,WEEKDAY(C962,2)=6),'01_Parameters'!$C$11="Enabled")</f>
        <v>0</v>
      </c>
      <c r="X962" t="b">
        <f t="shared" si="72"/>
        <v>1</v>
      </c>
      <c r="Y962" t="b">
        <f t="shared" si="73"/>
        <v>0</v>
      </c>
      <c r="Z962" t="b">
        <f t="shared" si="74"/>
        <v>0</v>
      </c>
    </row>
    <row r="963" spans="1:26" ht="15" customHeight="1">
      <c r="A963" t="s">
        <v>2097</v>
      </c>
      <c r="B963" t="s">
        <v>2098</v>
      </c>
      <c r="C963" s="14">
        <v>46020</v>
      </c>
      <c r="D963" s="14">
        <v>45746</v>
      </c>
      <c r="E963">
        <v>2025</v>
      </c>
      <c r="F963">
        <v>12</v>
      </c>
      <c r="G963" t="s">
        <v>158</v>
      </c>
      <c r="H963" t="s">
        <v>159</v>
      </c>
      <c r="I963" t="s">
        <v>124</v>
      </c>
      <c r="J963" s="15">
        <v>62046.1</v>
      </c>
      <c r="K963" s="15">
        <v>0</v>
      </c>
      <c r="L963" s="15">
        <f t="shared" si="70"/>
        <v>62046.1</v>
      </c>
      <c r="M963" t="s">
        <v>2099</v>
      </c>
      <c r="N963" t="s">
        <v>2100</v>
      </c>
      <c r="O963" t="s">
        <v>127</v>
      </c>
      <c r="P963" t="s">
        <v>150</v>
      </c>
      <c r="Q963" t="s">
        <v>175</v>
      </c>
      <c r="R963" s="16">
        <v>45746.427083333299</v>
      </c>
      <c r="S963" t="s">
        <v>130</v>
      </c>
      <c r="V963" t="b">
        <f t="shared" si="71"/>
        <v>1</v>
      </c>
      <c r="W963" t="b">
        <f>AND(OR(WEEKDAY(C963,2)=5,WEEKDAY(C963,2)=6),'01_Parameters'!$C$11="Enabled")</f>
        <v>0</v>
      </c>
      <c r="X963" t="b">
        <f t="shared" si="72"/>
        <v>0</v>
      </c>
      <c r="Y963" t="b">
        <f t="shared" si="73"/>
        <v>0</v>
      </c>
      <c r="Z963" t="b">
        <f t="shared" si="74"/>
        <v>0</v>
      </c>
    </row>
    <row r="964" spans="1:26" ht="15" customHeight="1">
      <c r="A964" t="s">
        <v>2097</v>
      </c>
      <c r="B964" t="s">
        <v>2101</v>
      </c>
      <c r="C964" s="14">
        <v>46020</v>
      </c>
      <c r="D964" s="14">
        <v>45746</v>
      </c>
      <c r="E964">
        <v>2025</v>
      </c>
      <c r="F964">
        <v>12</v>
      </c>
      <c r="G964" t="s">
        <v>164</v>
      </c>
      <c r="H964" t="s">
        <v>165</v>
      </c>
      <c r="I964" t="s">
        <v>146</v>
      </c>
      <c r="J964" s="15">
        <v>0</v>
      </c>
      <c r="K964" s="15">
        <v>62046.1</v>
      </c>
      <c r="L964" s="15">
        <f t="shared" si="70"/>
        <v>-62046.1</v>
      </c>
      <c r="M964" t="s">
        <v>2099</v>
      </c>
      <c r="N964" t="s">
        <v>2100</v>
      </c>
      <c r="O964" t="s">
        <v>127</v>
      </c>
      <c r="P964" t="s">
        <v>150</v>
      </c>
      <c r="Q964" t="s">
        <v>175</v>
      </c>
      <c r="R964" s="16">
        <v>45746.427083333299</v>
      </c>
      <c r="S964" t="s">
        <v>130</v>
      </c>
      <c r="V964" t="b">
        <f t="shared" si="71"/>
        <v>1</v>
      </c>
      <c r="W964" t="b">
        <f>AND(OR(WEEKDAY(C964,2)=5,WEEKDAY(C964,2)=6),'01_Parameters'!$C$11="Enabled")</f>
        <v>0</v>
      </c>
      <c r="X964" t="b">
        <f t="shared" si="72"/>
        <v>0</v>
      </c>
      <c r="Y964" t="b">
        <f t="shared" si="73"/>
        <v>0</v>
      </c>
      <c r="Z964" t="b">
        <f t="shared" si="74"/>
        <v>0</v>
      </c>
    </row>
    <row r="965" spans="1:26" ht="15" customHeight="1">
      <c r="A965" t="s">
        <v>2102</v>
      </c>
      <c r="B965" t="s">
        <v>2103</v>
      </c>
      <c r="C965" s="14">
        <v>45763</v>
      </c>
      <c r="D965" s="14">
        <v>45760</v>
      </c>
      <c r="E965">
        <v>2025</v>
      </c>
      <c r="F965">
        <v>4</v>
      </c>
      <c r="G965" t="s">
        <v>172</v>
      </c>
      <c r="H965" t="s">
        <v>173</v>
      </c>
      <c r="I965" t="s">
        <v>124</v>
      </c>
      <c r="J965" s="15">
        <v>11901.04</v>
      </c>
      <c r="K965" s="15">
        <v>0</v>
      </c>
      <c r="L965" s="15">
        <f t="shared" ref="L965:L1028" si="75">J965-K965</f>
        <v>11901.04</v>
      </c>
      <c r="M965" t="s">
        <v>209</v>
      </c>
      <c r="N965" t="s">
        <v>907</v>
      </c>
      <c r="O965" t="s">
        <v>211</v>
      </c>
      <c r="P965" t="s">
        <v>150</v>
      </c>
      <c r="Q965" t="s">
        <v>140</v>
      </c>
      <c r="R965" s="16">
        <v>45763.645833333299</v>
      </c>
      <c r="S965" t="s">
        <v>130</v>
      </c>
      <c r="T965" t="s">
        <v>251</v>
      </c>
      <c r="U965" t="s">
        <v>907</v>
      </c>
      <c r="V965" t="b">
        <f t="shared" ref="V965:V1004" si="76">AND(C965&gt;=Year_End_Window_Start,C965&lt;=Year_End_Window_End)</f>
        <v>0</v>
      </c>
      <c r="W965" t="b">
        <f>AND(OR(WEEKDAY(C965,2)=5,WEEKDAY(C965,2)=6),'01_Parameters'!$C$11="Enabled")</f>
        <v>0</v>
      </c>
      <c r="X965" t="b">
        <f t="shared" ref="X965:X1004" si="77">AND(HOUR(R965)&lt;Business_Day_Start,HOUR(R965)&gt;=0)+AND(HOUR(R965)&gt;=Business_Day_End,HOUR(R965)&lt;=23)&gt;0</f>
        <v>0</v>
      </c>
      <c r="Y965" t="b">
        <f t="shared" ref="Y965:Y1004" si="78">ABS(L965)&gt;High_Value_GL_Threshold</f>
        <v>0</v>
      </c>
      <c r="Z965" t="b">
        <f t="shared" ref="Z965:Z1004" si="79">AND(ABS(L965)&gt;=Round_Number_Threshold,MOD(ABS(L965),Round_Number_Threshold)=0)</f>
        <v>0</v>
      </c>
    </row>
    <row r="966" spans="1:26" ht="15" customHeight="1">
      <c r="A966" t="s">
        <v>2102</v>
      </c>
      <c r="B966" t="s">
        <v>2104</v>
      </c>
      <c r="C966" s="14">
        <v>45763</v>
      </c>
      <c r="D966" s="14">
        <v>45760</v>
      </c>
      <c r="E966">
        <v>2025</v>
      </c>
      <c r="F966">
        <v>4</v>
      </c>
      <c r="G966" t="s">
        <v>132</v>
      </c>
      <c r="H966" t="s">
        <v>133</v>
      </c>
      <c r="I966" t="s">
        <v>134</v>
      </c>
      <c r="J966" s="15">
        <v>0</v>
      </c>
      <c r="K966" s="15">
        <v>11901.04</v>
      </c>
      <c r="L966" s="15">
        <f t="shared" si="75"/>
        <v>-11901.04</v>
      </c>
      <c r="M966" t="s">
        <v>209</v>
      </c>
      <c r="N966" t="s">
        <v>907</v>
      </c>
      <c r="O966" t="s">
        <v>211</v>
      </c>
      <c r="P966" t="s">
        <v>150</v>
      </c>
      <c r="Q966" t="s">
        <v>140</v>
      </c>
      <c r="R966" s="16">
        <v>45763.645833333299</v>
      </c>
      <c r="S966" t="s">
        <v>130</v>
      </c>
      <c r="T966" t="s">
        <v>251</v>
      </c>
      <c r="U966" t="s">
        <v>907</v>
      </c>
      <c r="V966" t="b">
        <f t="shared" si="76"/>
        <v>0</v>
      </c>
      <c r="W966" t="b">
        <f>AND(OR(WEEKDAY(C966,2)=5,WEEKDAY(C966,2)=6),'01_Parameters'!$C$11="Enabled")</f>
        <v>0</v>
      </c>
      <c r="X966" t="b">
        <f t="shared" si="77"/>
        <v>0</v>
      </c>
      <c r="Y966" t="b">
        <f t="shared" si="78"/>
        <v>0</v>
      </c>
      <c r="Z966" t="b">
        <f t="shared" si="79"/>
        <v>0</v>
      </c>
    </row>
    <row r="967" spans="1:26" ht="15" customHeight="1">
      <c r="A967" t="s">
        <v>2105</v>
      </c>
      <c r="B967" t="s">
        <v>2106</v>
      </c>
      <c r="C967" s="14">
        <v>45992</v>
      </c>
      <c r="D967" s="14">
        <v>45990</v>
      </c>
      <c r="E967">
        <v>2025</v>
      </c>
      <c r="F967">
        <v>12</v>
      </c>
      <c r="G967" t="s">
        <v>122</v>
      </c>
      <c r="H967" t="s">
        <v>123</v>
      </c>
      <c r="I967" t="s">
        <v>124</v>
      </c>
      <c r="J967" s="15">
        <v>30811.91</v>
      </c>
      <c r="K967" s="15">
        <v>0</v>
      </c>
      <c r="L967" s="15">
        <f t="shared" si="75"/>
        <v>30811.91</v>
      </c>
      <c r="M967" t="s">
        <v>209</v>
      </c>
      <c r="N967" t="s">
        <v>2107</v>
      </c>
      <c r="O967" t="s">
        <v>211</v>
      </c>
      <c r="P967" t="s">
        <v>129</v>
      </c>
      <c r="Q967" t="s">
        <v>140</v>
      </c>
      <c r="R967" s="16">
        <v>45992.791666666701</v>
      </c>
      <c r="S967" t="s">
        <v>130</v>
      </c>
      <c r="T967" t="s">
        <v>313</v>
      </c>
      <c r="U967" t="s">
        <v>2107</v>
      </c>
      <c r="V967" t="b">
        <f t="shared" si="76"/>
        <v>0</v>
      </c>
      <c r="W967" t="b">
        <f>AND(OR(WEEKDAY(C967,2)=5,WEEKDAY(C967,2)=6),'01_Parameters'!$C$11="Enabled")</f>
        <v>0</v>
      </c>
      <c r="X967" t="b">
        <f t="shared" si="77"/>
        <v>1</v>
      </c>
      <c r="Y967" t="b">
        <f t="shared" si="78"/>
        <v>0</v>
      </c>
      <c r="Z967" t="b">
        <f t="shared" si="79"/>
        <v>0</v>
      </c>
    </row>
    <row r="968" spans="1:26" ht="15" customHeight="1">
      <c r="A968" t="s">
        <v>2105</v>
      </c>
      <c r="B968" t="s">
        <v>2108</v>
      </c>
      <c r="C968" s="14">
        <v>45992</v>
      </c>
      <c r="D968" s="14">
        <v>45990</v>
      </c>
      <c r="E968">
        <v>2025</v>
      </c>
      <c r="F968">
        <v>12</v>
      </c>
      <c r="G968" t="s">
        <v>132</v>
      </c>
      <c r="H968" t="s">
        <v>133</v>
      </c>
      <c r="I968" t="s">
        <v>134</v>
      </c>
      <c r="J968" s="15">
        <v>0</v>
      </c>
      <c r="K968" s="15">
        <v>30811.91</v>
      </c>
      <c r="L968" s="15">
        <f t="shared" si="75"/>
        <v>-30811.91</v>
      </c>
      <c r="M968" t="s">
        <v>209</v>
      </c>
      <c r="N968" t="s">
        <v>2107</v>
      </c>
      <c r="O968" t="s">
        <v>211</v>
      </c>
      <c r="P968" t="s">
        <v>129</v>
      </c>
      <c r="Q968" t="s">
        <v>140</v>
      </c>
      <c r="R968" s="16">
        <v>45992.791666666701</v>
      </c>
      <c r="S968" t="s">
        <v>130</v>
      </c>
      <c r="T968" t="s">
        <v>313</v>
      </c>
      <c r="U968" t="s">
        <v>2107</v>
      </c>
      <c r="V968" t="b">
        <f t="shared" si="76"/>
        <v>0</v>
      </c>
      <c r="W968" t="b">
        <f>AND(OR(WEEKDAY(C968,2)=5,WEEKDAY(C968,2)=6),'01_Parameters'!$C$11="Enabled")</f>
        <v>0</v>
      </c>
      <c r="X968" t="b">
        <f t="shared" si="77"/>
        <v>1</v>
      </c>
      <c r="Y968" t="b">
        <f t="shared" si="78"/>
        <v>0</v>
      </c>
      <c r="Z968" t="b">
        <f t="shared" si="79"/>
        <v>0</v>
      </c>
    </row>
    <row r="969" spans="1:26" ht="15" customHeight="1">
      <c r="A969" t="s">
        <v>2109</v>
      </c>
      <c r="B969" t="s">
        <v>2110</v>
      </c>
      <c r="C969" s="14">
        <v>45844</v>
      </c>
      <c r="D969" s="14">
        <v>45842</v>
      </c>
      <c r="E969">
        <v>2025</v>
      </c>
      <c r="F969">
        <v>7</v>
      </c>
      <c r="G969" t="s">
        <v>122</v>
      </c>
      <c r="H969" t="s">
        <v>123</v>
      </c>
      <c r="I969" t="s">
        <v>124</v>
      </c>
      <c r="J969" s="15">
        <v>94798.52</v>
      </c>
      <c r="K969" s="15">
        <v>0</v>
      </c>
      <c r="L969" s="15">
        <f t="shared" si="75"/>
        <v>94798.52</v>
      </c>
      <c r="M969" t="s">
        <v>125</v>
      </c>
      <c r="N969" t="s">
        <v>2111</v>
      </c>
      <c r="O969" t="s">
        <v>127</v>
      </c>
      <c r="P969" t="s">
        <v>140</v>
      </c>
      <c r="Q969" t="s">
        <v>128</v>
      </c>
      <c r="R969" s="16">
        <v>45844.90625</v>
      </c>
      <c r="S969" t="s">
        <v>130</v>
      </c>
      <c r="V969" t="b">
        <f t="shared" si="76"/>
        <v>0</v>
      </c>
      <c r="W969" t="b">
        <f>AND(OR(WEEKDAY(C969,2)=5,WEEKDAY(C969,2)=6),'01_Parameters'!$C$11="Enabled")</f>
        <v>0</v>
      </c>
      <c r="X969" t="b">
        <f t="shared" si="77"/>
        <v>1</v>
      </c>
      <c r="Y969" t="b">
        <f t="shared" si="78"/>
        <v>0</v>
      </c>
      <c r="Z969" t="b">
        <f t="shared" si="79"/>
        <v>0</v>
      </c>
    </row>
    <row r="970" spans="1:26" ht="15" customHeight="1">
      <c r="A970" t="s">
        <v>2109</v>
      </c>
      <c r="B970" t="s">
        <v>2112</v>
      </c>
      <c r="C970" s="14">
        <v>45844</v>
      </c>
      <c r="D970" s="14">
        <v>45842</v>
      </c>
      <c r="E970">
        <v>2025</v>
      </c>
      <c r="F970">
        <v>7</v>
      </c>
      <c r="G970" t="s">
        <v>132</v>
      </c>
      <c r="H970" t="s">
        <v>133</v>
      </c>
      <c r="I970" t="s">
        <v>134</v>
      </c>
      <c r="J970" s="15">
        <v>0</v>
      </c>
      <c r="K970" s="15">
        <v>94798.52</v>
      </c>
      <c r="L970" s="15">
        <f t="shared" si="75"/>
        <v>-94798.52</v>
      </c>
      <c r="M970" t="s">
        <v>125</v>
      </c>
      <c r="N970" t="s">
        <v>2111</v>
      </c>
      <c r="O970" t="s">
        <v>127</v>
      </c>
      <c r="P970" t="s">
        <v>140</v>
      </c>
      <c r="Q970" t="s">
        <v>128</v>
      </c>
      <c r="R970" s="16">
        <v>45844.90625</v>
      </c>
      <c r="S970" t="s">
        <v>130</v>
      </c>
      <c r="V970" t="b">
        <f t="shared" si="76"/>
        <v>0</v>
      </c>
      <c r="W970" t="b">
        <f>AND(OR(WEEKDAY(C970,2)=5,WEEKDAY(C970,2)=6),'01_Parameters'!$C$11="Enabled")</f>
        <v>0</v>
      </c>
      <c r="X970" t="b">
        <f t="shared" si="77"/>
        <v>1</v>
      </c>
      <c r="Y970" t="b">
        <f t="shared" si="78"/>
        <v>0</v>
      </c>
      <c r="Z970" t="b">
        <f t="shared" si="79"/>
        <v>0</v>
      </c>
    </row>
    <row r="971" spans="1:26" ht="15" customHeight="1">
      <c r="A971" t="s">
        <v>2113</v>
      </c>
      <c r="B971" t="s">
        <v>2114</v>
      </c>
      <c r="C971" s="14">
        <v>45933</v>
      </c>
      <c r="D971" s="14">
        <v>45928</v>
      </c>
      <c r="E971">
        <v>2025</v>
      </c>
      <c r="F971">
        <v>10</v>
      </c>
      <c r="G971" t="s">
        <v>144</v>
      </c>
      <c r="H971" t="s">
        <v>145</v>
      </c>
      <c r="I971" t="s">
        <v>146</v>
      </c>
      <c r="J971" s="15">
        <v>75180.539999999994</v>
      </c>
      <c r="K971" s="15">
        <v>0</v>
      </c>
      <c r="L971" s="15">
        <f t="shared" si="75"/>
        <v>75180.539999999994</v>
      </c>
      <c r="M971" t="s">
        <v>147</v>
      </c>
      <c r="N971" t="s">
        <v>2115</v>
      </c>
      <c r="O971" t="s">
        <v>149</v>
      </c>
      <c r="P971" t="s">
        <v>128</v>
      </c>
      <c r="Q971" t="s">
        <v>151</v>
      </c>
      <c r="R971" s="16">
        <v>45933.5625</v>
      </c>
      <c r="S971" t="s">
        <v>130</v>
      </c>
      <c r="V971" t="b">
        <f t="shared" si="76"/>
        <v>0</v>
      </c>
      <c r="W971" t="b">
        <f>AND(OR(WEEKDAY(C971,2)=5,WEEKDAY(C971,2)=6),'01_Parameters'!$C$11="Enabled")</f>
        <v>1</v>
      </c>
      <c r="X971" t="b">
        <f t="shared" si="77"/>
        <v>0</v>
      </c>
      <c r="Y971" t="b">
        <f t="shared" si="78"/>
        <v>0</v>
      </c>
      <c r="Z971" t="b">
        <f t="shared" si="79"/>
        <v>0</v>
      </c>
    </row>
    <row r="972" spans="1:26" ht="15" customHeight="1">
      <c r="A972" t="s">
        <v>2113</v>
      </c>
      <c r="B972" t="s">
        <v>2116</v>
      </c>
      <c r="C972" s="14">
        <v>45933</v>
      </c>
      <c r="D972" s="14">
        <v>45928</v>
      </c>
      <c r="E972">
        <v>2025</v>
      </c>
      <c r="F972">
        <v>10</v>
      </c>
      <c r="G972" t="s">
        <v>153</v>
      </c>
      <c r="H972" t="s">
        <v>154</v>
      </c>
      <c r="I972" t="s">
        <v>155</v>
      </c>
      <c r="J972" s="15">
        <v>0</v>
      </c>
      <c r="K972" s="15">
        <v>75180.539999999994</v>
      </c>
      <c r="L972" s="15">
        <f t="shared" si="75"/>
        <v>-75180.539999999994</v>
      </c>
      <c r="M972" t="s">
        <v>147</v>
      </c>
      <c r="N972" t="s">
        <v>2115</v>
      </c>
      <c r="O972" t="s">
        <v>149</v>
      </c>
      <c r="P972" t="s">
        <v>128</v>
      </c>
      <c r="Q972" t="s">
        <v>151</v>
      </c>
      <c r="R972" s="16">
        <v>45933.5625</v>
      </c>
      <c r="S972" t="s">
        <v>130</v>
      </c>
      <c r="V972" t="b">
        <f t="shared" si="76"/>
        <v>0</v>
      </c>
      <c r="W972" t="b">
        <f>AND(OR(WEEKDAY(C972,2)=5,WEEKDAY(C972,2)=6),'01_Parameters'!$C$11="Enabled")</f>
        <v>1</v>
      </c>
      <c r="X972" t="b">
        <f t="shared" si="77"/>
        <v>0</v>
      </c>
      <c r="Y972" t="b">
        <f t="shared" si="78"/>
        <v>0</v>
      </c>
      <c r="Z972" t="b">
        <f t="shared" si="79"/>
        <v>0</v>
      </c>
    </row>
    <row r="973" spans="1:26" ht="15" customHeight="1">
      <c r="A973" t="s">
        <v>2117</v>
      </c>
      <c r="B973" t="s">
        <v>2118</v>
      </c>
      <c r="C973" s="14">
        <v>45973</v>
      </c>
      <c r="D973" s="14">
        <v>45972</v>
      </c>
      <c r="E973">
        <v>2025</v>
      </c>
      <c r="F973">
        <v>11</v>
      </c>
      <c r="G973" t="s">
        <v>417</v>
      </c>
      <c r="H973" t="s">
        <v>418</v>
      </c>
      <c r="I973" t="s">
        <v>124</v>
      </c>
      <c r="J973" s="15">
        <v>149497.67000000001</v>
      </c>
      <c r="K973" s="15">
        <v>0</v>
      </c>
      <c r="L973" s="15">
        <f t="shared" si="75"/>
        <v>149497.67000000001</v>
      </c>
      <c r="M973" t="s">
        <v>125</v>
      </c>
      <c r="N973" t="s">
        <v>2119</v>
      </c>
      <c r="O973" t="s">
        <v>127</v>
      </c>
      <c r="P973" t="s">
        <v>140</v>
      </c>
      <c r="Q973" t="s">
        <v>128</v>
      </c>
      <c r="R973" s="16">
        <v>45973.864583333299</v>
      </c>
      <c r="S973" t="s">
        <v>130</v>
      </c>
      <c r="V973" t="b">
        <f t="shared" si="76"/>
        <v>0</v>
      </c>
      <c r="W973" t="b">
        <f>AND(OR(WEEKDAY(C973,2)=5,WEEKDAY(C973,2)=6),'01_Parameters'!$C$11="Enabled")</f>
        <v>0</v>
      </c>
      <c r="X973" t="b">
        <f t="shared" si="77"/>
        <v>1</v>
      </c>
      <c r="Y973" t="b">
        <f t="shared" si="78"/>
        <v>1</v>
      </c>
      <c r="Z973" t="b">
        <f t="shared" si="79"/>
        <v>0</v>
      </c>
    </row>
    <row r="974" spans="1:26" ht="15" customHeight="1">
      <c r="A974" t="s">
        <v>2117</v>
      </c>
      <c r="B974" t="s">
        <v>2120</v>
      </c>
      <c r="C974" s="14">
        <v>45973</v>
      </c>
      <c r="D974" s="14">
        <v>45972</v>
      </c>
      <c r="E974">
        <v>2025</v>
      </c>
      <c r="F974">
        <v>11</v>
      </c>
      <c r="G974" t="s">
        <v>132</v>
      </c>
      <c r="H974" t="s">
        <v>133</v>
      </c>
      <c r="I974" t="s">
        <v>134</v>
      </c>
      <c r="J974" s="15">
        <v>0</v>
      </c>
      <c r="K974" s="15">
        <v>149497.67000000001</v>
      </c>
      <c r="L974" s="15">
        <f t="shared" si="75"/>
        <v>-149497.67000000001</v>
      </c>
      <c r="M974" t="s">
        <v>125</v>
      </c>
      <c r="N974" t="s">
        <v>2119</v>
      </c>
      <c r="O974" t="s">
        <v>127</v>
      </c>
      <c r="P974" t="s">
        <v>140</v>
      </c>
      <c r="Q974" t="s">
        <v>128</v>
      </c>
      <c r="R974" s="16">
        <v>45973.864583333299</v>
      </c>
      <c r="S974" t="s">
        <v>130</v>
      </c>
      <c r="V974" t="b">
        <f t="shared" si="76"/>
        <v>0</v>
      </c>
      <c r="W974" t="b">
        <f>AND(OR(WEEKDAY(C974,2)=5,WEEKDAY(C974,2)=6),'01_Parameters'!$C$11="Enabled")</f>
        <v>0</v>
      </c>
      <c r="X974" t="b">
        <f t="shared" si="77"/>
        <v>1</v>
      </c>
      <c r="Y974" t="b">
        <f t="shared" si="78"/>
        <v>1</v>
      </c>
      <c r="Z974" t="b">
        <f t="shared" si="79"/>
        <v>0</v>
      </c>
    </row>
    <row r="975" spans="1:26" ht="15" customHeight="1">
      <c r="A975" t="s">
        <v>2121</v>
      </c>
      <c r="B975" t="s">
        <v>2122</v>
      </c>
      <c r="C975" s="14">
        <v>45672</v>
      </c>
      <c r="D975" s="14">
        <v>45667</v>
      </c>
      <c r="E975">
        <v>2025</v>
      </c>
      <c r="F975">
        <v>1</v>
      </c>
      <c r="G975" t="s">
        <v>193</v>
      </c>
      <c r="H975" t="s">
        <v>194</v>
      </c>
      <c r="I975" t="s">
        <v>124</v>
      </c>
      <c r="J975" s="15">
        <v>33194.449999999997</v>
      </c>
      <c r="K975" s="15">
        <v>0</v>
      </c>
      <c r="L975" s="15">
        <f t="shared" si="75"/>
        <v>33194.449999999997</v>
      </c>
      <c r="M975" t="s">
        <v>195</v>
      </c>
      <c r="N975" t="s">
        <v>2123</v>
      </c>
      <c r="O975" t="s">
        <v>197</v>
      </c>
      <c r="P975" t="s">
        <v>150</v>
      </c>
      <c r="Q975" t="s">
        <v>128</v>
      </c>
      <c r="R975" s="16">
        <v>45672.8125</v>
      </c>
      <c r="S975" t="s">
        <v>130</v>
      </c>
      <c r="V975" t="b">
        <f t="shared" si="76"/>
        <v>0</v>
      </c>
      <c r="W975" t="b">
        <f>AND(OR(WEEKDAY(C975,2)=5,WEEKDAY(C975,2)=6),'01_Parameters'!$C$11="Enabled")</f>
        <v>0</v>
      </c>
      <c r="X975" t="b">
        <f t="shared" si="77"/>
        <v>1</v>
      </c>
      <c r="Y975" t="b">
        <f t="shared" si="78"/>
        <v>0</v>
      </c>
      <c r="Z975" t="b">
        <f t="shared" si="79"/>
        <v>0</v>
      </c>
    </row>
    <row r="976" spans="1:26" ht="15" customHeight="1">
      <c r="A976" t="s">
        <v>2121</v>
      </c>
      <c r="B976" t="s">
        <v>2124</v>
      </c>
      <c r="C976" s="14">
        <v>45672</v>
      </c>
      <c r="D976" s="14">
        <v>45667</v>
      </c>
      <c r="E976">
        <v>2025</v>
      </c>
      <c r="F976">
        <v>1</v>
      </c>
      <c r="G976" t="s">
        <v>199</v>
      </c>
      <c r="H976" t="s">
        <v>200</v>
      </c>
      <c r="I976" t="s">
        <v>146</v>
      </c>
      <c r="J976" s="15">
        <v>0</v>
      </c>
      <c r="K976" s="15">
        <v>33194.449999999997</v>
      </c>
      <c r="L976" s="15">
        <f t="shared" si="75"/>
        <v>-33194.449999999997</v>
      </c>
      <c r="M976" t="s">
        <v>195</v>
      </c>
      <c r="N976" t="s">
        <v>2123</v>
      </c>
      <c r="O976" t="s">
        <v>197</v>
      </c>
      <c r="P976" t="s">
        <v>150</v>
      </c>
      <c r="Q976" t="s">
        <v>128</v>
      </c>
      <c r="R976" s="16">
        <v>45672.8125</v>
      </c>
      <c r="S976" t="s">
        <v>130</v>
      </c>
      <c r="V976" t="b">
        <f t="shared" si="76"/>
        <v>0</v>
      </c>
      <c r="W976" t="b">
        <f>AND(OR(WEEKDAY(C976,2)=5,WEEKDAY(C976,2)=6),'01_Parameters'!$C$11="Enabled")</f>
        <v>0</v>
      </c>
      <c r="X976" t="b">
        <f t="shared" si="77"/>
        <v>1</v>
      </c>
      <c r="Y976" t="b">
        <f t="shared" si="78"/>
        <v>0</v>
      </c>
      <c r="Z976" t="b">
        <f t="shared" si="79"/>
        <v>0</v>
      </c>
    </row>
    <row r="977" spans="1:26" ht="15" customHeight="1">
      <c r="A977" t="s">
        <v>2125</v>
      </c>
      <c r="B977" t="s">
        <v>2126</v>
      </c>
      <c r="C977" s="14">
        <v>46014</v>
      </c>
      <c r="D977" s="14">
        <v>46011</v>
      </c>
      <c r="E977">
        <v>2025</v>
      </c>
      <c r="F977">
        <v>12</v>
      </c>
      <c r="G977" t="s">
        <v>193</v>
      </c>
      <c r="H977" t="s">
        <v>194</v>
      </c>
      <c r="I977" t="s">
        <v>124</v>
      </c>
      <c r="J977" s="15">
        <v>75486.94</v>
      </c>
      <c r="K977" s="15">
        <v>0</v>
      </c>
      <c r="L977" s="15">
        <f t="shared" si="75"/>
        <v>75486.94</v>
      </c>
      <c r="M977" t="s">
        <v>195</v>
      </c>
      <c r="N977" t="s">
        <v>2127</v>
      </c>
      <c r="O977" t="s">
        <v>197</v>
      </c>
      <c r="P977" t="s">
        <v>175</v>
      </c>
      <c r="Q977" t="s">
        <v>140</v>
      </c>
      <c r="R977" s="16">
        <v>46014.302083333299</v>
      </c>
      <c r="S977" t="s">
        <v>130</v>
      </c>
      <c r="V977" t="b">
        <f t="shared" si="76"/>
        <v>1</v>
      </c>
      <c r="W977" t="b">
        <f>AND(OR(WEEKDAY(C977,2)=5,WEEKDAY(C977,2)=6),'01_Parameters'!$C$11="Enabled")</f>
        <v>0</v>
      </c>
      <c r="X977" t="b">
        <f t="shared" si="77"/>
        <v>1</v>
      </c>
      <c r="Y977" t="b">
        <f t="shared" si="78"/>
        <v>0</v>
      </c>
      <c r="Z977" t="b">
        <f t="shared" si="79"/>
        <v>0</v>
      </c>
    </row>
    <row r="978" spans="1:26" ht="15" customHeight="1">
      <c r="A978" t="s">
        <v>2125</v>
      </c>
      <c r="B978" t="s">
        <v>2128</v>
      </c>
      <c r="C978" s="14">
        <v>46014</v>
      </c>
      <c r="D978" s="14">
        <v>46011</v>
      </c>
      <c r="E978">
        <v>2025</v>
      </c>
      <c r="F978">
        <v>12</v>
      </c>
      <c r="G978" t="s">
        <v>199</v>
      </c>
      <c r="H978" t="s">
        <v>200</v>
      </c>
      <c r="I978" t="s">
        <v>146</v>
      </c>
      <c r="J978" s="15">
        <v>0</v>
      </c>
      <c r="K978" s="15">
        <v>75486.94</v>
      </c>
      <c r="L978" s="15">
        <f t="shared" si="75"/>
        <v>-75486.94</v>
      </c>
      <c r="M978" t="s">
        <v>195</v>
      </c>
      <c r="N978" t="s">
        <v>2127</v>
      </c>
      <c r="O978" t="s">
        <v>197</v>
      </c>
      <c r="P978" t="s">
        <v>175</v>
      </c>
      <c r="Q978" t="s">
        <v>140</v>
      </c>
      <c r="R978" s="16">
        <v>46014.302083333299</v>
      </c>
      <c r="S978" t="s">
        <v>130</v>
      </c>
      <c r="V978" t="b">
        <f t="shared" si="76"/>
        <v>1</v>
      </c>
      <c r="W978" t="b">
        <f>AND(OR(WEEKDAY(C978,2)=5,WEEKDAY(C978,2)=6),'01_Parameters'!$C$11="Enabled")</f>
        <v>0</v>
      </c>
      <c r="X978" t="b">
        <f t="shared" si="77"/>
        <v>1</v>
      </c>
      <c r="Y978" t="b">
        <f t="shared" si="78"/>
        <v>0</v>
      </c>
      <c r="Z978" t="b">
        <f t="shared" si="79"/>
        <v>0</v>
      </c>
    </row>
    <row r="979" spans="1:26" ht="15" customHeight="1">
      <c r="A979" t="s">
        <v>2129</v>
      </c>
      <c r="B979" t="s">
        <v>2130</v>
      </c>
      <c r="C979" s="14">
        <v>45767</v>
      </c>
      <c r="D979" s="14">
        <v>45763</v>
      </c>
      <c r="E979">
        <v>2025</v>
      </c>
      <c r="F979">
        <v>4</v>
      </c>
      <c r="G979" t="s">
        <v>158</v>
      </c>
      <c r="H979" t="s">
        <v>159</v>
      </c>
      <c r="I979" t="s">
        <v>124</v>
      </c>
      <c r="J979" s="15">
        <v>70220.7</v>
      </c>
      <c r="K979" s="15">
        <v>0</v>
      </c>
      <c r="L979" s="15">
        <f t="shared" si="75"/>
        <v>70220.7</v>
      </c>
      <c r="M979" t="s">
        <v>160</v>
      </c>
      <c r="N979" t="s">
        <v>2131</v>
      </c>
      <c r="O979" t="s">
        <v>162</v>
      </c>
      <c r="P979" t="s">
        <v>128</v>
      </c>
      <c r="Q979" t="s">
        <v>175</v>
      </c>
      <c r="R979" s="16">
        <v>45767.927083333299</v>
      </c>
      <c r="S979" t="s">
        <v>130</v>
      </c>
      <c r="V979" t="b">
        <f t="shared" si="76"/>
        <v>0</v>
      </c>
      <c r="W979" t="b">
        <f>AND(OR(WEEKDAY(C979,2)=5,WEEKDAY(C979,2)=6),'01_Parameters'!$C$11="Enabled")</f>
        <v>0</v>
      </c>
      <c r="X979" t="b">
        <f t="shared" si="77"/>
        <v>1</v>
      </c>
      <c r="Y979" t="b">
        <f t="shared" si="78"/>
        <v>0</v>
      </c>
      <c r="Z979" t="b">
        <f t="shared" si="79"/>
        <v>0</v>
      </c>
    </row>
    <row r="980" spans="1:26" ht="15" customHeight="1">
      <c r="A980" t="s">
        <v>2129</v>
      </c>
      <c r="B980" t="s">
        <v>2132</v>
      </c>
      <c r="C980" s="14">
        <v>45767</v>
      </c>
      <c r="D980" s="14">
        <v>45763</v>
      </c>
      <c r="E980">
        <v>2025</v>
      </c>
      <c r="F980">
        <v>4</v>
      </c>
      <c r="G980" t="s">
        <v>164</v>
      </c>
      <c r="H980" t="s">
        <v>165</v>
      </c>
      <c r="I980" t="s">
        <v>146</v>
      </c>
      <c r="J980" s="15">
        <v>0</v>
      </c>
      <c r="K980" s="15">
        <v>70220.7</v>
      </c>
      <c r="L980" s="15">
        <f t="shared" si="75"/>
        <v>-70220.7</v>
      </c>
      <c r="M980" t="s">
        <v>160</v>
      </c>
      <c r="N980" t="s">
        <v>2131</v>
      </c>
      <c r="O980" t="s">
        <v>162</v>
      </c>
      <c r="P980" t="s">
        <v>128</v>
      </c>
      <c r="Q980" t="s">
        <v>175</v>
      </c>
      <c r="R980" s="16">
        <v>45767.927083333299</v>
      </c>
      <c r="S980" t="s">
        <v>130</v>
      </c>
      <c r="V980" t="b">
        <f t="shared" si="76"/>
        <v>0</v>
      </c>
      <c r="W980" t="b">
        <f>AND(OR(WEEKDAY(C980,2)=5,WEEKDAY(C980,2)=6),'01_Parameters'!$C$11="Enabled")</f>
        <v>0</v>
      </c>
      <c r="X980" t="b">
        <f t="shared" si="77"/>
        <v>1</v>
      </c>
      <c r="Y980" t="b">
        <f t="shared" si="78"/>
        <v>0</v>
      </c>
      <c r="Z980" t="b">
        <f t="shared" si="79"/>
        <v>0</v>
      </c>
    </row>
    <row r="981" spans="1:26" ht="15" customHeight="1">
      <c r="A981" t="s">
        <v>2133</v>
      </c>
      <c r="B981" t="s">
        <v>2134</v>
      </c>
      <c r="C981" s="14">
        <v>45957</v>
      </c>
      <c r="D981" s="14">
        <v>45955</v>
      </c>
      <c r="E981">
        <v>2025</v>
      </c>
      <c r="F981">
        <v>10</v>
      </c>
      <c r="G981" t="s">
        <v>122</v>
      </c>
      <c r="H981" t="s">
        <v>123</v>
      </c>
      <c r="I981" t="s">
        <v>124</v>
      </c>
      <c r="J981" s="15">
        <v>17778.080000000002</v>
      </c>
      <c r="K981" s="15">
        <v>0</v>
      </c>
      <c r="L981" s="15">
        <f t="shared" si="75"/>
        <v>17778.080000000002</v>
      </c>
      <c r="M981" t="s">
        <v>209</v>
      </c>
      <c r="N981" t="s">
        <v>2135</v>
      </c>
      <c r="O981" t="s">
        <v>211</v>
      </c>
      <c r="P981" t="s">
        <v>150</v>
      </c>
      <c r="Q981" t="s">
        <v>140</v>
      </c>
      <c r="R981" s="16">
        <v>45957.895833333299</v>
      </c>
      <c r="S981" t="s">
        <v>130</v>
      </c>
      <c r="T981" t="s">
        <v>229</v>
      </c>
      <c r="U981" t="s">
        <v>2135</v>
      </c>
      <c r="V981" t="b">
        <f t="shared" si="76"/>
        <v>0</v>
      </c>
      <c r="W981" t="b">
        <f>AND(OR(WEEKDAY(C981,2)=5,WEEKDAY(C981,2)=6),'01_Parameters'!$C$11="Enabled")</f>
        <v>0</v>
      </c>
      <c r="X981" t="b">
        <f t="shared" si="77"/>
        <v>1</v>
      </c>
      <c r="Y981" t="b">
        <f t="shared" si="78"/>
        <v>0</v>
      </c>
      <c r="Z981" t="b">
        <f t="shared" si="79"/>
        <v>0</v>
      </c>
    </row>
    <row r="982" spans="1:26" ht="15" customHeight="1">
      <c r="A982" t="s">
        <v>2133</v>
      </c>
      <c r="B982" t="s">
        <v>2136</v>
      </c>
      <c r="C982" s="14">
        <v>45957</v>
      </c>
      <c r="D982" s="14">
        <v>45955</v>
      </c>
      <c r="E982">
        <v>2025</v>
      </c>
      <c r="F982">
        <v>10</v>
      </c>
      <c r="G982" t="s">
        <v>132</v>
      </c>
      <c r="H982" t="s">
        <v>133</v>
      </c>
      <c r="I982" t="s">
        <v>134</v>
      </c>
      <c r="J982" s="15">
        <v>0</v>
      </c>
      <c r="K982" s="15">
        <v>17778.080000000002</v>
      </c>
      <c r="L982" s="15">
        <f t="shared" si="75"/>
        <v>-17778.080000000002</v>
      </c>
      <c r="M982" t="s">
        <v>209</v>
      </c>
      <c r="N982" t="s">
        <v>2135</v>
      </c>
      <c r="O982" t="s">
        <v>211</v>
      </c>
      <c r="P982" t="s">
        <v>150</v>
      </c>
      <c r="Q982" t="s">
        <v>140</v>
      </c>
      <c r="R982" s="16">
        <v>45957.895833333299</v>
      </c>
      <c r="S982" t="s">
        <v>130</v>
      </c>
      <c r="T982" t="s">
        <v>229</v>
      </c>
      <c r="U982" t="s">
        <v>2135</v>
      </c>
      <c r="V982" t="b">
        <f t="shared" si="76"/>
        <v>0</v>
      </c>
      <c r="W982" t="b">
        <f>AND(OR(WEEKDAY(C982,2)=5,WEEKDAY(C982,2)=6),'01_Parameters'!$C$11="Enabled")</f>
        <v>0</v>
      </c>
      <c r="X982" t="b">
        <f t="shared" si="77"/>
        <v>1</v>
      </c>
      <c r="Y982" t="b">
        <f t="shared" si="78"/>
        <v>0</v>
      </c>
      <c r="Z982" t="b">
        <f t="shared" si="79"/>
        <v>0</v>
      </c>
    </row>
    <row r="983" spans="1:26" ht="15" customHeight="1">
      <c r="A983" t="s">
        <v>2137</v>
      </c>
      <c r="B983" t="s">
        <v>2138</v>
      </c>
      <c r="C983" s="14">
        <v>45972</v>
      </c>
      <c r="D983" s="14">
        <v>45968</v>
      </c>
      <c r="E983">
        <v>2025</v>
      </c>
      <c r="F983">
        <v>11</v>
      </c>
      <c r="G983" t="s">
        <v>179</v>
      </c>
      <c r="H983" t="s">
        <v>180</v>
      </c>
      <c r="I983" t="s">
        <v>124</v>
      </c>
      <c r="J983" s="15">
        <v>48491</v>
      </c>
      <c r="K983" s="15">
        <v>0</v>
      </c>
      <c r="L983" s="15">
        <f t="shared" si="75"/>
        <v>48491</v>
      </c>
      <c r="M983" t="s">
        <v>181</v>
      </c>
      <c r="N983" t="s">
        <v>2139</v>
      </c>
      <c r="O983" t="s">
        <v>183</v>
      </c>
      <c r="P983" t="s">
        <v>150</v>
      </c>
      <c r="Q983" t="s">
        <v>129</v>
      </c>
      <c r="R983" s="16">
        <v>45972.635416666701</v>
      </c>
      <c r="S983" t="s">
        <v>130</v>
      </c>
      <c r="V983" t="b">
        <f t="shared" si="76"/>
        <v>0</v>
      </c>
      <c r="W983" t="b">
        <f>AND(OR(WEEKDAY(C983,2)=5,WEEKDAY(C983,2)=6),'01_Parameters'!$C$11="Enabled")</f>
        <v>0</v>
      </c>
      <c r="X983" t="b">
        <f t="shared" si="77"/>
        <v>0</v>
      </c>
      <c r="Y983" t="b">
        <f t="shared" si="78"/>
        <v>0</v>
      </c>
      <c r="Z983" t="b">
        <f t="shared" si="79"/>
        <v>0</v>
      </c>
    </row>
    <row r="984" spans="1:26" ht="15" customHeight="1">
      <c r="A984" t="s">
        <v>2137</v>
      </c>
      <c r="B984" t="s">
        <v>2140</v>
      </c>
      <c r="C984" s="14">
        <v>45972</v>
      </c>
      <c r="D984" s="14">
        <v>45968</v>
      </c>
      <c r="E984">
        <v>2025</v>
      </c>
      <c r="F984">
        <v>11</v>
      </c>
      <c r="G984" t="s">
        <v>185</v>
      </c>
      <c r="H984" t="s">
        <v>186</v>
      </c>
      <c r="I984" t="s">
        <v>134</v>
      </c>
      <c r="J984" s="15">
        <v>0</v>
      </c>
      <c r="K984" s="15">
        <v>48491</v>
      </c>
      <c r="L984" s="15">
        <f t="shared" si="75"/>
        <v>-48491</v>
      </c>
      <c r="M984" t="s">
        <v>181</v>
      </c>
      <c r="N984" t="s">
        <v>2139</v>
      </c>
      <c r="O984" t="s">
        <v>183</v>
      </c>
      <c r="P984" t="s">
        <v>150</v>
      </c>
      <c r="Q984" t="s">
        <v>129</v>
      </c>
      <c r="R984" s="16">
        <v>45972.635416666701</v>
      </c>
      <c r="S984" t="s">
        <v>130</v>
      </c>
      <c r="V984" t="b">
        <f t="shared" si="76"/>
        <v>0</v>
      </c>
      <c r="W984" t="b">
        <f>AND(OR(WEEKDAY(C984,2)=5,WEEKDAY(C984,2)=6),'01_Parameters'!$C$11="Enabled")</f>
        <v>0</v>
      </c>
      <c r="X984" t="b">
        <f t="shared" si="77"/>
        <v>0</v>
      </c>
      <c r="Y984" t="b">
        <f t="shared" si="78"/>
        <v>0</v>
      </c>
      <c r="Z984" t="b">
        <f t="shared" si="79"/>
        <v>0</v>
      </c>
    </row>
    <row r="985" spans="1:26" ht="15" customHeight="1">
      <c r="A985" t="s">
        <v>2141</v>
      </c>
      <c r="B985" t="s">
        <v>2142</v>
      </c>
      <c r="C985" s="14">
        <v>46022</v>
      </c>
      <c r="D985" s="14">
        <v>46021</v>
      </c>
      <c r="E985">
        <v>2025</v>
      </c>
      <c r="F985">
        <v>12</v>
      </c>
      <c r="G985" t="s">
        <v>179</v>
      </c>
      <c r="H985" t="s">
        <v>180</v>
      </c>
      <c r="I985" t="s">
        <v>124</v>
      </c>
      <c r="J985" s="15">
        <v>67291.350000000006</v>
      </c>
      <c r="K985" s="15">
        <v>0</v>
      </c>
      <c r="L985" s="15">
        <f t="shared" si="75"/>
        <v>67291.350000000006</v>
      </c>
      <c r="M985" t="s">
        <v>181</v>
      </c>
      <c r="N985" t="s">
        <v>2143</v>
      </c>
      <c r="O985" t="s">
        <v>183</v>
      </c>
      <c r="P985" t="s">
        <v>128</v>
      </c>
      <c r="Q985" t="s">
        <v>175</v>
      </c>
      <c r="R985" s="16">
        <v>46022.552083333299</v>
      </c>
      <c r="S985" t="s">
        <v>130</v>
      </c>
      <c r="V985" t="b">
        <f t="shared" si="76"/>
        <v>1</v>
      </c>
      <c r="W985" t="b">
        <f>AND(OR(WEEKDAY(C985,2)=5,WEEKDAY(C985,2)=6),'01_Parameters'!$C$11="Enabled")</f>
        <v>0</v>
      </c>
      <c r="X985" t="b">
        <f t="shared" si="77"/>
        <v>0</v>
      </c>
      <c r="Y985" t="b">
        <f t="shared" si="78"/>
        <v>0</v>
      </c>
      <c r="Z985" t="b">
        <f t="shared" si="79"/>
        <v>0</v>
      </c>
    </row>
    <row r="986" spans="1:26" ht="15" customHeight="1">
      <c r="A986" t="s">
        <v>2141</v>
      </c>
      <c r="B986" t="s">
        <v>2144</v>
      </c>
      <c r="C986" s="14">
        <v>46022</v>
      </c>
      <c r="D986" s="14">
        <v>46021</v>
      </c>
      <c r="E986">
        <v>2025</v>
      </c>
      <c r="F986">
        <v>12</v>
      </c>
      <c r="G986" t="s">
        <v>185</v>
      </c>
      <c r="H986" t="s">
        <v>186</v>
      </c>
      <c r="I986" t="s">
        <v>134</v>
      </c>
      <c r="J986" s="15">
        <v>0</v>
      </c>
      <c r="K986" s="15">
        <v>67291.350000000006</v>
      </c>
      <c r="L986" s="15">
        <f t="shared" si="75"/>
        <v>-67291.350000000006</v>
      </c>
      <c r="M986" t="s">
        <v>181</v>
      </c>
      <c r="N986" t="s">
        <v>2143</v>
      </c>
      <c r="O986" t="s">
        <v>183</v>
      </c>
      <c r="P986" t="s">
        <v>128</v>
      </c>
      <c r="Q986" t="s">
        <v>175</v>
      </c>
      <c r="R986" s="16">
        <v>46022.552083333299</v>
      </c>
      <c r="S986" t="s">
        <v>130</v>
      </c>
      <c r="V986" t="b">
        <f t="shared" si="76"/>
        <v>1</v>
      </c>
      <c r="W986" t="b">
        <f>AND(OR(WEEKDAY(C986,2)=5,WEEKDAY(C986,2)=6),'01_Parameters'!$C$11="Enabled")</f>
        <v>0</v>
      </c>
      <c r="X986" t="b">
        <f t="shared" si="77"/>
        <v>0</v>
      </c>
      <c r="Y986" t="b">
        <f t="shared" si="78"/>
        <v>0</v>
      </c>
      <c r="Z986" t="b">
        <f t="shared" si="79"/>
        <v>0</v>
      </c>
    </row>
    <row r="987" spans="1:26" ht="15" customHeight="1">
      <c r="A987" t="s">
        <v>2145</v>
      </c>
      <c r="B987" t="s">
        <v>2146</v>
      </c>
      <c r="C987" s="14">
        <v>45665</v>
      </c>
      <c r="D987" s="14">
        <v>45661</v>
      </c>
      <c r="E987">
        <v>2025</v>
      </c>
      <c r="F987">
        <v>1</v>
      </c>
      <c r="G987" t="s">
        <v>207</v>
      </c>
      <c r="H987" t="s">
        <v>208</v>
      </c>
      <c r="I987" t="s">
        <v>124</v>
      </c>
      <c r="J987" s="15">
        <v>52097.5</v>
      </c>
      <c r="K987" s="15">
        <v>0</v>
      </c>
      <c r="L987" s="15">
        <f t="shared" si="75"/>
        <v>52097.5</v>
      </c>
      <c r="M987" t="s">
        <v>209</v>
      </c>
      <c r="N987" t="s">
        <v>2147</v>
      </c>
      <c r="O987" t="s">
        <v>211</v>
      </c>
      <c r="P987" t="s">
        <v>175</v>
      </c>
      <c r="Q987" t="s">
        <v>150</v>
      </c>
      <c r="R987" s="16">
        <v>45665.28125</v>
      </c>
      <c r="S987" t="s">
        <v>130</v>
      </c>
      <c r="T987" t="s">
        <v>313</v>
      </c>
      <c r="U987" t="s">
        <v>2147</v>
      </c>
      <c r="V987" t="b">
        <f t="shared" si="76"/>
        <v>0</v>
      </c>
      <c r="W987" t="b">
        <f>AND(OR(WEEKDAY(C987,2)=5,WEEKDAY(C987,2)=6),'01_Parameters'!$C$11="Enabled")</f>
        <v>0</v>
      </c>
      <c r="X987" t="b">
        <f t="shared" si="77"/>
        <v>1</v>
      </c>
      <c r="Y987" t="b">
        <f t="shared" si="78"/>
        <v>0</v>
      </c>
      <c r="Z987" t="b">
        <f t="shared" si="79"/>
        <v>0</v>
      </c>
    </row>
    <row r="988" spans="1:26" ht="15" customHeight="1">
      <c r="A988" t="s">
        <v>2145</v>
      </c>
      <c r="B988" t="s">
        <v>2148</v>
      </c>
      <c r="C988" s="14">
        <v>45665</v>
      </c>
      <c r="D988" s="14">
        <v>45661</v>
      </c>
      <c r="E988">
        <v>2025</v>
      </c>
      <c r="F988">
        <v>1</v>
      </c>
      <c r="G988" t="s">
        <v>132</v>
      </c>
      <c r="H988" t="s">
        <v>133</v>
      </c>
      <c r="I988" t="s">
        <v>134</v>
      </c>
      <c r="J988" s="15">
        <v>0</v>
      </c>
      <c r="K988" s="15">
        <v>52097.5</v>
      </c>
      <c r="L988" s="15">
        <f t="shared" si="75"/>
        <v>-52097.5</v>
      </c>
      <c r="M988" t="s">
        <v>209</v>
      </c>
      <c r="N988" t="s">
        <v>2147</v>
      </c>
      <c r="O988" t="s">
        <v>211</v>
      </c>
      <c r="P988" t="s">
        <v>175</v>
      </c>
      <c r="Q988" t="s">
        <v>150</v>
      </c>
      <c r="R988" s="16">
        <v>45665.28125</v>
      </c>
      <c r="S988" t="s">
        <v>130</v>
      </c>
      <c r="T988" t="s">
        <v>313</v>
      </c>
      <c r="U988" t="s">
        <v>2147</v>
      </c>
      <c r="V988" t="b">
        <f t="shared" si="76"/>
        <v>0</v>
      </c>
      <c r="W988" t="b">
        <f>AND(OR(WEEKDAY(C988,2)=5,WEEKDAY(C988,2)=6),'01_Parameters'!$C$11="Enabled")</f>
        <v>0</v>
      </c>
      <c r="X988" t="b">
        <f t="shared" si="77"/>
        <v>1</v>
      </c>
      <c r="Y988" t="b">
        <f t="shared" si="78"/>
        <v>0</v>
      </c>
      <c r="Z988" t="b">
        <f t="shared" si="79"/>
        <v>0</v>
      </c>
    </row>
    <row r="989" spans="1:26" ht="15" customHeight="1">
      <c r="A989" t="s">
        <v>2149</v>
      </c>
      <c r="B989" t="s">
        <v>2150</v>
      </c>
      <c r="C989" s="14">
        <v>45929</v>
      </c>
      <c r="D989" s="14">
        <v>45925</v>
      </c>
      <c r="E989">
        <v>2025</v>
      </c>
      <c r="F989">
        <v>9</v>
      </c>
      <c r="G989" t="s">
        <v>158</v>
      </c>
      <c r="H989" t="s">
        <v>159</v>
      </c>
      <c r="I989" t="s">
        <v>124</v>
      </c>
      <c r="J989" s="15">
        <v>2644.34</v>
      </c>
      <c r="K989" s="15">
        <v>0</v>
      </c>
      <c r="L989" s="15">
        <f t="shared" si="75"/>
        <v>2644.34</v>
      </c>
      <c r="M989" t="s">
        <v>160</v>
      </c>
      <c r="N989" t="s">
        <v>2151</v>
      </c>
      <c r="O989" t="s">
        <v>162</v>
      </c>
      <c r="P989" t="s">
        <v>151</v>
      </c>
      <c r="Q989" t="s">
        <v>128</v>
      </c>
      <c r="R989" s="16">
        <v>45929.864583333299</v>
      </c>
      <c r="S989" t="s">
        <v>130</v>
      </c>
      <c r="V989" t="b">
        <f t="shared" si="76"/>
        <v>0</v>
      </c>
      <c r="W989" t="b">
        <f>AND(OR(WEEKDAY(C989,2)=5,WEEKDAY(C989,2)=6),'01_Parameters'!$C$11="Enabled")</f>
        <v>0</v>
      </c>
      <c r="X989" t="b">
        <f t="shared" si="77"/>
        <v>1</v>
      </c>
      <c r="Y989" t="b">
        <f t="shared" si="78"/>
        <v>0</v>
      </c>
      <c r="Z989" t="b">
        <f t="shared" si="79"/>
        <v>0</v>
      </c>
    </row>
    <row r="990" spans="1:26" ht="15" customHeight="1">
      <c r="A990" t="s">
        <v>2149</v>
      </c>
      <c r="B990" t="s">
        <v>2152</v>
      </c>
      <c r="C990" s="14">
        <v>45929</v>
      </c>
      <c r="D990" s="14">
        <v>45925</v>
      </c>
      <c r="E990">
        <v>2025</v>
      </c>
      <c r="F990">
        <v>9</v>
      </c>
      <c r="G990" t="s">
        <v>164</v>
      </c>
      <c r="H990" t="s">
        <v>165</v>
      </c>
      <c r="I990" t="s">
        <v>146</v>
      </c>
      <c r="J990" s="15">
        <v>0</v>
      </c>
      <c r="K990" s="15">
        <v>2644.34</v>
      </c>
      <c r="L990" s="15">
        <f t="shared" si="75"/>
        <v>-2644.34</v>
      </c>
      <c r="M990" t="s">
        <v>160</v>
      </c>
      <c r="N990" t="s">
        <v>2151</v>
      </c>
      <c r="O990" t="s">
        <v>162</v>
      </c>
      <c r="P990" t="s">
        <v>151</v>
      </c>
      <c r="Q990" t="s">
        <v>128</v>
      </c>
      <c r="R990" s="16">
        <v>45929.864583333299</v>
      </c>
      <c r="S990" t="s">
        <v>130</v>
      </c>
      <c r="V990" t="b">
        <f t="shared" si="76"/>
        <v>0</v>
      </c>
      <c r="W990" t="b">
        <f>AND(OR(WEEKDAY(C990,2)=5,WEEKDAY(C990,2)=6),'01_Parameters'!$C$11="Enabled")</f>
        <v>0</v>
      </c>
      <c r="X990" t="b">
        <f t="shared" si="77"/>
        <v>1</v>
      </c>
      <c r="Y990" t="b">
        <f t="shared" si="78"/>
        <v>0</v>
      </c>
      <c r="Z990" t="b">
        <f t="shared" si="79"/>
        <v>0</v>
      </c>
    </row>
    <row r="991" spans="1:26" ht="15" customHeight="1">
      <c r="A991" t="s">
        <v>2153</v>
      </c>
      <c r="B991" t="s">
        <v>2154</v>
      </c>
      <c r="C991" s="14">
        <v>45700</v>
      </c>
      <c r="D991" s="14">
        <v>45697</v>
      </c>
      <c r="E991">
        <v>2025</v>
      </c>
      <c r="F991">
        <v>2</v>
      </c>
      <c r="G991" t="s">
        <v>179</v>
      </c>
      <c r="H991" t="s">
        <v>180</v>
      </c>
      <c r="I991" t="s">
        <v>124</v>
      </c>
      <c r="J991" s="15">
        <v>40490.51</v>
      </c>
      <c r="K991" s="15">
        <v>0</v>
      </c>
      <c r="L991" s="15">
        <f t="shared" si="75"/>
        <v>40490.51</v>
      </c>
      <c r="M991" t="s">
        <v>181</v>
      </c>
      <c r="N991" t="s">
        <v>2155</v>
      </c>
      <c r="O991" t="s">
        <v>183</v>
      </c>
      <c r="P991" t="s">
        <v>140</v>
      </c>
      <c r="Q991" t="s">
        <v>128</v>
      </c>
      <c r="R991" s="16">
        <v>45700.260416666701</v>
      </c>
      <c r="S991" t="s">
        <v>130</v>
      </c>
      <c r="V991" t="b">
        <f t="shared" si="76"/>
        <v>0</v>
      </c>
      <c r="W991" t="b">
        <f>AND(OR(WEEKDAY(C991,2)=5,WEEKDAY(C991,2)=6),'01_Parameters'!$C$11="Enabled")</f>
        <v>0</v>
      </c>
      <c r="X991" t="b">
        <f t="shared" si="77"/>
        <v>1</v>
      </c>
      <c r="Y991" t="b">
        <f t="shared" si="78"/>
        <v>0</v>
      </c>
      <c r="Z991" t="b">
        <f t="shared" si="79"/>
        <v>0</v>
      </c>
    </row>
    <row r="992" spans="1:26" ht="15" customHeight="1">
      <c r="A992" t="s">
        <v>2153</v>
      </c>
      <c r="B992" t="s">
        <v>2156</v>
      </c>
      <c r="C992" s="14">
        <v>45700</v>
      </c>
      <c r="D992" s="14">
        <v>45697</v>
      </c>
      <c r="E992">
        <v>2025</v>
      </c>
      <c r="F992">
        <v>2</v>
      </c>
      <c r="G992" t="s">
        <v>185</v>
      </c>
      <c r="H992" t="s">
        <v>186</v>
      </c>
      <c r="I992" t="s">
        <v>134</v>
      </c>
      <c r="J992" s="15">
        <v>0</v>
      </c>
      <c r="K992" s="15">
        <v>40490.51</v>
      </c>
      <c r="L992" s="15">
        <f t="shared" si="75"/>
        <v>-40490.51</v>
      </c>
      <c r="M992" t="s">
        <v>181</v>
      </c>
      <c r="N992" t="s">
        <v>2155</v>
      </c>
      <c r="O992" t="s">
        <v>183</v>
      </c>
      <c r="P992" t="s">
        <v>140</v>
      </c>
      <c r="Q992" t="s">
        <v>128</v>
      </c>
      <c r="R992" s="16">
        <v>45700.260416666701</v>
      </c>
      <c r="S992" t="s">
        <v>130</v>
      </c>
      <c r="V992" t="b">
        <f t="shared" si="76"/>
        <v>0</v>
      </c>
      <c r="W992" t="b">
        <f>AND(OR(WEEKDAY(C992,2)=5,WEEKDAY(C992,2)=6),'01_Parameters'!$C$11="Enabled")</f>
        <v>0</v>
      </c>
      <c r="X992" t="b">
        <f t="shared" si="77"/>
        <v>1</v>
      </c>
      <c r="Y992" t="b">
        <f t="shared" si="78"/>
        <v>0</v>
      </c>
      <c r="Z992" t="b">
        <f t="shared" si="79"/>
        <v>0</v>
      </c>
    </row>
    <row r="993" spans="1:26" ht="15" customHeight="1">
      <c r="A993" t="s">
        <v>2157</v>
      </c>
      <c r="B993" t="s">
        <v>2158</v>
      </c>
      <c r="C993" s="14">
        <v>45924</v>
      </c>
      <c r="D993" s="14">
        <v>45922</v>
      </c>
      <c r="E993">
        <v>2025</v>
      </c>
      <c r="F993">
        <v>9</v>
      </c>
      <c r="G993" t="s">
        <v>144</v>
      </c>
      <c r="H993" t="s">
        <v>145</v>
      </c>
      <c r="I993" t="s">
        <v>146</v>
      </c>
      <c r="J993" s="15">
        <v>49089.05</v>
      </c>
      <c r="K993" s="15">
        <v>0</v>
      </c>
      <c r="L993" s="15">
        <f t="shared" si="75"/>
        <v>49089.05</v>
      </c>
      <c r="M993" t="s">
        <v>147</v>
      </c>
      <c r="N993" t="s">
        <v>2159</v>
      </c>
      <c r="O993" t="s">
        <v>149</v>
      </c>
      <c r="P993" t="s">
        <v>150</v>
      </c>
      <c r="Q993" t="s">
        <v>140</v>
      </c>
      <c r="R993" s="16">
        <v>45924.78125</v>
      </c>
      <c r="S993" t="s">
        <v>130</v>
      </c>
      <c r="V993" t="b">
        <f t="shared" si="76"/>
        <v>0</v>
      </c>
      <c r="W993" t="b">
        <f>AND(OR(WEEKDAY(C993,2)=5,WEEKDAY(C993,2)=6),'01_Parameters'!$C$11="Enabled")</f>
        <v>0</v>
      </c>
      <c r="X993" t="b">
        <f t="shared" si="77"/>
        <v>1</v>
      </c>
      <c r="Y993" t="b">
        <f t="shared" si="78"/>
        <v>0</v>
      </c>
      <c r="Z993" t="b">
        <f t="shared" si="79"/>
        <v>0</v>
      </c>
    </row>
    <row r="994" spans="1:26" ht="15" customHeight="1">
      <c r="A994" t="s">
        <v>2157</v>
      </c>
      <c r="B994" t="s">
        <v>2160</v>
      </c>
      <c r="C994" s="14">
        <v>45924</v>
      </c>
      <c r="D994" s="14">
        <v>45922</v>
      </c>
      <c r="E994">
        <v>2025</v>
      </c>
      <c r="F994">
        <v>9</v>
      </c>
      <c r="G994" t="s">
        <v>153</v>
      </c>
      <c r="H994" t="s">
        <v>154</v>
      </c>
      <c r="I994" t="s">
        <v>155</v>
      </c>
      <c r="J994" s="15">
        <v>0</v>
      </c>
      <c r="K994" s="15">
        <v>49089.05</v>
      </c>
      <c r="L994" s="15">
        <f t="shared" si="75"/>
        <v>-49089.05</v>
      </c>
      <c r="M994" t="s">
        <v>147</v>
      </c>
      <c r="N994" t="s">
        <v>2159</v>
      </c>
      <c r="O994" t="s">
        <v>149</v>
      </c>
      <c r="P994" t="s">
        <v>150</v>
      </c>
      <c r="Q994" t="s">
        <v>140</v>
      </c>
      <c r="R994" s="16">
        <v>45924.78125</v>
      </c>
      <c r="S994" t="s">
        <v>130</v>
      </c>
      <c r="V994" t="b">
        <f t="shared" si="76"/>
        <v>0</v>
      </c>
      <c r="W994" t="b">
        <f>AND(OR(WEEKDAY(C994,2)=5,WEEKDAY(C994,2)=6),'01_Parameters'!$C$11="Enabled")</f>
        <v>0</v>
      </c>
      <c r="X994" t="b">
        <f t="shared" si="77"/>
        <v>1</v>
      </c>
      <c r="Y994" t="b">
        <f t="shared" si="78"/>
        <v>0</v>
      </c>
      <c r="Z994" t="b">
        <f t="shared" si="79"/>
        <v>0</v>
      </c>
    </row>
    <row r="995" spans="1:26" ht="15" customHeight="1">
      <c r="A995" t="s">
        <v>2161</v>
      </c>
      <c r="B995" t="s">
        <v>2162</v>
      </c>
      <c r="C995" s="14">
        <v>45871</v>
      </c>
      <c r="D995" s="14">
        <v>45868</v>
      </c>
      <c r="E995">
        <v>2025</v>
      </c>
      <c r="F995">
        <v>8</v>
      </c>
      <c r="G995" t="s">
        <v>158</v>
      </c>
      <c r="H995" t="s">
        <v>159</v>
      </c>
      <c r="I995" t="s">
        <v>124</v>
      </c>
      <c r="J995" s="15">
        <v>28339.279999999999</v>
      </c>
      <c r="K995" s="15">
        <v>0</v>
      </c>
      <c r="L995" s="15">
        <f t="shared" si="75"/>
        <v>28339.279999999999</v>
      </c>
      <c r="M995" t="s">
        <v>160</v>
      </c>
      <c r="N995" t="s">
        <v>2163</v>
      </c>
      <c r="O995" t="s">
        <v>162</v>
      </c>
      <c r="P995" t="s">
        <v>140</v>
      </c>
      <c r="Q995" t="s">
        <v>175</v>
      </c>
      <c r="R995" s="16">
        <v>45871.260416666701</v>
      </c>
      <c r="S995" t="s">
        <v>288</v>
      </c>
      <c r="V995" t="b">
        <f t="shared" si="76"/>
        <v>0</v>
      </c>
      <c r="W995" t="b">
        <f>AND(OR(WEEKDAY(C995,2)=5,WEEKDAY(C995,2)=6),'01_Parameters'!$C$11="Enabled")</f>
        <v>1</v>
      </c>
      <c r="X995" t="b">
        <f t="shared" si="77"/>
        <v>1</v>
      </c>
      <c r="Y995" t="b">
        <f t="shared" si="78"/>
        <v>0</v>
      </c>
      <c r="Z995" t="b">
        <f t="shared" si="79"/>
        <v>0</v>
      </c>
    </row>
    <row r="996" spans="1:26" ht="15" customHeight="1">
      <c r="A996" t="s">
        <v>2161</v>
      </c>
      <c r="B996" t="s">
        <v>2164</v>
      </c>
      <c r="C996" s="14">
        <v>45871</v>
      </c>
      <c r="D996" s="14">
        <v>45868</v>
      </c>
      <c r="E996">
        <v>2025</v>
      </c>
      <c r="F996">
        <v>8</v>
      </c>
      <c r="G996" t="s">
        <v>164</v>
      </c>
      <c r="H996" t="s">
        <v>165</v>
      </c>
      <c r="I996" t="s">
        <v>146</v>
      </c>
      <c r="J996" s="15">
        <v>0</v>
      </c>
      <c r="K996" s="15">
        <v>28339.279999999999</v>
      </c>
      <c r="L996" s="15">
        <f t="shared" si="75"/>
        <v>-28339.279999999999</v>
      </c>
      <c r="M996" t="s">
        <v>160</v>
      </c>
      <c r="N996" t="s">
        <v>2163</v>
      </c>
      <c r="O996" t="s">
        <v>162</v>
      </c>
      <c r="P996" t="s">
        <v>140</v>
      </c>
      <c r="Q996" t="s">
        <v>175</v>
      </c>
      <c r="R996" s="16">
        <v>45871.260416666701</v>
      </c>
      <c r="S996" t="s">
        <v>288</v>
      </c>
      <c r="V996" t="b">
        <f t="shared" si="76"/>
        <v>0</v>
      </c>
      <c r="W996" t="b">
        <f>AND(OR(WEEKDAY(C996,2)=5,WEEKDAY(C996,2)=6),'01_Parameters'!$C$11="Enabled")</f>
        <v>1</v>
      </c>
      <c r="X996" t="b">
        <f t="shared" si="77"/>
        <v>1</v>
      </c>
      <c r="Y996" t="b">
        <f t="shared" si="78"/>
        <v>0</v>
      </c>
      <c r="Z996" t="b">
        <f t="shared" si="79"/>
        <v>0</v>
      </c>
    </row>
    <row r="997" spans="1:26" ht="15" customHeight="1">
      <c r="A997" t="s">
        <v>2165</v>
      </c>
      <c r="B997" t="s">
        <v>2166</v>
      </c>
      <c r="C997" s="14">
        <v>45794</v>
      </c>
      <c r="D997" s="14">
        <v>45790</v>
      </c>
      <c r="E997">
        <v>2025</v>
      </c>
      <c r="F997">
        <v>5</v>
      </c>
      <c r="G997" t="s">
        <v>199</v>
      </c>
      <c r="H997" t="s">
        <v>200</v>
      </c>
      <c r="I997" t="s">
        <v>146</v>
      </c>
      <c r="J997" s="15">
        <v>13188.18</v>
      </c>
      <c r="K997" s="15">
        <v>0</v>
      </c>
      <c r="L997" s="15">
        <f t="shared" si="75"/>
        <v>13188.18</v>
      </c>
      <c r="M997" t="s">
        <v>209</v>
      </c>
      <c r="N997" t="s">
        <v>2167</v>
      </c>
      <c r="O997" t="s">
        <v>211</v>
      </c>
      <c r="P997" t="s">
        <v>128</v>
      </c>
      <c r="Q997" t="s">
        <v>140</v>
      </c>
      <c r="R997" s="16">
        <v>45794.947916666701</v>
      </c>
      <c r="S997" t="s">
        <v>130</v>
      </c>
      <c r="T997" t="s">
        <v>251</v>
      </c>
      <c r="U997" t="s">
        <v>2167</v>
      </c>
      <c r="V997" t="b">
        <f t="shared" si="76"/>
        <v>0</v>
      </c>
      <c r="W997" t="b">
        <f>AND(OR(WEEKDAY(C997,2)=5,WEEKDAY(C997,2)=6),'01_Parameters'!$C$11="Enabled")</f>
        <v>1</v>
      </c>
      <c r="X997" t="b">
        <f t="shared" si="77"/>
        <v>1</v>
      </c>
      <c r="Y997" t="b">
        <f t="shared" si="78"/>
        <v>0</v>
      </c>
      <c r="Z997" t="b">
        <f t="shared" si="79"/>
        <v>0</v>
      </c>
    </row>
    <row r="998" spans="1:26" ht="15" customHeight="1">
      <c r="A998" t="s">
        <v>2165</v>
      </c>
      <c r="B998" t="s">
        <v>2168</v>
      </c>
      <c r="C998" s="14">
        <v>45794</v>
      </c>
      <c r="D998" s="14">
        <v>45790</v>
      </c>
      <c r="E998">
        <v>2025</v>
      </c>
      <c r="F998">
        <v>5</v>
      </c>
      <c r="G998" t="s">
        <v>132</v>
      </c>
      <c r="H998" t="s">
        <v>133</v>
      </c>
      <c r="I998" t="s">
        <v>134</v>
      </c>
      <c r="J998" s="15">
        <v>0</v>
      </c>
      <c r="K998" s="15">
        <v>13188.18</v>
      </c>
      <c r="L998" s="15">
        <f t="shared" si="75"/>
        <v>-13188.18</v>
      </c>
      <c r="M998" t="s">
        <v>209</v>
      </c>
      <c r="N998" t="s">
        <v>2167</v>
      </c>
      <c r="O998" t="s">
        <v>211</v>
      </c>
      <c r="P998" t="s">
        <v>128</v>
      </c>
      <c r="Q998" t="s">
        <v>140</v>
      </c>
      <c r="R998" s="16">
        <v>45794.947916666701</v>
      </c>
      <c r="S998" t="s">
        <v>130</v>
      </c>
      <c r="T998" t="s">
        <v>251</v>
      </c>
      <c r="U998" t="s">
        <v>2167</v>
      </c>
      <c r="V998" t="b">
        <f t="shared" si="76"/>
        <v>0</v>
      </c>
      <c r="W998" t="b">
        <f>AND(OR(WEEKDAY(C998,2)=5,WEEKDAY(C998,2)=6),'01_Parameters'!$C$11="Enabled")</f>
        <v>1</v>
      </c>
      <c r="X998" t="b">
        <f t="shared" si="77"/>
        <v>1</v>
      </c>
      <c r="Y998" t="b">
        <f t="shared" si="78"/>
        <v>0</v>
      </c>
      <c r="Z998" t="b">
        <f t="shared" si="79"/>
        <v>0</v>
      </c>
    </row>
    <row r="999" spans="1:26" ht="15" customHeight="1">
      <c r="A999" t="s">
        <v>2169</v>
      </c>
      <c r="B999" t="s">
        <v>2170</v>
      </c>
      <c r="C999" s="14">
        <v>45811</v>
      </c>
      <c r="D999" s="14">
        <v>45810</v>
      </c>
      <c r="E999">
        <v>2025</v>
      </c>
      <c r="F999">
        <v>6</v>
      </c>
      <c r="G999" t="s">
        <v>193</v>
      </c>
      <c r="H999" t="s">
        <v>194</v>
      </c>
      <c r="I999" t="s">
        <v>124</v>
      </c>
      <c r="J999" s="15">
        <v>59627.519999999997</v>
      </c>
      <c r="K999" s="15">
        <v>0</v>
      </c>
      <c r="L999" s="15">
        <f t="shared" si="75"/>
        <v>59627.519999999997</v>
      </c>
      <c r="M999" t="s">
        <v>195</v>
      </c>
      <c r="N999" t="s">
        <v>2171</v>
      </c>
      <c r="O999" t="s">
        <v>197</v>
      </c>
      <c r="P999" t="s">
        <v>140</v>
      </c>
      <c r="Q999" t="s">
        <v>150</v>
      </c>
      <c r="R999" s="16">
        <v>45811.28125</v>
      </c>
      <c r="S999" t="s">
        <v>130</v>
      </c>
      <c r="V999" t="b">
        <f t="shared" si="76"/>
        <v>0</v>
      </c>
      <c r="W999" t="b">
        <f>AND(OR(WEEKDAY(C999,2)=5,WEEKDAY(C999,2)=6),'01_Parameters'!$C$11="Enabled")</f>
        <v>0</v>
      </c>
      <c r="X999" t="b">
        <f t="shared" si="77"/>
        <v>1</v>
      </c>
      <c r="Y999" t="b">
        <f t="shared" si="78"/>
        <v>0</v>
      </c>
      <c r="Z999" t="b">
        <f t="shared" si="79"/>
        <v>0</v>
      </c>
    </row>
    <row r="1000" spans="1:26" ht="15" customHeight="1">
      <c r="A1000" t="s">
        <v>2169</v>
      </c>
      <c r="B1000" t="s">
        <v>2172</v>
      </c>
      <c r="C1000" s="14">
        <v>45811</v>
      </c>
      <c r="D1000" s="14">
        <v>45810</v>
      </c>
      <c r="E1000">
        <v>2025</v>
      </c>
      <c r="F1000">
        <v>6</v>
      </c>
      <c r="G1000" t="s">
        <v>199</v>
      </c>
      <c r="H1000" t="s">
        <v>200</v>
      </c>
      <c r="I1000" t="s">
        <v>146</v>
      </c>
      <c r="J1000" s="15">
        <v>0</v>
      </c>
      <c r="K1000" s="15">
        <v>59627.519999999997</v>
      </c>
      <c r="L1000" s="15">
        <f t="shared" si="75"/>
        <v>-59627.519999999997</v>
      </c>
      <c r="M1000" t="s">
        <v>195</v>
      </c>
      <c r="N1000" t="s">
        <v>2171</v>
      </c>
      <c r="O1000" t="s">
        <v>197</v>
      </c>
      <c r="P1000" t="s">
        <v>140</v>
      </c>
      <c r="Q1000" t="s">
        <v>150</v>
      </c>
      <c r="R1000" s="16">
        <v>45811.28125</v>
      </c>
      <c r="S1000" t="s">
        <v>130</v>
      </c>
      <c r="V1000" t="b">
        <f t="shared" si="76"/>
        <v>0</v>
      </c>
      <c r="W1000" t="b">
        <f>AND(OR(WEEKDAY(C1000,2)=5,WEEKDAY(C1000,2)=6),'01_Parameters'!$C$11="Enabled")</f>
        <v>0</v>
      </c>
      <c r="X1000" t="b">
        <f t="shared" si="77"/>
        <v>1</v>
      </c>
      <c r="Y1000" t="b">
        <f t="shared" si="78"/>
        <v>0</v>
      </c>
      <c r="Z1000" t="b">
        <f t="shared" si="79"/>
        <v>0</v>
      </c>
    </row>
    <row r="1001" spans="1:26" ht="15" customHeight="1">
      <c r="A1001" t="s">
        <v>2173</v>
      </c>
      <c r="B1001" t="s">
        <v>2174</v>
      </c>
      <c r="C1001" s="14">
        <v>45766</v>
      </c>
      <c r="D1001" s="14">
        <v>45766</v>
      </c>
      <c r="E1001">
        <v>2025</v>
      </c>
      <c r="F1001">
        <v>4</v>
      </c>
      <c r="G1001" t="s">
        <v>158</v>
      </c>
      <c r="H1001" t="s">
        <v>159</v>
      </c>
      <c r="I1001" t="s">
        <v>124</v>
      </c>
      <c r="J1001" s="15">
        <v>24271.53</v>
      </c>
      <c r="K1001" s="15">
        <v>0</v>
      </c>
      <c r="L1001" s="15">
        <f t="shared" si="75"/>
        <v>24271.53</v>
      </c>
      <c r="M1001" t="s">
        <v>160</v>
      </c>
      <c r="N1001" t="s">
        <v>2175</v>
      </c>
      <c r="O1001" t="s">
        <v>162</v>
      </c>
      <c r="P1001" t="s">
        <v>140</v>
      </c>
      <c r="Q1001" t="s">
        <v>151</v>
      </c>
      <c r="R1001" s="16">
        <v>45766.677083333299</v>
      </c>
      <c r="S1001" t="s">
        <v>130</v>
      </c>
      <c r="V1001" t="b">
        <f t="shared" si="76"/>
        <v>0</v>
      </c>
      <c r="W1001" t="b">
        <f>AND(OR(WEEKDAY(C1001,2)=5,WEEKDAY(C1001,2)=6),'01_Parameters'!$C$11="Enabled")</f>
        <v>1</v>
      </c>
      <c r="X1001" t="b">
        <f t="shared" si="77"/>
        <v>0</v>
      </c>
      <c r="Y1001" t="b">
        <f t="shared" si="78"/>
        <v>0</v>
      </c>
      <c r="Z1001" t="b">
        <f t="shared" si="79"/>
        <v>0</v>
      </c>
    </row>
    <row r="1002" spans="1:26" ht="15" customHeight="1">
      <c r="A1002" t="s">
        <v>2173</v>
      </c>
      <c r="B1002" t="s">
        <v>2176</v>
      </c>
      <c r="C1002" s="14">
        <v>45766</v>
      </c>
      <c r="D1002" s="14">
        <v>45766</v>
      </c>
      <c r="E1002">
        <v>2025</v>
      </c>
      <c r="F1002">
        <v>4</v>
      </c>
      <c r="G1002" t="s">
        <v>164</v>
      </c>
      <c r="H1002" t="s">
        <v>165</v>
      </c>
      <c r="I1002" t="s">
        <v>146</v>
      </c>
      <c r="J1002" s="15">
        <v>0</v>
      </c>
      <c r="K1002" s="15">
        <v>24271.53</v>
      </c>
      <c r="L1002" s="15">
        <f t="shared" si="75"/>
        <v>-24271.53</v>
      </c>
      <c r="M1002" t="s">
        <v>160</v>
      </c>
      <c r="N1002" t="s">
        <v>2175</v>
      </c>
      <c r="O1002" t="s">
        <v>162</v>
      </c>
      <c r="P1002" t="s">
        <v>140</v>
      </c>
      <c r="Q1002" t="s">
        <v>151</v>
      </c>
      <c r="R1002" s="16">
        <v>45766.677083333299</v>
      </c>
      <c r="S1002" t="s">
        <v>130</v>
      </c>
      <c r="V1002" t="b">
        <f t="shared" si="76"/>
        <v>0</v>
      </c>
      <c r="W1002" t="b">
        <f>AND(OR(WEEKDAY(C1002,2)=5,WEEKDAY(C1002,2)=6),'01_Parameters'!$C$11="Enabled")</f>
        <v>1</v>
      </c>
      <c r="X1002" t="b">
        <f t="shared" si="77"/>
        <v>0</v>
      </c>
      <c r="Y1002" t="b">
        <f t="shared" si="78"/>
        <v>0</v>
      </c>
      <c r="Z1002" t="b">
        <f t="shared" si="79"/>
        <v>0</v>
      </c>
    </row>
    <row r="1003" spans="1:26" ht="15" customHeight="1">
      <c r="A1003" t="s">
        <v>2177</v>
      </c>
      <c r="B1003" t="s">
        <v>2178</v>
      </c>
      <c r="C1003" s="14">
        <v>45763</v>
      </c>
      <c r="D1003" s="14">
        <v>45758</v>
      </c>
      <c r="E1003">
        <v>2025</v>
      </c>
      <c r="F1003">
        <v>4</v>
      </c>
      <c r="G1003" t="s">
        <v>193</v>
      </c>
      <c r="H1003" t="s">
        <v>194</v>
      </c>
      <c r="I1003" t="s">
        <v>124</v>
      </c>
      <c r="J1003" s="15">
        <v>42620.42</v>
      </c>
      <c r="K1003" s="15">
        <v>0</v>
      </c>
      <c r="L1003" s="15">
        <f t="shared" si="75"/>
        <v>42620.42</v>
      </c>
      <c r="M1003" t="s">
        <v>195</v>
      </c>
      <c r="N1003" t="s">
        <v>2179</v>
      </c>
      <c r="O1003" t="s">
        <v>197</v>
      </c>
      <c r="P1003" t="s">
        <v>175</v>
      </c>
      <c r="Q1003" t="s">
        <v>140</v>
      </c>
      <c r="R1003" s="16">
        <v>45763.541666666701</v>
      </c>
      <c r="S1003" t="s">
        <v>130</v>
      </c>
      <c r="V1003" t="b">
        <f t="shared" si="76"/>
        <v>0</v>
      </c>
      <c r="W1003" t="b">
        <f>AND(OR(WEEKDAY(C1003,2)=5,WEEKDAY(C1003,2)=6),'01_Parameters'!$C$11="Enabled")</f>
        <v>0</v>
      </c>
      <c r="X1003" t="b">
        <f t="shared" si="77"/>
        <v>0</v>
      </c>
      <c r="Y1003" t="b">
        <f t="shared" si="78"/>
        <v>0</v>
      </c>
      <c r="Z1003" t="b">
        <f t="shared" si="79"/>
        <v>0</v>
      </c>
    </row>
    <row r="1004" spans="1:26" ht="15" customHeight="1">
      <c r="A1004" t="s">
        <v>2177</v>
      </c>
      <c r="B1004" t="s">
        <v>2180</v>
      </c>
      <c r="C1004" s="14">
        <v>45763</v>
      </c>
      <c r="D1004" s="14">
        <v>45758</v>
      </c>
      <c r="E1004">
        <v>2025</v>
      </c>
      <c r="F1004">
        <v>4</v>
      </c>
      <c r="G1004" t="s">
        <v>199</v>
      </c>
      <c r="H1004" t="s">
        <v>200</v>
      </c>
      <c r="I1004" t="s">
        <v>146</v>
      </c>
      <c r="J1004" s="15">
        <v>0</v>
      </c>
      <c r="K1004" s="15">
        <v>42620.42</v>
      </c>
      <c r="L1004" s="15">
        <f t="shared" si="75"/>
        <v>-42620.42</v>
      </c>
      <c r="M1004" t="s">
        <v>195</v>
      </c>
      <c r="N1004" t="s">
        <v>2179</v>
      </c>
      <c r="O1004" t="s">
        <v>197</v>
      </c>
      <c r="P1004" t="s">
        <v>175</v>
      </c>
      <c r="Q1004" t="s">
        <v>140</v>
      </c>
      <c r="R1004" s="16">
        <v>45763.541666666701</v>
      </c>
      <c r="S1004" t="s">
        <v>130</v>
      </c>
      <c r="V1004" t="b">
        <f t="shared" si="76"/>
        <v>0</v>
      </c>
      <c r="W1004" t="b">
        <f>AND(OR(WEEKDAY(C1004,2)=5,WEEKDAY(C1004,2)=6),'01_Parameters'!$C$11="Enabled")</f>
        <v>0</v>
      </c>
      <c r="X1004" t="b">
        <f t="shared" si="77"/>
        <v>0</v>
      </c>
      <c r="Y1004" t="b">
        <f t="shared" si="78"/>
        <v>0</v>
      </c>
      <c r="Z1004" t="b">
        <f t="shared" si="79"/>
        <v>0</v>
      </c>
    </row>
  </sheetData>
  <autoFilter ref="A4:Z1004" xr:uid="{00000000-0009-0000-0000-000002000000}"/>
  <mergeCells count="2">
    <mergeCell ref="A1:Z1"/>
    <mergeCell ref="A2:Z2"/>
  </mergeCells>
  <pageMargins left="0.75" right="0.75" top="1" bottom="1" header="0.511811023622047" footer="0.511811023622047"/>
  <pageSetup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A304"/>
  <sheetViews>
    <sheetView showGridLines="0" zoomScaleNormal="100" workbookViewId="0">
      <pane xSplit="4" ySplit="4" topLeftCell="F6" activePane="bottomRight" state="frozen"/>
      <selection pane="topRight" activeCell="E1" sqref="E1"/>
      <selection pane="bottomLeft" activeCell="A5" sqref="A5"/>
      <selection pane="bottomRight" activeCell="G26" sqref="G26"/>
    </sheetView>
  </sheetViews>
  <sheetFormatPr defaultColWidth="8.5546875" defaultRowHeight="14.4"/>
  <cols>
    <col min="1" max="1" width="14" customWidth="1"/>
    <col min="2" max="2" width="11" customWidth="1"/>
    <col min="3" max="3" width="28" customWidth="1"/>
    <col min="4" max="4" width="22" customWidth="1"/>
    <col min="5" max="7" width="13" customWidth="1"/>
    <col min="8" max="10" width="15" customWidth="1"/>
    <col min="11" max="11" width="16" customWidth="1"/>
    <col min="12" max="13" width="17" customWidth="1"/>
    <col min="14" max="15" width="14" customWidth="1"/>
    <col min="16" max="16" width="28" customWidth="1"/>
    <col min="17" max="18" width="12" customWidth="1"/>
    <col min="19" max="19" width="15" customWidth="1"/>
    <col min="20" max="20" width="24" customWidth="1"/>
    <col min="21" max="21" width="20" customWidth="1"/>
    <col min="22" max="22" width="14" customWidth="1"/>
    <col min="23" max="23" width="20" customWidth="1"/>
    <col min="24" max="24" width="15" customWidth="1"/>
    <col min="25" max="26" width="18" customWidth="1"/>
    <col min="27" max="27" width="30" customWidth="1"/>
  </cols>
  <sheetData>
    <row r="1" spans="1:27" ht="21.75" customHeight="1">
      <c r="A1" s="6" t="s">
        <v>2181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 spans="1:27" ht="15" customHeight="1">
      <c r="A2" s="5" t="s">
        <v>2182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4" spans="1:27" ht="33.75" customHeight="1">
      <c r="A4" s="9" t="s">
        <v>114</v>
      </c>
      <c r="B4" s="9" t="s">
        <v>113</v>
      </c>
      <c r="C4" s="9" t="s">
        <v>2183</v>
      </c>
      <c r="D4" s="9" t="s">
        <v>2184</v>
      </c>
      <c r="E4" s="9" t="s">
        <v>2185</v>
      </c>
      <c r="F4" s="9" t="s">
        <v>96</v>
      </c>
      <c r="G4" s="9" t="s">
        <v>2186</v>
      </c>
      <c r="H4" s="9" t="s">
        <v>2187</v>
      </c>
      <c r="I4" s="9" t="s">
        <v>2188</v>
      </c>
      <c r="J4" s="9" t="s">
        <v>2189</v>
      </c>
      <c r="K4" s="9" t="s">
        <v>2190</v>
      </c>
      <c r="L4" s="9" t="s">
        <v>2191</v>
      </c>
      <c r="M4" s="9" t="s">
        <v>2192</v>
      </c>
      <c r="N4" s="9" t="s">
        <v>2193</v>
      </c>
      <c r="O4" s="9" t="s">
        <v>2194</v>
      </c>
      <c r="P4" s="9" t="s">
        <v>2195</v>
      </c>
      <c r="Q4" s="9" t="s">
        <v>2196</v>
      </c>
      <c r="R4" s="9" t="s">
        <v>110</v>
      </c>
      <c r="S4" s="9" t="s">
        <v>112</v>
      </c>
      <c r="T4" s="9" t="s">
        <v>2197</v>
      </c>
      <c r="U4" s="9" t="s">
        <v>2198</v>
      </c>
      <c r="V4" s="9" t="s">
        <v>118</v>
      </c>
      <c r="W4" s="9" t="s">
        <v>2199</v>
      </c>
      <c r="X4" s="9" t="s">
        <v>2200</v>
      </c>
      <c r="Y4" s="9" t="s">
        <v>2201</v>
      </c>
      <c r="Z4" s="9" t="s">
        <v>2202</v>
      </c>
      <c r="AA4" s="9" t="s">
        <v>2203</v>
      </c>
    </row>
    <row r="5" spans="1:27" ht="15" customHeight="1">
      <c r="A5" t="s">
        <v>2204</v>
      </c>
      <c r="B5" t="s">
        <v>782</v>
      </c>
      <c r="C5" t="s">
        <v>2205</v>
      </c>
      <c r="D5" t="s">
        <v>2206</v>
      </c>
      <c r="E5" s="14">
        <v>45700</v>
      </c>
      <c r="F5" s="14">
        <v>45715</v>
      </c>
      <c r="G5" s="14">
        <v>45745</v>
      </c>
      <c r="H5" s="15">
        <v>70828.399999999994</v>
      </c>
      <c r="I5" s="15">
        <v>9238.49</v>
      </c>
      <c r="J5" s="15">
        <v>61589.91</v>
      </c>
      <c r="K5" t="s">
        <v>2207</v>
      </c>
      <c r="M5" t="s">
        <v>2208</v>
      </c>
      <c r="N5" s="14">
        <v>45756</v>
      </c>
      <c r="O5" t="s">
        <v>2209</v>
      </c>
      <c r="P5" t="s">
        <v>2210</v>
      </c>
      <c r="Q5" t="s">
        <v>151</v>
      </c>
      <c r="R5" t="s">
        <v>151</v>
      </c>
      <c r="S5" t="s">
        <v>130</v>
      </c>
      <c r="T5" t="s">
        <v>2211</v>
      </c>
      <c r="U5">
        <f t="shared" ref="U5:U68" si="0">F5-E5</f>
        <v>15</v>
      </c>
      <c r="V5" t="b">
        <f t="shared" ref="V5:V68" si="1">H5&gt;High_Value_AP_Threshold</f>
        <v>0</v>
      </c>
      <c r="W5" t="b">
        <f t="shared" ref="W5:W68" si="2">COUNTIFS($B$5:$B$304,B5,$D$5:$D$304,D5)&gt;1</f>
        <v>0</v>
      </c>
      <c r="X5" t="b">
        <f t="shared" ref="X5:X68" si="3">AND(K5="",P5&lt;&gt;"Utility service",P5&lt;&gt;"Campaign services")</f>
        <v>0</v>
      </c>
      <c r="Y5" t="b">
        <f t="shared" ref="Y5:Y68" si="4">AND(L5="",OR(P5="Merchandise replenishment",P5="Office supplies",P5="Transport and logistics"))</f>
        <v>0</v>
      </c>
      <c r="Z5" t="b">
        <f t="shared" ref="Z5:Z68" si="5">OR(F5&gt;Year_End_Window_End,AND(E5&gt;=Year_End_Window_Start,F5&gt;=Year_End_Window_Start))</f>
        <v>0</v>
      </c>
    </row>
    <row r="6" spans="1:27" ht="15" customHeight="1">
      <c r="A6" t="s">
        <v>2212</v>
      </c>
      <c r="B6" t="s">
        <v>322</v>
      </c>
      <c r="C6" t="s">
        <v>2213</v>
      </c>
      <c r="D6" t="s">
        <v>2214</v>
      </c>
      <c r="E6" s="14">
        <v>45680</v>
      </c>
      <c r="F6" s="14">
        <v>45681</v>
      </c>
      <c r="G6" s="14">
        <v>45711</v>
      </c>
      <c r="H6" s="15">
        <v>57567.48</v>
      </c>
      <c r="I6" s="15">
        <v>7508.8</v>
      </c>
      <c r="J6" s="15">
        <v>50058.68</v>
      </c>
      <c r="K6" t="s">
        <v>2215</v>
      </c>
      <c r="M6" t="s">
        <v>2216</v>
      </c>
      <c r="N6" s="14">
        <v>45725</v>
      </c>
      <c r="O6" t="s">
        <v>2209</v>
      </c>
      <c r="P6" t="s">
        <v>2217</v>
      </c>
      <c r="Q6" t="s">
        <v>140</v>
      </c>
      <c r="R6" t="s">
        <v>150</v>
      </c>
      <c r="S6" t="s">
        <v>130</v>
      </c>
      <c r="T6" t="s">
        <v>2211</v>
      </c>
      <c r="U6">
        <f t="shared" si="0"/>
        <v>1</v>
      </c>
      <c r="V6" t="b">
        <f t="shared" si="1"/>
        <v>0</v>
      </c>
      <c r="W6" t="b">
        <f t="shared" si="2"/>
        <v>0</v>
      </c>
      <c r="X6" t="b">
        <f t="shared" si="3"/>
        <v>0</v>
      </c>
      <c r="Y6" t="b">
        <f t="shared" si="4"/>
        <v>0</v>
      </c>
      <c r="Z6" t="b">
        <f t="shared" si="5"/>
        <v>0</v>
      </c>
    </row>
    <row r="7" spans="1:27" ht="15" customHeight="1">
      <c r="A7" t="s">
        <v>1395</v>
      </c>
      <c r="B7" t="s">
        <v>251</v>
      </c>
      <c r="C7" t="s">
        <v>2218</v>
      </c>
      <c r="D7" t="s">
        <v>2219</v>
      </c>
      <c r="E7" s="14">
        <v>45754</v>
      </c>
      <c r="F7" s="14">
        <v>45754</v>
      </c>
      <c r="G7" s="14">
        <v>45784</v>
      </c>
      <c r="H7" s="15">
        <v>53208.61</v>
      </c>
      <c r="I7" s="15">
        <v>6940.25</v>
      </c>
      <c r="J7" s="15">
        <v>46268.36</v>
      </c>
      <c r="K7" t="s">
        <v>2220</v>
      </c>
      <c r="L7" t="s">
        <v>2221</v>
      </c>
      <c r="M7" t="s">
        <v>2222</v>
      </c>
      <c r="N7" s="14">
        <v>45788</v>
      </c>
      <c r="O7" t="s">
        <v>2209</v>
      </c>
      <c r="P7" t="s">
        <v>2223</v>
      </c>
      <c r="Q7" t="s">
        <v>175</v>
      </c>
      <c r="R7" t="s">
        <v>150</v>
      </c>
      <c r="S7" t="s">
        <v>130</v>
      </c>
      <c r="T7" t="s">
        <v>2224</v>
      </c>
      <c r="U7">
        <f t="shared" si="0"/>
        <v>0</v>
      </c>
      <c r="V7" t="b">
        <f t="shared" si="1"/>
        <v>0</v>
      </c>
      <c r="W7" t="b">
        <f t="shared" si="2"/>
        <v>0</v>
      </c>
      <c r="X7" t="b">
        <f t="shared" si="3"/>
        <v>0</v>
      </c>
      <c r="Y7" t="b">
        <f t="shared" si="4"/>
        <v>0</v>
      </c>
      <c r="Z7" t="b">
        <f t="shared" si="5"/>
        <v>0</v>
      </c>
    </row>
    <row r="8" spans="1:27" ht="15" customHeight="1">
      <c r="A8" t="s">
        <v>2225</v>
      </c>
      <c r="B8" t="s">
        <v>212</v>
      </c>
      <c r="C8" t="s">
        <v>2226</v>
      </c>
      <c r="D8" t="s">
        <v>2227</v>
      </c>
      <c r="E8" s="14">
        <v>45714</v>
      </c>
      <c r="F8" s="14">
        <v>45744</v>
      </c>
      <c r="G8" s="14">
        <v>45774</v>
      </c>
      <c r="H8" s="15">
        <v>15545.94</v>
      </c>
      <c r="I8" s="15">
        <v>2027.73</v>
      </c>
      <c r="J8" s="15">
        <v>13518.21</v>
      </c>
      <c r="K8" t="s">
        <v>2228</v>
      </c>
      <c r="L8" t="s">
        <v>2229</v>
      </c>
      <c r="M8" t="s">
        <v>2230</v>
      </c>
      <c r="N8" s="14">
        <v>45756</v>
      </c>
      <c r="O8" t="s">
        <v>2209</v>
      </c>
      <c r="P8" t="s">
        <v>2231</v>
      </c>
      <c r="Q8" t="s">
        <v>151</v>
      </c>
      <c r="R8" t="s">
        <v>150</v>
      </c>
      <c r="S8" t="s">
        <v>130</v>
      </c>
      <c r="T8" t="s">
        <v>2224</v>
      </c>
      <c r="U8">
        <f t="shared" si="0"/>
        <v>30</v>
      </c>
      <c r="V8" t="b">
        <f t="shared" si="1"/>
        <v>0</v>
      </c>
      <c r="W8" t="b">
        <f t="shared" si="2"/>
        <v>0</v>
      </c>
      <c r="X8" t="b">
        <f t="shared" si="3"/>
        <v>0</v>
      </c>
      <c r="Y8" t="b">
        <f t="shared" si="4"/>
        <v>0</v>
      </c>
      <c r="Z8" t="b">
        <f t="shared" si="5"/>
        <v>0</v>
      </c>
    </row>
    <row r="9" spans="1:27" ht="15" customHeight="1">
      <c r="A9" t="s">
        <v>2232</v>
      </c>
      <c r="B9" t="s">
        <v>322</v>
      </c>
      <c r="C9" t="s">
        <v>2213</v>
      </c>
      <c r="D9" t="s">
        <v>2233</v>
      </c>
      <c r="E9" s="14">
        <v>45958</v>
      </c>
      <c r="F9" s="14">
        <v>45973</v>
      </c>
      <c r="G9" s="14">
        <v>46003</v>
      </c>
      <c r="H9" s="15">
        <v>57408.59</v>
      </c>
      <c r="I9" s="15">
        <v>7488.08</v>
      </c>
      <c r="J9" s="15">
        <v>49920.51</v>
      </c>
      <c r="K9" t="s">
        <v>2234</v>
      </c>
      <c r="M9" t="s">
        <v>2235</v>
      </c>
      <c r="N9" s="14">
        <v>45998</v>
      </c>
      <c r="O9" t="s">
        <v>2209</v>
      </c>
      <c r="P9" t="s">
        <v>2217</v>
      </c>
      <c r="Q9" t="s">
        <v>129</v>
      </c>
      <c r="R9" t="s">
        <v>129</v>
      </c>
      <c r="S9" t="s">
        <v>130</v>
      </c>
      <c r="T9" t="s">
        <v>2211</v>
      </c>
      <c r="U9">
        <f t="shared" si="0"/>
        <v>15</v>
      </c>
      <c r="V9" t="b">
        <f t="shared" si="1"/>
        <v>0</v>
      </c>
      <c r="W9" t="b">
        <f t="shared" si="2"/>
        <v>0</v>
      </c>
      <c r="X9" t="b">
        <f t="shared" si="3"/>
        <v>0</v>
      </c>
      <c r="Y9" t="b">
        <f t="shared" si="4"/>
        <v>0</v>
      </c>
      <c r="Z9" t="b">
        <f t="shared" si="5"/>
        <v>0</v>
      </c>
    </row>
    <row r="10" spans="1:27" ht="15" customHeight="1">
      <c r="A10" t="s">
        <v>2236</v>
      </c>
      <c r="B10" t="s">
        <v>705</v>
      </c>
      <c r="C10" t="s">
        <v>2237</v>
      </c>
      <c r="D10" t="s">
        <v>2238</v>
      </c>
      <c r="E10" s="14">
        <v>45862</v>
      </c>
      <c r="F10" s="14">
        <v>45863</v>
      </c>
      <c r="G10" s="14">
        <v>45893</v>
      </c>
      <c r="H10" s="15">
        <v>56810.71</v>
      </c>
      <c r="I10" s="15">
        <v>7410.09</v>
      </c>
      <c r="J10" s="15">
        <v>49400.62</v>
      </c>
      <c r="K10" t="s">
        <v>2239</v>
      </c>
      <c r="M10" t="s">
        <v>2240</v>
      </c>
      <c r="N10" s="14">
        <v>45889</v>
      </c>
      <c r="O10" t="s">
        <v>2209</v>
      </c>
      <c r="P10" t="s">
        <v>2210</v>
      </c>
      <c r="Q10" t="s">
        <v>129</v>
      </c>
      <c r="R10" t="s">
        <v>175</v>
      </c>
      <c r="S10" t="s">
        <v>130</v>
      </c>
      <c r="T10" t="s">
        <v>2211</v>
      </c>
      <c r="U10">
        <f t="shared" si="0"/>
        <v>1</v>
      </c>
      <c r="V10" t="b">
        <f t="shared" si="1"/>
        <v>0</v>
      </c>
      <c r="W10" t="b">
        <f t="shared" si="2"/>
        <v>0</v>
      </c>
      <c r="X10" t="b">
        <f t="shared" si="3"/>
        <v>0</v>
      </c>
      <c r="Y10" t="b">
        <f t="shared" si="4"/>
        <v>0</v>
      </c>
      <c r="Z10" t="b">
        <f t="shared" si="5"/>
        <v>0</v>
      </c>
    </row>
    <row r="11" spans="1:27" ht="15" customHeight="1">
      <c r="A11" t="s">
        <v>1411</v>
      </c>
      <c r="B11" t="s">
        <v>782</v>
      </c>
      <c r="C11" t="s">
        <v>2205</v>
      </c>
      <c r="D11" t="s">
        <v>2241</v>
      </c>
      <c r="E11" s="14">
        <v>45929</v>
      </c>
      <c r="F11" s="14">
        <v>45934</v>
      </c>
      <c r="G11" s="14">
        <v>45964</v>
      </c>
      <c r="H11" s="15">
        <v>12800.93</v>
      </c>
      <c r="I11" s="15">
        <v>1669.69</v>
      </c>
      <c r="J11" s="15">
        <v>11131.24</v>
      </c>
      <c r="K11" t="s">
        <v>2242</v>
      </c>
      <c r="N11" s="14"/>
      <c r="O11" t="s">
        <v>288</v>
      </c>
      <c r="P11" t="s">
        <v>2243</v>
      </c>
      <c r="Q11" t="s">
        <v>175</v>
      </c>
      <c r="R11" t="s">
        <v>128</v>
      </c>
      <c r="S11" t="s">
        <v>130</v>
      </c>
      <c r="T11" t="s">
        <v>2211</v>
      </c>
      <c r="U11">
        <f t="shared" si="0"/>
        <v>5</v>
      </c>
      <c r="V11" t="b">
        <f t="shared" si="1"/>
        <v>0</v>
      </c>
      <c r="W11" t="b">
        <f t="shared" si="2"/>
        <v>0</v>
      </c>
      <c r="X11" t="b">
        <f t="shared" si="3"/>
        <v>0</v>
      </c>
      <c r="Y11" t="b">
        <f t="shared" si="4"/>
        <v>0</v>
      </c>
      <c r="Z11" t="b">
        <f t="shared" si="5"/>
        <v>0</v>
      </c>
    </row>
    <row r="12" spans="1:27" ht="15" customHeight="1">
      <c r="A12" t="s">
        <v>2244</v>
      </c>
      <c r="B12" t="s">
        <v>349</v>
      </c>
      <c r="C12" t="s">
        <v>2245</v>
      </c>
      <c r="D12" t="s">
        <v>2246</v>
      </c>
      <c r="E12" s="14">
        <v>45999</v>
      </c>
      <c r="F12" s="14">
        <v>46004</v>
      </c>
      <c r="G12" s="14">
        <v>46034</v>
      </c>
      <c r="H12" s="15">
        <v>41203.64</v>
      </c>
      <c r="I12" s="15">
        <v>5374.39</v>
      </c>
      <c r="J12" s="15">
        <v>35829.25</v>
      </c>
      <c r="K12" t="s">
        <v>2247</v>
      </c>
      <c r="M12" t="s">
        <v>2248</v>
      </c>
      <c r="N12" s="14">
        <v>46009</v>
      </c>
      <c r="O12" t="s">
        <v>2209</v>
      </c>
      <c r="P12" t="s">
        <v>2210</v>
      </c>
      <c r="Q12" t="s">
        <v>175</v>
      </c>
      <c r="R12" t="s">
        <v>150</v>
      </c>
      <c r="S12" t="s">
        <v>130</v>
      </c>
      <c r="T12" t="s">
        <v>2211</v>
      </c>
      <c r="U12">
        <f t="shared" si="0"/>
        <v>5</v>
      </c>
      <c r="V12" t="b">
        <f t="shared" si="1"/>
        <v>0</v>
      </c>
      <c r="W12" t="b">
        <f t="shared" si="2"/>
        <v>0</v>
      </c>
      <c r="X12" t="b">
        <f t="shared" si="3"/>
        <v>0</v>
      </c>
      <c r="Y12" t="b">
        <f t="shared" si="4"/>
        <v>0</v>
      </c>
      <c r="Z12" t="b">
        <f t="shared" si="5"/>
        <v>0</v>
      </c>
    </row>
    <row r="13" spans="1:27" ht="15" customHeight="1">
      <c r="A13" t="s">
        <v>2249</v>
      </c>
      <c r="B13" t="s">
        <v>212</v>
      </c>
      <c r="C13" t="s">
        <v>2226</v>
      </c>
      <c r="D13" t="s">
        <v>2250</v>
      </c>
      <c r="E13" s="14">
        <v>45934</v>
      </c>
      <c r="F13" s="14">
        <v>45964</v>
      </c>
      <c r="G13" s="14">
        <v>45994</v>
      </c>
      <c r="H13" s="15">
        <v>43093.15</v>
      </c>
      <c r="I13" s="15">
        <v>5620.85</v>
      </c>
      <c r="J13" s="15">
        <v>37472.300000000003</v>
      </c>
      <c r="N13" s="14"/>
      <c r="O13" t="s">
        <v>288</v>
      </c>
      <c r="P13" t="s">
        <v>2210</v>
      </c>
      <c r="Q13" t="s">
        <v>129</v>
      </c>
      <c r="R13" t="s">
        <v>175</v>
      </c>
      <c r="S13" t="s">
        <v>130</v>
      </c>
      <c r="T13" t="s">
        <v>2251</v>
      </c>
      <c r="U13">
        <f t="shared" si="0"/>
        <v>30</v>
      </c>
      <c r="V13" t="b">
        <f t="shared" si="1"/>
        <v>0</v>
      </c>
      <c r="W13" t="b">
        <f t="shared" si="2"/>
        <v>0</v>
      </c>
      <c r="X13" t="b">
        <f t="shared" si="3"/>
        <v>0</v>
      </c>
      <c r="Y13" t="b">
        <f t="shared" si="4"/>
        <v>0</v>
      </c>
      <c r="Z13" t="b">
        <f t="shared" si="5"/>
        <v>0</v>
      </c>
    </row>
    <row r="14" spans="1:27" ht="15" customHeight="1">
      <c r="A14" t="s">
        <v>2252</v>
      </c>
      <c r="B14" t="s">
        <v>313</v>
      </c>
      <c r="C14" t="s">
        <v>2253</v>
      </c>
      <c r="D14" t="s">
        <v>2254</v>
      </c>
      <c r="E14" s="14">
        <v>45916</v>
      </c>
      <c r="F14" s="14">
        <v>45926</v>
      </c>
      <c r="G14" s="14">
        <v>45956</v>
      </c>
      <c r="H14" s="15">
        <v>51669.22</v>
      </c>
      <c r="I14" s="15">
        <v>6739.46</v>
      </c>
      <c r="J14" s="15">
        <v>44929.760000000002</v>
      </c>
      <c r="K14" t="s">
        <v>2255</v>
      </c>
      <c r="M14" t="s">
        <v>2256</v>
      </c>
      <c r="N14" s="14">
        <v>45944</v>
      </c>
      <c r="O14" t="s">
        <v>2209</v>
      </c>
      <c r="P14" t="s">
        <v>2257</v>
      </c>
      <c r="Q14" t="s">
        <v>151</v>
      </c>
      <c r="R14" t="s">
        <v>175</v>
      </c>
      <c r="S14" t="s">
        <v>130</v>
      </c>
      <c r="T14" t="s">
        <v>2211</v>
      </c>
      <c r="U14">
        <f t="shared" si="0"/>
        <v>10</v>
      </c>
      <c r="V14" t="b">
        <f t="shared" si="1"/>
        <v>0</v>
      </c>
      <c r="W14" t="b">
        <f t="shared" si="2"/>
        <v>0</v>
      </c>
      <c r="X14" t="b">
        <f t="shared" si="3"/>
        <v>0</v>
      </c>
      <c r="Y14" t="b">
        <f t="shared" si="4"/>
        <v>0</v>
      </c>
      <c r="Z14" t="b">
        <f t="shared" si="5"/>
        <v>0</v>
      </c>
    </row>
    <row r="15" spans="1:27" ht="15" customHeight="1">
      <c r="A15" t="s">
        <v>210</v>
      </c>
      <c r="B15" t="s">
        <v>212</v>
      </c>
      <c r="C15" t="s">
        <v>2226</v>
      </c>
      <c r="D15" t="s">
        <v>2258</v>
      </c>
      <c r="E15" s="14">
        <v>45735</v>
      </c>
      <c r="F15" s="14">
        <v>45740</v>
      </c>
      <c r="G15" s="14">
        <v>45770</v>
      </c>
      <c r="H15" s="15">
        <v>38578.42</v>
      </c>
      <c r="I15" s="15">
        <v>5031.97</v>
      </c>
      <c r="J15" s="15">
        <v>33546.449999999997</v>
      </c>
      <c r="K15" t="s">
        <v>2259</v>
      </c>
      <c r="L15" t="s">
        <v>2260</v>
      </c>
      <c r="M15" t="s">
        <v>2261</v>
      </c>
      <c r="N15" s="14">
        <v>45754</v>
      </c>
      <c r="O15" t="s">
        <v>2209</v>
      </c>
      <c r="P15" t="s">
        <v>2231</v>
      </c>
      <c r="Q15" t="s">
        <v>151</v>
      </c>
      <c r="R15" t="s">
        <v>175</v>
      </c>
      <c r="S15" t="s">
        <v>130</v>
      </c>
      <c r="T15" t="s">
        <v>2224</v>
      </c>
      <c r="U15">
        <f t="shared" si="0"/>
        <v>5</v>
      </c>
      <c r="V15" t="b">
        <f t="shared" si="1"/>
        <v>0</v>
      </c>
      <c r="W15" t="b">
        <f t="shared" si="2"/>
        <v>0</v>
      </c>
      <c r="X15" t="b">
        <f t="shared" si="3"/>
        <v>0</v>
      </c>
      <c r="Y15" t="b">
        <f t="shared" si="4"/>
        <v>0</v>
      </c>
      <c r="Z15" t="b">
        <f t="shared" si="5"/>
        <v>0</v>
      </c>
    </row>
    <row r="16" spans="1:27" ht="15" customHeight="1">
      <c r="A16" t="s">
        <v>2262</v>
      </c>
      <c r="B16" t="s">
        <v>229</v>
      </c>
      <c r="C16" t="s">
        <v>2263</v>
      </c>
      <c r="D16" t="s">
        <v>2264</v>
      </c>
      <c r="E16" s="14">
        <v>46007</v>
      </c>
      <c r="F16" s="14">
        <v>46009</v>
      </c>
      <c r="G16" s="14">
        <v>46039</v>
      </c>
      <c r="H16" s="15">
        <v>54819.71</v>
      </c>
      <c r="I16" s="15">
        <v>7150.4</v>
      </c>
      <c r="J16" s="15">
        <v>47669.31</v>
      </c>
      <c r="K16" t="s">
        <v>2265</v>
      </c>
      <c r="N16" s="14"/>
      <c r="O16" t="s">
        <v>288</v>
      </c>
      <c r="P16" t="s">
        <v>2243</v>
      </c>
      <c r="Q16" t="s">
        <v>151</v>
      </c>
      <c r="R16" t="s">
        <v>129</v>
      </c>
      <c r="S16" t="s">
        <v>130</v>
      </c>
      <c r="T16" t="s">
        <v>2211</v>
      </c>
      <c r="U16">
        <f t="shared" si="0"/>
        <v>2</v>
      </c>
      <c r="V16" t="b">
        <f t="shared" si="1"/>
        <v>0</v>
      </c>
      <c r="W16" t="b">
        <f t="shared" si="2"/>
        <v>0</v>
      </c>
      <c r="X16" t="b">
        <f t="shared" si="3"/>
        <v>0</v>
      </c>
      <c r="Y16" t="b">
        <f t="shared" si="4"/>
        <v>0</v>
      </c>
      <c r="Z16" t="b">
        <f t="shared" si="5"/>
        <v>1</v>
      </c>
    </row>
    <row r="17" spans="1:26" ht="15" customHeight="1">
      <c r="A17" t="s">
        <v>2266</v>
      </c>
      <c r="B17" t="s">
        <v>251</v>
      </c>
      <c r="C17" t="s">
        <v>2218</v>
      </c>
      <c r="D17" t="s">
        <v>2267</v>
      </c>
      <c r="E17" s="14">
        <v>45967</v>
      </c>
      <c r="F17" s="14">
        <v>45982</v>
      </c>
      <c r="G17" s="14">
        <v>46012</v>
      </c>
      <c r="H17" s="15">
        <v>59402.32</v>
      </c>
      <c r="I17" s="15">
        <v>7748.13</v>
      </c>
      <c r="J17" s="15">
        <v>51654.19</v>
      </c>
      <c r="K17" t="s">
        <v>2268</v>
      </c>
      <c r="L17" t="s">
        <v>2269</v>
      </c>
      <c r="M17" t="s">
        <v>2270</v>
      </c>
      <c r="N17" s="14">
        <v>46002</v>
      </c>
      <c r="O17" t="s">
        <v>2209</v>
      </c>
      <c r="P17" t="s">
        <v>2231</v>
      </c>
      <c r="Q17" t="s">
        <v>150</v>
      </c>
      <c r="R17" t="s">
        <v>129</v>
      </c>
      <c r="S17" t="s">
        <v>130</v>
      </c>
      <c r="T17" t="s">
        <v>2224</v>
      </c>
      <c r="U17">
        <f t="shared" si="0"/>
        <v>15</v>
      </c>
      <c r="V17" t="b">
        <f t="shared" si="1"/>
        <v>0</v>
      </c>
      <c r="W17" t="b">
        <f t="shared" si="2"/>
        <v>1</v>
      </c>
      <c r="X17" t="b">
        <f t="shared" si="3"/>
        <v>0</v>
      </c>
      <c r="Y17" t="b">
        <f t="shared" si="4"/>
        <v>0</v>
      </c>
      <c r="Z17" t="b">
        <f t="shared" si="5"/>
        <v>0</v>
      </c>
    </row>
    <row r="18" spans="1:26" ht="15" customHeight="1">
      <c r="A18" t="s">
        <v>2271</v>
      </c>
      <c r="B18" t="s">
        <v>212</v>
      </c>
      <c r="C18" t="s">
        <v>2226</v>
      </c>
      <c r="D18" t="s">
        <v>2272</v>
      </c>
      <c r="E18" s="14">
        <v>45943</v>
      </c>
      <c r="F18" s="14">
        <v>45946</v>
      </c>
      <c r="G18" s="14">
        <v>45976</v>
      </c>
      <c r="H18" s="15">
        <v>1655.11</v>
      </c>
      <c r="I18" s="15">
        <v>215.88</v>
      </c>
      <c r="J18" s="15">
        <v>1439.23</v>
      </c>
      <c r="K18" t="s">
        <v>2273</v>
      </c>
      <c r="L18" t="s">
        <v>2274</v>
      </c>
      <c r="N18" s="14"/>
      <c r="O18" t="s">
        <v>288</v>
      </c>
      <c r="P18" t="s">
        <v>2223</v>
      </c>
      <c r="Q18" t="s">
        <v>175</v>
      </c>
      <c r="R18" t="s">
        <v>150</v>
      </c>
      <c r="S18" t="s">
        <v>130</v>
      </c>
      <c r="T18" t="s">
        <v>2224</v>
      </c>
      <c r="U18">
        <f t="shared" si="0"/>
        <v>3</v>
      </c>
      <c r="V18" t="b">
        <f t="shared" si="1"/>
        <v>0</v>
      </c>
      <c r="W18" t="b">
        <f t="shared" si="2"/>
        <v>0</v>
      </c>
      <c r="X18" t="b">
        <f t="shared" si="3"/>
        <v>0</v>
      </c>
      <c r="Y18" t="b">
        <f t="shared" si="4"/>
        <v>0</v>
      </c>
      <c r="Z18" t="b">
        <f t="shared" si="5"/>
        <v>0</v>
      </c>
    </row>
    <row r="19" spans="1:26" ht="15" customHeight="1">
      <c r="A19" t="s">
        <v>228</v>
      </c>
      <c r="B19" t="s">
        <v>229</v>
      </c>
      <c r="C19" t="s">
        <v>2263</v>
      </c>
      <c r="D19" t="s">
        <v>2275</v>
      </c>
      <c r="E19" s="14">
        <v>45692</v>
      </c>
      <c r="F19" s="14">
        <v>45694</v>
      </c>
      <c r="G19" s="14">
        <v>45724</v>
      </c>
      <c r="H19" s="15">
        <v>23627.53</v>
      </c>
      <c r="I19" s="15">
        <v>3081.85</v>
      </c>
      <c r="J19" s="15">
        <v>20545.68</v>
      </c>
      <c r="K19" t="s">
        <v>2276</v>
      </c>
      <c r="M19" t="s">
        <v>2277</v>
      </c>
      <c r="N19" s="14">
        <v>45738</v>
      </c>
      <c r="O19" t="s">
        <v>2209</v>
      </c>
      <c r="P19" t="s">
        <v>2210</v>
      </c>
      <c r="Q19" t="s">
        <v>129</v>
      </c>
      <c r="R19" t="s">
        <v>129</v>
      </c>
      <c r="S19" t="s">
        <v>130</v>
      </c>
      <c r="T19" t="s">
        <v>2211</v>
      </c>
      <c r="U19">
        <f t="shared" si="0"/>
        <v>2</v>
      </c>
      <c r="V19" t="b">
        <f t="shared" si="1"/>
        <v>0</v>
      </c>
      <c r="W19" t="b">
        <f t="shared" si="2"/>
        <v>0</v>
      </c>
      <c r="X19" t="b">
        <f t="shared" si="3"/>
        <v>0</v>
      </c>
      <c r="Y19" t="b">
        <f t="shared" si="4"/>
        <v>0</v>
      </c>
      <c r="Z19" t="b">
        <f t="shared" si="5"/>
        <v>0</v>
      </c>
    </row>
    <row r="20" spans="1:26" ht="15" customHeight="1">
      <c r="A20" t="s">
        <v>1447</v>
      </c>
      <c r="B20" t="s">
        <v>322</v>
      </c>
      <c r="C20" t="s">
        <v>2213</v>
      </c>
      <c r="D20" t="s">
        <v>2278</v>
      </c>
      <c r="E20" s="14">
        <v>45979</v>
      </c>
      <c r="F20" s="14">
        <v>45982</v>
      </c>
      <c r="G20" s="14">
        <v>46012</v>
      </c>
      <c r="H20" s="15">
        <v>72049.13</v>
      </c>
      <c r="I20" s="15">
        <v>9397.7099999999991</v>
      </c>
      <c r="J20" s="15">
        <v>62651.42</v>
      </c>
      <c r="K20" t="s">
        <v>2279</v>
      </c>
      <c r="M20" t="s">
        <v>2280</v>
      </c>
      <c r="N20" s="14">
        <v>46008</v>
      </c>
      <c r="O20" t="s">
        <v>2209</v>
      </c>
      <c r="P20" t="s">
        <v>2210</v>
      </c>
      <c r="Q20" t="s">
        <v>151</v>
      </c>
      <c r="R20" t="s">
        <v>175</v>
      </c>
      <c r="S20" t="s">
        <v>130</v>
      </c>
      <c r="T20" t="s">
        <v>2211</v>
      </c>
      <c r="U20">
        <f t="shared" si="0"/>
        <v>3</v>
      </c>
      <c r="V20" t="b">
        <f t="shared" si="1"/>
        <v>0</v>
      </c>
      <c r="W20" t="b">
        <f t="shared" si="2"/>
        <v>0</v>
      </c>
      <c r="X20" t="b">
        <f t="shared" si="3"/>
        <v>0</v>
      </c>
      <c r="Y20" t="b">
        <f t="shared" si="4"/>
        <v>0</v>
      </c>
      <c r="Z20" t="b">
        <f t="shared" si="5"/>
        <v>0</v>
      </c>
    </row>
    <row r="21" spans="1:26" ht="15" customHeight="1">
      <c r="A21" t="s">
        <v>2281</v>
      </c>
      <c r="B21" t="s">
        <v>349</v>
      </c>
      <c r="C21" t="s">
        <v>2245</v>
      </c>
      <c r="D21" t="s">
        <v>2282</v>
      </c>
      <c r="E21" s="14">
        <v>46015</v>
      </c>
      <c r="F21" s="14">
        <v>46022</v>
      </c>
      <c r="G21" s="14">
        <v>46052</v>
      </c>
      <c r="H21" s="15">
        <v>47176.61</v>
      </c>
      <c r="I21" s="15">
        <v>6153.47</v>
      </c>
      <c r="J21" s="15">
        <v>41023.14</v>
      </c>
      <c r="K21" t="s">
        <v>2283</v>
      </c>
      <c r="L21" t="s">
        <v>2284</v>
      </c>
      <c r="N21" s="14"/>
      <c r="O21" t="s">
        <v>288</v>
      </c>
      <c r="P21" t="s">
        <v>2231</v>
      </c>
      <c r="Q21" t="s">
        <v>129</v>
      </c>
      <c r="R21" t="s">
        <v>151</v>
      </c>
      <c r="S21" t="s">
        <v>130</v>
      </c>
      <c r="T21" t="s">
        <v>2224</v>
      </c>
      <c r="U21">
        <f t="shared" si="0"/>
        <v>7</v>
      </c>
      <c r="V21" t="b">
        <f t="shared" si="1"/>
        <v>0</v>
      </c>
      <c r="W21" t="b">
        <f t="shared" si="2"/>
        <v>0</v>
      </c>
      <c r="X21" t="b">
        <f t="shared" si="3"/>
        <v>0</v>
      </c>
      <c r="Y21" t="b">
        <f t="shared" si="4"/>
        <v>0</v>
      </c>
      <c r="Z21" t="b">
        <f t="shared" si="5"/>
        <v>1</v>
      </c>
    </row>
    <row r="22" spans="1:26" ht="15" customHeight="1">
      <c r="A22" t="s">
        <v>2285</v>
      </c>
      <c r="B22" t="s">
        <v>313</v>
      </c>
      <c r="C22" t="s">
        <v>2253</v>
      </c>
      <c r="D22" t="s">
        <v>2286</v>
      </c>
      <c r="E22" s="14">
        <v>45957</v>
      </c>
      <c r="F22" s="14">
        <v>45958</v>
      </c>
      <c r="G22" s="14">
        <v>45988</v>
      </c>
      <c r="H22" s="15">
        <v>60673.25</v>
      </c>
      <c r="I22" s="15">
        <v>7913.9</v>
      </c>
      <c r="J22" s="15">
        <v>52759.35</v>
      </c>
      <c r="K22" t="s">
        <v>2287</v>
      </c>
      <c r="N22" s="14"/>
      <c r="O22" t="s">
        <v>288</v>
      </c>
      <c r="P22" t="s">
        <v>2210</v>
      </c>
      <c r="Q22" t="s">
        <v>175</v>
      </c>
      <c r="R22" t="s">
        <v>175</v>
      </c>
      <c r="S22" t="s">
        <v>130</v>
      </c>
      <c r="T22" t="s">
        <v>2211</v>
      </c>
      <c r="U22">
        <f t="shared" si="0"/>
        <v>1</v>
      </c>
      <c r="V22" t="b">
        <f t="shared" si="1"/>
        <v>0</v>
      </c>
      <c r="W22" t="b">
        <f t="shared" si="2"/>
        <v>0</v>
      </c>
      <c r="X22" t="b">
        <f t="shared" si="3"/>
        <v>0</v>
      </c>
      <c r="Y22" t="b">
        <f t="shared" si="4"/>
        <v>0</v>
      </c>
      <c r="Z22" t="b">
        <f t="shared" si="5"/>
        <v>0</v>
      </c>
    </row>
    <row r="23" spans="1:26" ht="15" customHeight="1">
      <c r="A23" t="s">
        <v>2288</v>
      </c>
      <c r="B23" t="s">
        <v>212</v>
      </c>
      <c r="C23" t="s">
        <v>2226</v>
      </c>
      <c r="D23" t="s">
        <v>2289</v>
      </c>
      <c r="E23" s="14">
        <v>45795</v>
      </c>
      <c r="F23" s="14">
        <v>45798</v>
      </c>
      <c r="G23" s="14">
        <v>45828</v>
      </c>
      <c r="H23" s="15">
        <v>48155.48</v>
      </c>
      <c r="I23" s="15">
        <v>6281.15</v>
      </c>
      <c r="J23" s="15">
        <v>41874.33</v>
      </c>
      <c r="K23" t="s">
        <v>2290</v>
      </c>
      <c r="L23" t="s">
        <v>2291</v>
      </c>
      <c r="M23" t="s">
        <v>2292</v>
      </c>
      <c r="N23" s="14">
        <v>45821</v>
      </c>
      <c r="O23" t="s">
        <v>2209</v>
      </c>
      <c r="P23" t="s">
        <v>2293</v>
      </c>
      <c r="Q23" t="s">
        <v>129</v>
      </c>
      <c r="R23" t="s">
        <v>128</v>
      </c>
      <c r="S23" t="s">
        <v>130</v>
      </c>
      <c r="T23" t="s">
        <v>2224</v>
      </c>
      <c r="U23">
        <f t="shared" si="0"/>
        <v>3</v>
      </c>
      <c r="V23" t="b">
        <f t="shared" si="1"/>
        <v>0</v>
      </c>
      <c r="W23" t="b">
        <f t="shared" si="2"/>
        <v>0</v>
      </c>
      <c r="X23" t="b">
        <f t="shared" si="3"/>
        <v>0</v>
      </c>
      <c r="Y23" t="b">
        <f t="shared" si="4"/>
        <v>0</v>
      </c>
      <c r="Z23" t="b">
        <f t="shared" si="5"/>
        <v>0</v>
      </c>
    </row>
    <row r="24" spans="1:26" ht="15" customHeight="1">
      <c r="A24" t="s">
        <v>250</v>
      </c>
      <c r="B24" t="s">
        <v>251</v>
      </c>
      <c r="C24" t="s">
        <v>2218</v>
      </c>
      <c r="D24" t="s">
        <v>2294</v>
      </c>
      <c r="E24" s="14">
        <v>45799</v>
      </c>
      <c r="F24" s="14">
        <v>45814</v>
      </c>
      <c r="G24" s="14">
        <v>45844</v>
      </c>
      <c r="H24" s="15">
        <v>47072.93</v>
      </c>
      <c r="I24" s="15">
        <v>6139.95</v>
      </c>
      <c r="J24" s="15">
        <v>40932.980000000003</v>
      </c>
      <c r="K24" t="s">
        <v>2295</v>
      </c>
      <c r="L24" t="s">
        <v>2296</v>
      </c>
      <c r="M24" t="s">
        <v>2297</v>
      </c>
      <c r="N24" s="14">
        <v>45841</v>
      </c>
      <c r="O24" t="s">
        <v>2209</v>
      </c>
      <c r="P24" t="s">
        <v>2293</v>
      </c>
      <c r="Q24" t="s">
        <v>140</v>
      </c>
      <c r="R24" t="s">
        <v>150</v>
      </c>
      <c r="S24" t="s">
        <v>130</v>
      </c>
      <c r="T24" t="s">
        <v>2224</v>
      </c>
      <c r="U24">
        <f t="shared" si="0"/>
        <v>15</v>
      </c>
      <c r="V24" t="b">
        <f t="shared" si="1"/>
        <v>0</v>
      </c>
      <c r="W24" t="b">
        <f t="shared" si="2"/>
        <v>0</v>
      </c>
      <c r="X24" t="b">
        <f t="shared" si="3"/>
        <v>0</v>
      </c>
      <c r="Y24" t="b">
        <f t="shared" si="4"/>
        <v>0</v>
      </c>
      <c r="Z24" t="b">
        <f t="shared" si="5"/>
        <v>0</v>
      </c>
    </row>
    <row r="25" spans="1:26" ht="15" customHeight="1">
      <c r="A25" t="s">
        <v>2298</v>
      </c>
      <c r="B25" t="s">
        <v>212</v>
      </c>
      <c r="C25" t="s">
        <v>2226</v>
      </c>
      <c r="D25" t="s">
        <v>2299</v>
      </c>
      <c r="E25" s="14">
        <v>45896</v>
      </c>
      <c r="F25" s="14">
        <v>45926</v>
      </c>
      <c r="G25" s="14">
        <v>45956</v>
      </c>
      <c r="H25" s="15">
        <v>11940.06</v>
      </c>
      <c r="I25" s="15">
        <v>1557.4</v>
      </c>
      <c r="J25" s="15">
        <v>10382.66</v>
      </c>
      <c r="K25" t="s">
        <v>2300</v>
      </c>
      <c r="L25" t="s">
        <v>2301</v>
      </c>
      <c r="M25" t="s">
        <v>2302</v>
      </c>
      <c r="N25" s="14">
        <v>45956</v>
      </c>
      <c r="O25" t="s">
        <v>2209</v>
      </c>
      <c r="P25" t="s">
        <v>2293</v>
      </c>
      <c r="Q25" t="s">
        <v>175</v>
      </c>
      <c r="R25" t="s">
        <v>129</v>
      </c>
      <c r="S25" t="s">
        <v>288</v>
      </c>
      <c r="T25" t="s">
        <v>2224</v>
      </c>
      <c r="U25">
        <f t="shared" si="0"/>
        <v>30</v>
      </c>
      <c r="V25" t="b">
        <f t="shared" si="1"/>
        <v>0</v>
      </c>
      <c r="W25" t="b">
        <f t="shared" si="2"/>
        <v>0</v>
      </c>
      <c r="X25" t="b">
        <f t="shared" si="3"/>
        <v>0</v>
      </c>
      <c r="Y25" t="b">
        <f t="shared" si="4"/>
        <v>0</v>
      </c>
      <c r="Z25" t="b">
        <f t="shared" si="5"/>
        <v>0</v>
      </c>
    </row>
    <row r="26" spans="1:26" ht="15" customHeight="1">
      <c r="A26" t="s">
        <v>2303</v>
      </c>
      <c r="B26" t="s">
        <v>322</v>
      </c>
      <c r="C26" t="s">
        <v>2213</v>
      </c>
      <c r="D26" t="s">
        <v>2304</v>
      </c>
      <c r="E26" s="14">
        <v>45805</v>
      </c>
      <c r="F26" s="14">
        <v>45806</v>
      </c>
      <c r="G26" s="14">
        <v>45836</v>
      </c>
      <c r="H26" s="15">
        <v>60806.54</v>
      </c>
      <c r="I26" s="15">
        <v>7931.29</v>
      </c>
      <c r="J26" s="15">
        <v>52875.25</v>
      </c>
      <c r="K26" t="s">
        <v>2305</v>
      </c>
      <c r="N26" s="14"/>
      <c r="O26" t="s">
        <v>288</v>
      </c>
      <c r="P26" t="s">
        <v>2210</v>
      </c>
      <c r="Q26" t="s">
        <v>140</v>
      </c>
      <c r="R26" t="s">
        <v>128</v>
      </c>
      <c r="S26" t="s">
        <v>130</v>
      </c>
      <c r="T26" t="s">
        <v>2211</v>
      </c>
      <c r="U26">
        <f t="shared" si="0"/>
        <v>1</v>
      </c>
      <c r="V26" t="b">
        <f t="shared" si="1"/>
        <v>0</v>
      </c>
      <c r="W26" t="b">
        <f t="shared" si="2"/>
        <v>0</v>
      </c>
      <c r="X26" t="b">
        <f t="shared" si="3"/>
        <v>0</v>
      </c>
      <c r="Y26" t="b">
        <f t="shared" si="4"/>
        <v>0</v>
      </c>
      <c r="Z26" t="b">
        <f t="shared" si="5"/>
        <v>0</v>
      </c>
    </row>
    <row r="27" spans="1:26" ht="15" customHeight="1">
      <c r="A27" t="s">
        <v>2306</v>
      </c>
      <c r="B27" t="s">
        <v>440</v>
      </c>
      <c r="C27" t="s">
        <v>2307</v>
      </c>
      <c r="D27" t="s">
        <v>2308</v>
      </c>
      <c r="E27" s="14">
        <v>45923</v>
      </c>
      <c r="F27" s="14">
        <v>45923</v>
      </c>
      <c r="G27" s="14">
        <v>45953</v>
      </c>
      <c r="H27" s="15">
        <v>61534.080000000002</v>
      </c>
      <c r="I27" s="15">
        <v>8026.18</v>
      </c>
      <c r="J27" s="15">
        <v>53507.9</v>
      </c>
      <c r="K27" t="s">
        <v>2309</v>
      </c>
      <c r="M27" t="s">
        <v>2310</v>
      </c>
      <c r="N27" s="14">
        <v>45947</v>
      </c>
      <c r="O27" t="s">
        <v>2209</v>
      </c>
      <c r="P27" t="s">
        <v>2257</v>
      </c>
      <c r="Q27" t="s">
        <v>140</v>
      </c>
      <c r="R27" t="s">
        <v>128</v>
      </c>
      <c r="S27" t="s">
        <v>130</v>
      </c>
      <c r="T27" t="s">
        <v>2211</v>
      </c>
      <c r="U27">
        <f t="shared" si="0"/>
        <v>0</v>
      </c>
      <c r="V27" t="b">
        <f t="shared" si="1"/>
        <v>0</v>
      </c>
      <c r="W27" t="b">
        <f t="shared" si="2"/>
        <v>0</v>
      </c>
      <c r="X27" t="b">
        <f t="shared" si="3"/>
        <v>0</v>
      </c>
      <c r="Y27" t="b">
        <f t="shared" si="4"/>
        <v>0</v>
      </c>
      <c r="Z27" t="b">
        <f t="shared" si="5"/>
        <v>0</v>
      </c>
    </row>
    <row r="28" spans="1:26" ht="15" customHeight="1">
      <c r="A28" t="s">
        <v>2311</v>
      </c>
      <c r="B28" t="s">
        <v>322</v>
      </c>
      <c r="C28" t="s">
        <v>2213</v>
      </c>
      <c r="D28" t="s">
        <v>2312</v>
      </c>
      <c r="E28" s="14">
        <v>46003</v>
      </c>
      <c r="F28" s="14">
        <v>46018</v>
      </c>
      <c r="G28" s="14">
        <v>46048</v>
      </c>
      <c r="H28" s="15">
        <v>1005.5</v>
      </c>
      <c r="I28" s="15">
        <v>131.15</v>
      </c>
      <c r="J28" s="15">
        <v>874.35</v>
      </c>
      <c r="K28" t="s">
        <v>2313</v>
      </c>
      <c r="N28" s="14"/>
      <c r="O28" t="s">
        <v>288</v>
      </c>
      <c r="P28" t="s">
        <v>2210</v>
      </c>
      <c r="Q28" t="s">
        <v>150</v>
      </c>
      <c r="R28" t="s">
        <v>128</v>
      </c>
      <c r="S28" t="s">
        <v>288</v>
      </c>
      <c r="T28" t="s">
        <v>2211</v>
      </c>
      <c r="U28">
        <f t="shared" si="0"/>
        <v>15</v>
      </c>
      <c r="V28" t="b">
        <f t="shared" si="1"/>
        <v>0</v>
      </c>
      <c r="W28" t="b">
        <f t="shared" si="2"/>
        <v>0</v>
      </c>
      <c r="X28" t="b">
        <f t="shared" si="3"/>
        <v>0</v>
      </c>
      <c r="Y28" t="b">
        <f t="shared" si="4"/>
        <v>0</v>
      </c>
      <c r="Z28" t="b">
        <f t="shared" si="5"/>
        <v>0</v>
      </c>
    </row>
    <row r="29" spans="1:26" ht="15" customHeight="1">
      <c r="A29" t="s">
        <v>2314</v>
      </c>
      <c r="B29" t="s">
        <v>313</v>
      </c>
      <c r="C29" t="s">
        <v>2253</v>
      </c>
      <c r="D29" t="s">
        <v>2315</v>
      </c>
      <c r="E29" s="14">
        <v>45813</v>
      </c>
      <c r="F29" s="14">
        <v>45818</v>
      </c>
      <c r="G29" s="14">
        <v>45848</v>
      </c>
      <c r="H29" s="15">
        <v>49387.47</v>
      </c>
      <c r="I29" s="15">
        <v>6441.84</v>
      </c>
      <c r="J29" s="15">
        <v>42945.63</v>
      </c>
      <c r="K29" t="s">
        <v>2316</v>
      </c>
      <c r="L29" t="s">
        <v>2317</v>
      </c>
      <c r="N29" s="14"/>
      <c r="O29" t="s">
        <v>288</v>
      </c>
      <c r="P29" t="s">
        <v>2231</v>
      </c>
      <c r="Q29" t="s">
        <v>129</v>
      </c>
      <c r="R29" t="s">
        <v>128</v>
      </c>
      <c r="S29" t="s">
        <v>130</v>
      </c>
      <c r="T29" t="s">
        <v>2224</v>
      </c>
      <c r="U29">
        <f t="shared" si="0"/>
        <v>5</v>
      </c>
      <c r="V29" t="b">
        <f t="shared" si="1"/>
        <v>0</v>
      </c>
      <c r="W29" t="b">
        <f t="shared" si="2"/>
        <v>0</v>
      </c>
      <c r="X29" t="b">
        <f t="shared" si="3"/>
        <v>0</v>
      </c>
      <c r="Y29" t="b">
        <f t="shared" si="4"/>
        <v>0</v>
      </c>
      <c r="Z29" t="b">
        <f t="shared" si="5"/>
        <v>0</v>
      </c>
    </row>
    <row r="30" spans="1:26" ht="15" customHeight="1">
      <c r="A30" t="s">
        <v>1487</v>
      </c>
      <c r="B30" t="s">
        <v>349</v>
      </c>
      <c r="C30" t="s">
        <v>2245</v>
      </c>
      <c r="D30" t="s">
        <v>2318</v>
      </c>
      <c r="E30" s="14">
        <v>45727</v>
      </c>
      <c r="F30" s="14">
        <v>45729</v>
      </c>
      <c r="G30" s="14">
        <v>45759</v>
      </c>
      <c r="H30" s="15">
        <v>46141.32</v>
      </c>
      <c r="I30" s="15">
        <v>6018.43</v>
      </c>
      <c r="J30" s="15">
        <v>40122.89</v>
      </c>
      <c r="K30" t="s">
        <v>2319</v>
      </c>
      <c r="N30" s="14"/>
      <c r="O30" t="s">
        <v>288</v>
      </c>
      <c r="P30" t="s">
        <v>2257</v>
      </c>
      <c r="Q30" t="s">
        <v>140</v>
      </c>
      <c r="R30" t="s">
        <v>129</v>
      </c>
      <c r="S30" t="s">
        <v>130</v>
      </c>
      <c r="T30" t="s">
        <v>2211</v>
      </c>
      <c r="U30">
        <f t="shared" si="0"/>
        <v>2</v>
      </c>
      <c r="V30" t="b">
        <f t="shared" si="1"/>
        <v>0</v>
      </c>
      <c r="W30" t="b">
        <f t="shared" si="2"/>
        <v>0</v>
      </c>
      <c r="X30" t="b">
        <f t="shared" si="3"/>
        <v>0</v>
      </c>
      <c r="Y30" t="b">
        <f t="shared" si="4"/>
        <v>0</v>
      </c>
      <c r="Z30" t="b">
        <f t="shared" si="5"/>
        <v>0</v>
      </c>
    </row>
    <row r="31" spans="1:26" ht="15" customHeight="1">
      <c r="A31" t="s">
        <v>2320</v>
      </c>
      <c r="B31" t="s">
        <v>705</v>
      </c>
      <c r="C31" t="s">
        <v>2237</v>
      </c>
      <c r="D31" t="s">
        <v>2321</v>
      </c>
      <c r="E31" s="14">
        <v>45752</v>
      </c>
      <c r="F31" s="14">
        <v>45755</v>
      </c>
      <c r="G31" s="14">
        <v>45785</v>
      </c>
      <c r="H31" s="15">
        <v>18408.71</v>
      </c>
      <c r="I31" s="15">
        <v>2401.14</v>
      </c>
      <c r="J31" s="15">
        <v>16007.57</v>
      </c>
      <c r="K31" t="s">
        <v>2322</v>
      </c>
      <c r="L31" t="s">
        <v>2323</v>
      </c>
      <c r="M31" t="s">
        <v>2324</v>
      </c>
      <c r="N31" s="14">
        <v>45777</v>
      </c>
      <c r="O31" t="s">
        <v>2209</v>
      </c>
      <c r="P31" t="s">
        <v>2223</v>
      </c>
      <c r="Q31" t="s">
        <v>151</v>
      </c>
      <c r="R31" t="s">
        <v>151</v>
      </c>
      <c r="S31" t="s">
        <v>130</v>
      </c>
      <c r="T31" t="s">
        <v>2224</v>
      </c>
      <c r="U31">
        <f t="shared" si="0"/>
        <v>3</v>
      </c>
      <c r="V31" t="b">
        <f t="shared" si="1"/>
        <v>0</v>
      </c>
      <c r="W31" t="b">
        <f t="shared" si="2"/>
        <v>0</v>
      </c>
      <c r="X31" t="b">
        <f t="shared" si="3"/>
        <v>0</v>
      </c>
      <c r="Y31" t="b">
        <f t="shared" si="4"/>
        <v>0</v>
      </c>
      <c r="Z31" t="b">
        <f t="shared" si="5"/>
        <v>0</v>
      </c>
    </row>
    <row r="32" spans="1:26" ht="15" customHeight="1">
      <c r="A32" t="s">
        <v>2325</v>
      </c>
      <c r="B32" t="s">
        <v>229</v>
      </c>
      <c r="C32" t="s">
        <v>2263</v>
      </c>
      <c r="D32" t="s">
        <v>2326</v>
      </c>
      <c r="E32" s="14">
        <v>45780</v>
      </c>
      <c r="F32" s="14">
        <v>45780</v>
      </c>
      <c r="G32" s="14">
        <v>45810</v>
      </c>
      <c r="H32" s="15">
        <v>31846.87</v>
      </c>
      <c r="I32" s="15">
        <v>4153.9399999999996</v>
      </c>
      <c r="J32" s="15">
        <v>27692.93</v>
      </c>
      <c r="K32" t="s">
        <v>2327</v>
      </c>
      <c r="M32" t="s">
        <v>2328</v>
      </c>
      <c r="N32" s="14">
        <v>45825</v>
      </c>
      <c r="O32" t="s">
        <v>2209</v>
      </c>
      <c r="P32" t="s">
        <v>2210</v>
      </c>
      <c r="Q32" t="s">
        <v>150</v>
      </c>
      <c r="R32" t="s">
        <v>175</v>
      </c>
      <c r="S32" t="s">
        <v>130</v>
      </c>
      <c r="T32" t="s">
        <v>2211</v>
      </c>
      <c r="U32">
        <f t="shared" si="0"/>
        <v>0</v>
      </c>
      <c r="V32" t="b">
        <f t="shared" si="1"/>
        <v>0</v>
      </c>
      <c r="W32" t="b">
        <f t="shared" si="2"/>
        <v>0</v>
      </c>
      <c r="X32" t="b">
        <f t="shared" si="3"/>
        <v>0</v>
      </c>
      <c r="Y32" t="b">
        <f t="shared" si="4"/>
        <v>0</v>
      </c>
      <c r="Z32" t="b">
        <f t="shared" si="5"/>
        <v>0</v>
      </c>
    </row>
    <row r="33" spans="1:26" ht="15" customHeight="1">
      <c r="A33" t="s">
        <v>2329</v>
      </c>
      <c r="B33" t="s">
        <v>782</v>
      </c>
      <c r="C33" t="s">
        <v>2205</v>
      </c>
      <c r="D33" t="s">
        <v>2330</v>
      </c>
      <c r="E33" s="14">
        <v>45720</v>
      </c>
      <c r="F33" s="14">
        <v>45727</v>
      </c>
      <c r="G33" s="14">
        <v>45757</v>
      </c>
      <c r="H33" s="15">
        <v>65281.66</v>
      </c>
      <c r="I33" s="15">
        <v>8515</v>
      </c>
      <c r="J33" s="15">
        <v>56766.66</v>
      </c>
      <c r="K33" t="s">
        <v>2331</v>
      </c>
      <c r="M33" t="s">
        <v>2332</v>
      </c>
      <c r="N33" s="14">
        <v>45732</v>
      </c>
      <c r="O33" t="s">
        <v>2209</v>
      </c>
      <c r="P33" t="s">
        <v>2243</v>
      </c>
      <c r="Q33" t="s">
        <v>140</v>
      </c>
      <c r="R33" t="s">
        <v>128</v>
      </c>
      <c r="S33" t="s">
        <v>130</v>
      </c>
      <c r="T33" t="s">
        <v>2211</v>
      </c>
      <c r="U33">
        <f t="shared" si="0"/>
        <v>7</v>
      </c>
      <c r="V33" t="b">
        <f t="shared" si="1"/>
        <v>0</v>
      </c>
      <c r="W33" t="b">
        <f t="shared" si="2"/>
        <v>0</v>
      </c>
      <c r="X33" t="b">
        <f t="shared" si="3"/>
        <v>0</v>
      </c>
      <c r="Y33" t="b">
        <f t="shared" si="4"/>
        <v>0</v>
      </c>
      <c r="Z33" t="b">
        <f t="shared" si="5"/>
        <v>0</v>
      </c>
    </row>
    <row r="34" spans="1:26" ht="15" customHeight="1">
      <c r="A34" t="s">
        <v>2333</v>
      </c>
      <c r="B34" t="s">
        <v>251</v>
      </c>
      <c r="C34" t="s">
        <v>2218</v>
      </c>
      <c r="D34" t="s">
        <v>2334</v>
      </c>
      <c r="E34" s="14">
        <v>45838</v>
      </c>
      <c r="F34" s="14">
        <v>45840</v>
      </c>
      <c r="G34" s="14">
        <v>45870</v>
      </c>
      <c r="H34" s="15">
        <v>20681.740000000002</v>
      </c>
      <c r="I34" s="15">
        <v>2697.62</v>
      </c>
      <c r="J34" s="15">
        <v>17984.12</v>
      </c>
      <c r="K34" t="s">
        <v>2335</v>
      </c>
      <c r="L34" t="s">
        <v>2336</v>
      </c>
      <c r="M34" t="s">
        <v>2337</v>
      </c>
      <c r="N34" s="14">
        <v>45853</v>
      </c>
      <c r="O34" t="s">
        <v>2209</v>
      </c>
      <c r="P34" t="s">
        <v>2223</v>
      </c>
      <c r="Q34" t="s">
        <v>140</v>
      </c>
      <c r="R34" t="s">
        <v>175</v>
      </c>
      <c r="S34" t="s">
        <v>130</v>
      </c>
      <c r="T34" t="s">
        <v>2224</v>
      </c>
      <c r="U34">
        <f t="shared" si="0"/>
        <v>2</v>
      </c>
      <c r="V34" t="b">
        <f t="shared" si="1"/>
        <v>0</v>
      </c>
      <c r="W34" t="b">
        <f t="shared" si="2"/>
        <v>0</v>
      </c>
      <c r="X34" t="b">
        <f t="shared" si="3"/>
        <v>0</v>
      </c>
      <c r="Y34" t="b">
        <f t="shared" si="4"/>
        <v>0</v>
      </c>
      <c r="Z34" t="b">
        <f t="shared" si="5"/>
        <v>0</v>
      </c>
    </row>
    <row r="35" spans="1:26" ht="15" customHeight="1">
      <c r="A35" t="s">
        <v>2338</v>
      </c>
      <c r="B35" t="s">
        <v>349</v>
      </c>
      <c r="C35" t="s">
        <v>2245</v>
      </c>
      <c r="D35" t="s">
        <v>2339</v>
      </c>
      <c r="E35" s="14">
        <v>45767</v>
      </c>
      <c r="F35" s="14">
        <v>45769</v>
      </c>
      <c r="G35" s="14">
        <v>45799</v>
      </c>
      <c r="H35" s="15">
        <v>36719.14</v>
      </c>
      <c r="I35" s="15">
        <v>4789.45</v>
      </c>
      <c r="J35" s="15">
        <v>31929.69</v>
      </c>
      <c r="K35" t="s">
        <v>2340</v>
      </c>
      <c r="M35" t="s">
        <v>2341</v>
      </c>
      <c r="N35" s="14">
        <v>45780</v>
      </c>
      <c r="O35" t="s">
        <v>2209</v>
      </c>
      <c r="P35" t="s">
        <v>2210</v>
      </c>
      <c r="Q35" t="s">
        <v>129</v>
      </c>
      <c r="R35" t="s">
        <v>151</v>
      </c>
      <c r="S35" t="s">
        <v>130</v>
      </c>
      <c r="T35" t="s">
        <v>2211</v>
      </c>
      <c r="U35">
        <f t="shared" si="0"/>
        <v>2</v>
      </c>
      <c r="V35" t="b">
        <f t="shared" si="1"/>
        <v>0</v>
      </c>
      <c r="W35" t="b">
        <f t="shared" si="2"/>
        <v>0</v>
      </c>
      <c r="X35" t="b">
        <f t="shared" si="3"/>
        <v>0</v>
      </c>
      <c r="Y35" t="b">
        <f t="shared" si="4"/>
        <v>0</v>
      </c>
      <c r="Z35" t="b">
        <f t="shared" si="5"/>
        <v>0</v>
      </c>
    </row>
    <row r="36" spans="1:26" ht="15" customHeight="1">
      <c r="A36" t="s">
        <v>2342</v>
      </c>
      <c r="B36" t="s">
        <v>782</v>
      </c>
      <c r="C36" t="s">
        <v>2205</v>
      </c>
      <c r="D36" t="s">
        <v>2343</v>
      </c>
      <c r="E36" s="14">
        <v>45736</v>
      </c>
      <c r="F36" s="14">
        <v>45737</v>
      </c>
      <c r="G36" s="14">
        <v>45767</v>
      </c>
      <c r="H36" s="15">
        <v>5662.91</v>
      </c>
      <c r="I36" s="15">
        <v>738.64</v>
      </c>
      <c r="J36" s="15">
        <v>4924.2700000000004</v>
      </c>
      <c r="K36" t="s">
        <v>2344</v>
      </c>
      <c r="M36" t="s">
        <v>2345</v>
      </c>
      <c r="N36" s="14">
        <v>45782</v>
      </c>
      <c r="O36" t="s">
        <v>2209</v>
      </c>
      <c r="P36" t="s">
        <v>2243</v>
      </c>
      <c r="Q36" t="s">
        <v>175</v>
      </c>
      <c r="R36" t="s">
        <v>175</v>
      </c>
      <c r="S36" t="s">
        <v>130</v>
      </c>
      <c r="T36" t="s">
        <v>2211</v>
      </c>
      <c r="U36">
        <f t="shared" si="0"/>
        <v>1</v>
      </c>
      <c r="V36" t="b">
        <f t="shared" si="1"/>
        <v>0</v>
      </c>
      <c r="W36" t="b">
        <f t="shared" si="2"/>
        <v>0</v>
      </c>
      <c r="X36" t="b">
        <f t="shared" si="3"/>
        <v>0</v>
      </c>
      <c r="Y36" t="b">
        <f t="shared" si="4"/>
        <v>0</v>
      </c>
      <c r="Z36" t="b">
        <f t="shared" si="5"/>
        <v>0</v>
      </c>
    </row>
    <row r="37" spans="1:26" ht="15" customHeight="1">
      <c r="A37" t="s">
        <v>2346</v>
      </c>
      <c r="B37" t="s">
        <v>887</v>
      </c>
      <c r="C37" t="s">
        <v>2347</v>
      </c>
      <c r="D37" t="s">
        <v>2348</v>
      </c>
      <c r="E37" s="14">
        <v>45912</v>
      </c>
      <c r="F37" s="14">
        <v>45915</v>
      </c>
      <c r="G37" s="14">
        <v>45945</v>
      </c>
      <c r="H37" s="15">
        <v>13251.66</v>
      </c>
      <c r="I37" s="15">
        <v>1728.48</v>
      </c>
      <c r="J37" s="15">
        <v>11523.18</v>
      </c>
      <c r="K37" t="s">
        <v>2349</v>
      </c>
      <c r="L37" t="s">
        <v>2350</v>
      </c>
      <c r="M37" t="s">
        <v>2351</v>
      </c>
      <c r="N37" s="14">
        <v>45939</v>
      </c>
      <c r="O37" t="s">
        <v>2209</v>
      </c>
      <c r="P37" t="s">
        <v>2223</v>
      </c>
      <c r="Q37" t="s">
        <v>129</v>
      </c>
      <c r="R37" t="s">
        <v>175</v>
      </c>
      <c r="S37" t="s">
        <v>130</v>
      </c>
      <c r="T37" t="s">
        <v>2224</v>
      </c>
      <c r="U37">
        <f t="shared" si="0"/>
        <v>3</v>
      </c>
      <c r="V37" t="b">
        <f t="shared" si="1"/>
        <v>0</v>
      </c>
      <c r="W37" t="b">
        <f t="shared" si="2"/>
        <v>0</v>
      </c>
      <c r="X37" t="b">
        <f t="shared" si="3"/>
        <v>0</v>
      </c>
      <c r="Y37" t="b">
        <f t="shared" si="4"/>
        <v>0</v>
      </c>
      <c r="Z37" t="b">
        <f t="shared" si="5"/>
        <v>0</v>
      </c>
    </row>
    <row r="38" spans="1:26" ht="15" customHeight="1">
      <c r="A38" t="s">
        <v>2352</v>
      </c>
      <c r="B38" t="s">
        <v>349</v>
      </c>
      <c r="C38" t="s">
        <v>2245</v>
      </c>
      <c r="D38" t="s">
        <v>2353</v>
      </c>
      <c r="E38" s="14">
        <v>45948</v>
      </c>
      <c r="F38" s="14">
        <v>45963</v>
      </c>
      <c r="G38" s="14">
        <v>45993</v>
      </c>
      <c r="H38" s="15">
        <v>71587.320000000007</v>
      </c>
      <c r="I38" s="15">
        <v>9337.48</v>
      </c>
      <c r="J38" s="15">
        <v>62249.84</v>
      </c>
      <c r="K38" t="s">
        <v>2354</v>
      </c>
      <c r="M38" t="s">
        <v>2355</v>
      </c>
      <c r="N38" s="14">
        <v>45976</v>
      </c>
      <c r="O38" t="s">
        <v>2209</v>
      </c>
      <c r="P38" t="s">
        <v>2217</v>
      </c>
      <c r="Q38" t="s">
        <v>140</v>
      </c>
      <c r="R38" t="s">
        <v>175</v>
      </c>
      <c r="S38" t="s">
        <v>130</v>
      </c>
      <c r="T38" t="s">
        <v>2211</v>
      </c>
      <c r="U38">
        <f t="shared" si="0"/>
        <v>15</v>
      </c>
      <c r="V38" t="b">
        <f t="shared" si="1"/>
        <v>0</v>
      </c>
      <c r="W38" t="b">
        <f t="shared" si="2"/>
        <v>0</v>
      </c>
      <c r="X38" t="b">
        <f t="shared" si="3"/>
        <v>0</v>
      </c>
      <c r="Y38" t="b">
        <f t="shared" si="4"/>
        <v>0</v>
      </c>
      <c r="Z38" t="b">
        <f t="shared" si="5"/>
        <v>0</v>
      </c>
    </row>
    <row r="39" spans="1:26" ht="15" customHeight="1">
      <c r="A39" t="s">
        <v>312</v>
      </c>
      <c r="B39" t="s">
        <v>313</v>
      </c>
      <c r="C39" t="s">
        <v>2253</v>
      </c>
      <c r="D39" t="s">
        <v>2356</v>
      </c>
      <c r="E39" s="14">
        <v>45830</v>
      </c>
      <c r="F39" s="14">
        <v>45835</v>
      </c>
      <c r="G39" s="14">
        <v>45865</v>
      </c>
      <c r="H39" s="15">
        <v>67597</v>
      </c>
      <c r="I39" s="15">
        <v>8817</v>
      </c>
      <c r="J39" s="15">
        <v>58780</v>
      </c>
      <c r="K39" t="s">
        <v>2357</v>
      </c>
      <c r="M39" t="s">
        <v>2358</v>
      </c>
      <c r="N39" s="14">
        <v>45870</v>
      </c>
      <c r="O39" t="s">
        <v>2209</v>
      </c>
      <c r="P39" t="s">
        <v>2257</v>
      </c>
      <c r="Q39" t="s">
        <v>129</v>
      </c>
      <c r="R39" t="s">
        <v>129</v>
      </c>
      <c r="S39" t="s">
        <v>130</v>
      </c>
      <c r="T39" t="s">
        <v>2211</v>
      </c>
      <c r="U39">
        <f t="shared" si="0"/>
        <v>5</v>
      </c>
      <c r="V39" t="b">
        <f t="shared" si="1"/>
        <v>0</v>
      </c>
      <c r="W39" t="b">
        <f t="shared" si="2"/>
        <v>0</v>
      </c>
      <c r="X39" t="b">
        <f t="shared" si="3"/>
        <v>0</v>
      </c>
      <c r="Y39" t="b">
        <f t="shared" si="4"/>
        <v>0</v>
      </c>
      <c r="Z39" t="b">
        <f t="shared" si="5"/>
        <v>0</v>
      </c>
    </row>
    <row r="40" spans="1:26" ht="15" customHeight="1">
      <c r="A40" t="s">
        <v>317</v>
      </c>
      <c r="B40" t="s">
        <v>212</v>
      </c>
      <c r="C40" t="s">
        <v>2226</v>
      </c>
      <c r="D40" t="s">
        <v>2359</v>
      </c>
      <c r="E40" s="14">
        <v>45982</v>
      </c>
      <c r="F40" s="14">
        <v>45983</v>
      </c>
      <c r="G40" s="14">
        <v>46013</v>
      </c>
      <c r="H40" s="15">
        <v>30189.22</v>
      </c>
      <c r="I40" s="15">
        <v>3937.72</v>
      </c>
      <c r="J40" s="15">
        <v>26251.5</v>
      </c>
      <c r="K40" t="s">
        <v>2360</v>
      </c>
      <c r="L40" t="s">
        <v>2361</v>
      </c>
      <c r="M40" t="s">
        <v>2362</v>
      </c>
      <c r="N40" s="14">
        <v>45995</v>
      </c>
      <c r="O40" t="s">
        <v>2209</v>
      </c>
      <c r="P40" t="s">
        <v>2223</v>
      </c>
      <c r="Q40" t="s">
        <v>175</v>
      </c>
      <c r="R40" t="s">
        <v>175</v>
      </c>
      <c r="S40" t="s">
        <v>130</v>
      </c>
      <c r="T40" t="s">
        <v>2224</v>
      </c>
      <c r="U40">
        <f t="shared" si="0"/>
        <v>1</v>
      </c>
      <c r="V40" t="b">
        <f t="shared" si="1"/>
        <v>0</v>
      </c>
      <c r="W40" t="b">
        <f t="shared" si="2"/>
        <v>0</v>
      </c>
      <c r="X40" t="b">
        <f t="shared" si="3"/>
        <v>0</v>
      </c>
      <c r="Y40" t="b">
        <f t="shared" si="4"/>
        <v>0</v>
      </c>
      <c r="Z40" t="b">
        <f t="shared" si="5"/>
        <v>0</v>
      </c>
    </row>
    <row r="41" spans="1:26" ht="15" customHeight="1">
      <c r="A41" t="s">
        <v>321</v>
      </c>
      <c r="B41" t="s">
        <v>322</v>
      </c>
      <c r="C41" t="s">
        <v>2213</v>
      </c>
      <c r="D41" t="s">
        <v>2363</v>
      </c>
      <c r="E41" s="14">
        <v>45979</v>
      </c>
      <c r="F41" s="14">
        <v>45986</v>
      </c>
      <c r="G41" s="14">
        <v>46016</v>
      </c>
      <c r="H41" s="15">
        <v>8573.34</v>
      </c>
      <c r="I41" s="15">
        <v>1118.26</v>
      </c>
      <c r="J41" s="15">
        <v>7455.08</v>
      </c>
      <c r="K41" t="s">
        <v>2364</v>
      </c>
      <c r="L41" t="s">
        <v>2365</v>
      </c>
      <c r="N41" s="14"/>
      <c r="O41" t="s">
        <v>288</v>
      </c>
      <c r="P41" t="s">
        <v>2231</v>
      </c>
      <c r="Q41" t="s">
        <v>140</v>
      </c>
      <c r="R41" t="s">
        <v>128</v>
      </c>
      <c r="S41" t="s">
        <v>130</v>
      </c>
      <c r="T41" t="s">
        <v>2224</v>
      </c>
      <c r="U41">
        <f t="shared" si="0"/>
        <v>7</v>
      </c>
      <c r="V41" t="b">
        <f t="shared" si="1"/>
        <v>0</v>
      </c>
      <c r="W41" t="b">
        <f t="shared" si="2"/>
        <v>0</v>
      </c>
      <c r="X41" t="b">
        <f t="shared" si="3"/>
        <v>0</v>
      </c>
      <c r="Y41" t="b">
        <f t="shared" si="4"/>
        <v>0</v>
      </c>
      <c r="Z41" t="b">
        <f t="shared" si="5"/>
        <v>0</v>
      </c>
    </row>
    <row r="42" spans="1:26" ht="15" customHeight="1">
      <c r="A42" t="s">
        <v>326</v>
      </c>
      <c r="B42" t="s">
        <v>229</v>
      </c>
      <c r="C42" t="s">
        <v>2263</v>
      </c>
      <c r="D42" t="s">
        <v>2366</v>
      </c>
      <c r="E42" s="14">
        <v>45820</v>
      </c>
      <c r="F42" s="14">
        <v>45822</v>
      </c>
      <c r="G42" s="14">
        <v>45852</v>
      </c>
      <c r="H42" s="15">
        <v>72361.440000000002</v>
      </c>
      <c r="I42" s="15">
        <v>9438.4500000000007</v>
      </c>
      <c r="J42" s="15">
        <v>62922.99</v>
      </c>
      <c r="K42" t="s">
        <v>2367</v>
      </c>
      <c r="M42" t="s">
        <v>2368</v>
      </c>
      <c r="N42" s="14">
        <v>45863</v>
      </c>
      <c r="O42" t="s">
        <v>2209</v>
      </c>
      <c r="P42" t="s">
        <v>2217</v>
      </c>
      <c r="Q42" t="s">
        <v>151</v>
      </c>
      <c r="R42" t="s">
        <v>150</v>
      </c>
      <c r="S42" t="s">
        <v>288</v>
      </c>
      <c r="T42" t="s">
        <v>2211</v>
      </c>
      <c r="U42">
        <f t="shared" si="0"/>
        <v>2</v>
      </c>
      <c r="V42" t="b">
        <f t="shared" si="1"/>
        <v>0</v>
      </c>
      <c r="W42" t="b">
        <f t="shared" si="2"/>
        <v>0</v>
      </c>
      <c r="X42" t="b">
        <f t="shared" si="3"/>
        <v>0</v>
      </c>
      <c r="Y42" t="b">
        <f t="shared" si="4"/>
        <v>0</v>
      </c>
      <c r="Z42" t="b">
        <f t="shared" si="5"/>
        <v>0</v>
      </c>
    </row>
    <row r="43" spans="1:26" ht="15" customHeight="1">
      <c r="A43" t="s">
        <v>2369</v>
      </c>
      <c r="B43" t="s">
        <v>349</v>
      </c>
      <c r="C43" t="s">
        <v>2245</v>
      </c>
      <c r="D43" t="s">
        <v>2370</v>
      </c>
      <c r="E43" s="14">
        <v>45930</v>
      </c>
      <c r="F43" s="14">
        <v>45960</v>
      </c>
      <c r="G43" s="14">
        <v>45990</v>
      </c>
      <c r="H43" s="15">
        <v>27029.25</v>
      </c>
      <c r="I43" s="15">
        <v>3525.55</v>
      </c>
      <c r="J43" s="15">
        <v>23503.7</v>
      </c>
      <c r="K43" t="s">
        <v>2371</v>
      </c>
      <c r="L43" t="s">
        <v>2372</v>
      </c>
      <c r="N43" s="14"/>
      <c r="O43" t="s">
        <v>288</v>
      </c>
      <c r="P43" t="s">
        <v>2293</v>
      </c>
      <c r="Q43" t="s">
        <v>129</v>
      </c>
      <c r="R43" t="s">
        <v>128</v>
      </c>
      <c r="S43" t="s">
        <v>130</v>
      </c>
      <c r="T43" t="s">
        <v>2224</v>
      </c>
      <c r="U43">
        <f t="shared" si="0"/>
        <v>30</v>
      </c>
      <c r="V43" t="b">
        <f t="shared" si="1"/>
        <v>0</v>
      </c>
      <c r="W43" t="b">
        <f t="shared" si="2"/>
        <v>0</v>
      </c>
      <c r="X43" t="b">
        <f t="shared" si="3"/>
        <v>0</v>
      </c>
      <c r="Y43" t="b">
        <f t="shared" si="4"/>
        <v>0</v>
      </c>
      <c r="Z43" t="b">
        <f t="shared" si="5"/>
        <v>0</v>
      </c>
    </row>
    <row r="44" spans="1:26" ht="15" customHeight="1">
      <c r="A44" t="s">
        <v>2373</v>
      </c>
      <c r="B44" t="s">
        <v>322</v>
      </c>
      <c r="C44" t="s">
        <v>2213</v>
      </c>
      <c r="D44" t="s">
        <v>2374</v>
      </c>
      <c r="E44" s="14">
        <v>45720</v>
      </c>
      <c r="F44" s="14">
        <v>45735</v>
      </c>
      <c r="G44" s="14">
        <v>45765</v>
      </c>
      <c r="H44" s="15">
        <v>53258.95</v>
      </c>
      <c r="I44" s="15">
        <v>6946.82</v>
      </c>
      <c r="J44" s="15">
        <v>46312.13</v>
      </c>
      <c r="N44" s="14"/>
      <c r="O44" t="s">
        <v>288</v>
      </c>
      <c r="P44" t="s">
        <v>2210</v>
      </c>
      <c r="Q44" t="s">
        <v>150</v>
      </c>
      <c r="R44" t="s">
        <v>151</v>
      </c>
      <c r="S44" t="s">
        <v>130</v>
      </c>
      <c r="T44" t="s">
        <v>2251</v>
      </c>
      <c r="U44">
        <f t="shared" si="0"/>
        <v>15</v>
      </c>
      <c r="V44" t="b">
        <f t="shared" si="1"/>
        <v>0</v>
      </c>
      <c r="W44" t="b">
        <f t="shared" si="2"/>
        <v>0</v>
      </c>
      <c r="X44" t="b">
        <f t="shared" si="3"/>
        <v>0</v>
      </c>
      <c r="Y44" t="b">
        <f t="shared" si="4"/>
        <v>0</v>
      </c>
      <c r="Z44" t="b">
        <f t="shared" si="5"/>
        <v>0</v>
      </c>
    </row>
    <row r="45" spans="1:26" ht="15" customHeight="1">
      <c r="A45" t="s">
        <v>340</v>
      </c>
      <c r="B45" t="s">
        <v>251</v>
      </c>
      <c r="C45" t="s">
        <v>2218</v>
      </c>
      <c r="D45" t="s">
        <v>2375</v>
      </c>
      <c r="E45" s="14">
        <v>45821</v>
      </c>
      <c r="F45" s="14">
        <v>45823</v>
      </c>
      <c r="G45" s="14">
        <v>45853</v>
      </c>
      <c r="H45" s="15">
        <v>56210.46</v>
      </c>
      <c r="I45" s="15">
        <v>7331.8</v>
      </c>
      <c r="J45" s="15">
        <v>48878.66</v>
      </c>
      <c r="M45" t="s">
        <v>2376</v>
      </c>
      <c r="N45" s="14">
        <v>45859</v>
      </c>
      <c r="O45" t="s">
        <v>2209</v>
      </c>
      <c r="P45" t="s">
        <v>2217</v>
      </c>
      <c r="Q45" t="s">
        <v>140</v>
      </c>
      <c r="R45" t="s">
        <v>128</v>
      </c>
      <c r="S45" t="s">
        <v>130</v>
      </c>
      <c r="T45" t="s">
        <v>2251</v>
      </c>
      <c r="U45">
        <f t="shared" si="0"/>
        <v>2</v>
      </c>
      <c r="V45" t="b">
        <f t="shared" si="1"/>
        <v>0</v>
      </c>
      <c r="W45" t="b">
        <f t="shared" si="2"/>
        <v>0</v>
      </c>
      <c r="X45" t="b">
        <f t="shared" si="3"/>
        <v>0</v>
      </c>
      <c r="Y45" t="b">
        <f t="shared" si="4"/>
        <v>0</v>
      </c>
      <c r="Z45" t="b">
        <f t="shared" si="5"/>
        <v>0</v>
      </c>
    </row>
    <row r="46" spans="1:26" ht="15" customHeight="1">
      <c r="A46" t="s">
        <v>344</v>
      </c>
      <c r="B46" t="s">
        <v>251</v>
      </c>
      <c r="C46" t="s">
        <v>2218</v>
      </c>
      <c r="D46" t="s">
        <v>2377</v>
      </c>
      <c r="E46" s="14">
        <v>45743</v>
      </c>
      <c r="F46" s="14">
        <v>45746</v>
      </c>
      <c r="G46" s="14">
        <v>45776</v>
      </c>
      <c r="H46" s="15">
        <v>44277.66</v>
      </c>
      <c r="I46" s="15">
        <v>5775.35</v>
      </c>
      <c r="J46" s="15">
        <v>38502.31</v>
      </c>
      <c r="K46" t="s">
        <v>2378</v>
      </c>
      <c r="L46" t="s">
        <v>2379</v>
      </c>
      <c r="M46" t="s">
        <v>2380</v>
      </c>
      <c r="N46" s="14">
        <v>45753</v>
      </c>
      <c r="O46" t="s">
        <v>2209</v>
      </c>
      <c r="P46" t="s">
        <v>2293</v>
      </c>
      <c r="Q46" t="s">
        <v>150</v>
      </c>
      <c r="R46" t="s">
        <v>175</v>
      </c>
      <c r="S46" t="s">
        <v>130</v>
      </c>
      <c r="T46" t="s">
        <v>2224</v>
      </c>
      <c r="U46">
        <f t="shared" si="0"/>
        <v>3</v>
      </c>
      <c r="V46" t="b">
        <f t="shared" si="1"/>
        <v>0</v>
      </c>
      <c r="W46" t="b">
        <f t="shared" si="2"/>
        <v>0</v>
      </c>
      <c r="X46" t="b">
        <f t="shared" si="3"/>
        <v>0</v>
      </c>
      <c r="Y46" t="b">
        <f t="shared" si="4"/>
        <v>0</v>
      </c>
      <c r="Z46" t="b">
        <f t="shared" si="5"/>
        <v>0</v>
      </c>
    </row>
    <row r="47" spans="1:26" ht="15" customHeight="1">
      <c r="A47" t="s">
        <v>348</v>
      </c>
      <c r="B47" t="s">
        <v>349</v>
      </c>
      <c r="C47" t="s">
        <v>2245</v>
      </c>
      <c r="D47" t="s">
        <v>2381</v>
      </c>
      <c r="E47" s="14">
        <v>45717</v>
      </c>
      <c r="F47" s="14">
        <v>45718</v>
      </c>
      <c r="G47" s="14">
        <v>45748</v>
      </c>
      <c r="H47" s="15">
        <v>31912.45</v>
      </c>
      <c r="I47" s="15">
        <v>4162.49</v>
      </c>
      <c r="J47" s="15">
        <v>27749.96</v>
      </c>
      <c r="K47" t="s">
        <v>2382</v>
      </c>
      <c r="M47" t="s">
        <v>2383</v>
      </c>
      <c r="N47" s="14">
        <v>45755</v>
      </c>
      <c r="O47" t="s">
        <v>2209</v>
      </c>
      <c r="P47" t="s">
        <v>2217</v>
      </c>
      <c r="Q47" t="s">
        <v>151</v>
      </c>
      <c r="R47" t="s">
        <v>128</v>
      </c>
      <c r="S47" t="s">
        <v>130</v>
      </c>
      <c r="T47" t="s">
        <v>2211</v>
      </c>
      <c r="U47">
        <f t="shared" si="0"/>
        <v>1</v>
      </c>
      <c r="V47" t="b">
        <f t="shared" si="1"/>
        <v>0</v>
      </c>
      <c r="W47" t="b">
        <f t="shared" si="2"/>
        <v>0</v>
      </c>
      <c r="X47" t="b">
        <f t="shared" si="3"/>
        <v>0</v>
      </c>
      <c r="Y47" t="b">
        <f t="shared" si="4"/>
        <v>0</v>
      </c>
      <c r="Z47" t="b">
        <f t="shared" si="5"/>
        <v>0</v>
      </c>
    </row>
    <row r="48" spans="1:26" ht="15" customHeight="1">
      <c r="A48" t="s">
        <v>1559</v>
      </c>
      <c r="B48" t="s">
        <v>440</v>
      </c>
      <c r="C48" t="s">
        <v>2307</v>
      </c>
      <c r="D48" t="s">
        <v>2384</v>
      </c>
      <c r="E48" s="14">
        <v>45795</v>
      </c>
      <c r="F48" s="14">
        <v>45795</v>
      </c>
      <c r="G48" s="14">
        <v>45825</v>
      </c>
      <c r="H48" s="15">
        <v>50955.38</v>
      </c>
      <c r="I48" s="15">
        <v>6646.35</v>
      </c>
      <c r="J48" s="15">
        <v>44309.03</v>
      </c>
      <c r="K48" t="s">
        <v>2385</v>
      </c>
      <c r="N48" s="14"/>
      <c r="O48" t="s">
        <v>288</v>
      </c>
      <c r="P48" t="s">
        <v>2210</v>
      </c>
      <c r="Q48" t="s">
        <v>175</v>
      </c>
      <c r="R48" t="s">
        <v>175</v>
      </c>
      <c r="S48" t="s">
        <v>130</v>
      </c>
      <c r="T48" t="s">
        <v>2211</v>
      </c>
      <c r="U48">
        <f t="shared" si="0"/>
        <v>0</v>
      </c>
      <c r="V48" t="b">
        <f t="shared" si="1"/>
        <v>0</v>
      </c>
      <c r="W48" t="b">
        <f t="shared" si="2"/>
        <v>0</v>
      </c>
      <c r="X48" t="b">
        <f t="shared" si="3"/>
        <v>0</v>
      </c>
      <c r="Y48" t="b">
        <f t="shared" si="4"/>
        <v>0</v>
      </c>
      <c r="Z48" t="b">
        <f t="shared" si="5"/>
        <v>0</v>
      </c>
    </row>
    <row r="49" spans="1:26" ht="15" customHeight="1">
      <c r="A49" t="s">
        <v>357</v>
      </c>
      <c r="B49" t="s">
        <v>229</v>
      </c>
      <c r="C49" t="s">
        <v>2263</v>
      </c>
      <c r="D49" t="s">
        <v>2386</v>
      </c>
      <c r="E49" s="14">
        <v>45945</v>
      </c>
      <c r="F49" s="14">
        <v>45948</v>
      </c>
      <c r="G49" s="14">
        <v>45978</v>
      </c>
      <c r="H49" s="15">
        <v>66247.8</v>
      </c>
      <c r="I49" s="15">
        <v>8641.02</v>
      </c>
      <c r="J49" s="15">
        <v>57606.78</v>
      </c>
      <c r="K49" t="s">
        <v>2387</v>
      </c>
      <c r="L49" t="s">
        <v>2388</v>
      </c>
      <c r="M49" t="s">
        <v>2389</v>
      </c>
      <c r="N49" s="14">
        <v>45965</v>
      </c>
      <c r="O49" t="s">
        <v>2209</v>
      </c>
      <c r="P49" t="s">
        <v>2223</v>
      </c>
      <c r="Q49" t="s">
        <v>150</v>
      </c>
      <c r="R49" t="s">
        <v>175</v>
      </c>
      <c r="S49" t="s">
        <v>130</v>
      </c>
      <c r="T49" t="s">
        <v>2224</v>
      </c>
      <c r="U49">
        <f t="shared" si="0"/>
        <v>3</v>
      </c>
      <c r="V49" t="b">
        <f t="shared" si="1"/>
        <v>0</v>
      </c>
      <c r="W49" t="b">
        <f t="shared" si="2"/>
        <v>0</v>
      </c>
      <c r="X49" t="b">
        <f t="shared" si="3"/>
        <v>0</v>
      </c>
      <c r="Y49" t="b">
        <f t="shared" si="4"/>
        <v>0</v>
      </c>
      <c r="Z49" t="b">
        <f t="shared" si="5"/>
        <v>0</v>
      </c>
    </row>
    <row r="50" spans="1:26" ht="15" customHeight="1">
      <c r="A50" t="s">
        <v>2390</v>
      </c>
      <c r="B50" t="s">
        <v>313</v>
      </c>
      <c r="C50" t="s">
        <v>2253</v>
      </c>
      <c r="D50" t="s">
        <v>2391</v>
      </c>
      <c r="E50" s="14">
        <v>45796</v>
      </c>
      <c r="F50" s="14">
        <v>45801</v>
      </c>
      <c r="G50" s="14">
        <v>45831</v>
      </c>
      <c r="H50" s="15">
        <v>3825.56</v>
      </c>
      <c r="I50" s="15">
        <v>498.99</v>
      </c>
      <c r="J50" s="15">
        <v>3326.57</v>
      </c>
      <c r="K50" t="s">
        <v>2392</v>
      </c>
      <c r="L50" t="s">
        <v>2393</v>
      </c>
      <c r="M50" t="s">
        <v>2394</v>
      </c>
      <c r="N50" s="14">
        <v>45814</v>
      </c>
      <c r="O50" t="s">
        <v>2209</v>
      </c>
      <c r="P50" t="s">
        <v>2293</v>
      </c>
      <c r="Q50" t="s">
        <v>140</v>
      </c>
      <c r="R50" t="s">
        <v>128</v>
      </c>
      <c r="S50" t="s">
        <v>130</v>
      </c>
      <c r="T50" t="s">
        <v>2224</v>
      </c>
      <c r="U50">
        <f t="shared" si="0"/>
        <v>5</v>
      </c>
      <c r="V50" t="b">
        <f t="shared" si="1"/>
        <v>0</v>
      </c>
      <c r="W50" t="b">
        <f t="shared" si="2"/>
        <v>0</v>
      </c>
      <c r="X50" t="b">
        <f t="shared" si="3"/>
        <v>0</v>
      </c>
      <c r="Y50" t="b">
        <f t="shared" si="4"/>
        <v>0</v>
      </c>
      <c r="Z50" t="b">
        <f t="shared" si="5"/>
        <v>0</v>
      </c>
    </row>
    <row r="51" spans="1:26" ht="15" customHeight="1">
      <c r="A51" t="s">
        <v>2395</v>
      </c>
      <c r="B51" t="s">
        <v>229</v>
      </c>
      <c r="C51" t="s">
        <v>2263</v>
      </c>
      <c r="D51" t="s">
        <v>2396</v>
      </c>
      <c r="E51" s="14">
        <v>45981</v>
      </c>
      <c r="F51" s="14">
        <v>45988</v>
      </c>
      <c r="G51" s="14">
        <v>46018</v>
      </c>
      <c r="H51" s="15">
        <v>27042.71</v>
      </c>
      <c r="I51" s="15">
        <v>3527.31</v>
      </c>
      <c r="J51" s="15">
        <v>23515.4</v>
      </c>
      <c r="K51" t="s">
        <v>2397</v>
      </c>
      <c r="L51" t="s">
        <v>2398</v>
      </c>
      <c r="M51" t="s">
        <v>2399</v>
      </c>
      <c r="N51" s="14">
        <v>46026</v>
      </c>
      <c r="O51" t="s">
        <v>2209</v>
      </c>
      <c r="P51" t="s">
        <v>2231</v>
      </c>
      <c r="Q51" t="s">
        <v>129</v>
      </c>
      <c r="R51" t="s">
        <v>175</v>
      </c>
      <c r="S51" t="s">
        <v>130</v>
      </c>
      <c r="T51" t="s">
        <v>2224</v>
      </c>
      <c r="U51">
        <f t="shared" si="0"/>
        <v>7</v>
      </c>
      <c r="V51" t="b">
        <f t="shared" si="1"/>
        <v>0</v>
      </c>
      <c r="W51" t="b">
        <f t="shared" si="2"/>
        <v>0</v>
      </c>
      <c r="X51" t="b">
        <f t="shared" si="3"/>
        <v>0</v>
      </c>
      <c r="Y51" t="b">
        <f t="shared" si="4"/>
        <v>0</v>
      </c>
      <c r="Z51" t="b">
        <f t="shared" si="5"/>
        <v>0</v>
      </c>
    </row>
    <row r="52" spans="1:26" ht="15" customHeight="1">
      <c r="A52" t="s">
        <v>2400</v>
      </c>
      <c r="B52" t="s">
        <v>887</v>
      </c>
      <c r="C52" t="s">
        <v>2347</v>
      </c>
      <c r="D52" t="s">
        <v>2401</v>
      </c>
      <c r="E52" s="14">
        <v>45703</v>
      </c>
      <c r="F52" s="14">
        <v>45705</v>
      </c>
      <c r="G52" s="14">
        <v>45735</v>
      </c>
      <c r="H52" s="15">
        <v>32294.59</v>
      </c>
      <c r="I52" s="15">
        <v>4212.34</v>
      </c>
      <c r="J52" s="15">
        <v>28082.25</v>
      </c>
      <c r="K52" t="s">
        <v>2402</v>
      </c>
      <c r="M52" t="s">
        <v>2403</v>
      </c>
      <c r="N52" s="14">
        <v>45728</v>
      </c>
      <c r="O52" t="s">
        <v>2209</v>
      </c>
      <c r="P52" t="s">
        <v>2243</v>
      </c>
      <c r="Q52" t="s">
        <v>128</v>
      </c>
      <c r="R52" t="s">
        <v>150</v>
      </c>
      <c r="S52" t="s">
        <v>130</v>
      </c>
      <c r="T52" t="s">
        <v>2211</v>
      </c>
      <c r="U52">
        <f t="shared" si="0"/>
        <v>2</v>
      </c>
      <c r="V52" t="b">
        <f t="shared" si="1"/>
        <v>0</v>
      </c>
      <c r="W52" t="b">
        <f t="shared" si="2"/>
        <v>0</v>
      </c>
      <c r="X52" t="b">
        <f t="shared" si="3"/>
        <v>0</v>
      </c>
      <c r="Y52" t="b">
        <f t="shared" si="4"/>
        <v>0</v>
      </c>
      <c r="Z52" t="b">
        <f t="shared" si="5"/>
        <v>0</v>
      </c>
    </row>
    <row r="53" spans="1:26" ht="15" customHeight="1">
      <c r="A53" t="s">
        <v>2404</v>
      </c>
      <c r="B53" t="s">
        <v>349</v>
      </c>
      <c r="C53" t="s">
        <v>2245</v>
      </c>
      <c r="D53" t="s">
        <v>2405</v>
      </c>
      <c r="E53" s="14">
        <v>45842</v>
      </c>
      <c r="F53" s="14">
        <v>45857</v>
      </c>
      <c r="G53" s="14">
        <v>45887</v>
      </c>
      <c r="H53" s="15">
        <v>17500.12</v>
      </c>
      <c r="I53" s="15">
        <v>2282.62</v>
      </c>
      <c r="J53" s="15">
        <v>15217.5</v>
      </c>
      <c r="K53" t="s">
        <v>2406</v>
      </c>
      <c r="M53" t="s">
        <v>2407</v>
      </c>
      <c r="N53" s="14">
        <v>45894</v>
      </c>
      <c r="O53" t="s">
        <v>2209</v>
      </c>
      <c r="P53" t="s">
        <v>2243</v>
      </c>
      <c r="Q53" t="s">
        <v>128</v>
      </c>
      <c r="R53" t="s">
        <v>151</v>
      </c>
      <c r="S53" t="s">
        <v>130</v>
      </c>
      <c r="T53" t="s">
        <v>2211</v>
      </c>
      <c r="U53">
        <f t="shared" si="0"/>
        <v>15</v>
      </c>
      <c r="V53" t="b">
        <f t="shared" si="1"/>
        <v>0</v>
      </c>
      <c r="W53" t="b">
        <f t="shared" si="2"/>
        <v>0</v>
      </c>
      <c r="X53" t="b">
        <f t="shared" si="3"/>
        <v>0</v>
      </c>
      <c r="Y53" t="b">
        <f t="shared" si="4"/>
        <v>0</v>
      </c>
      <c r="Z53" t="b">
        <f t="shared" si="5"/>
        <v>0</v>
      </c>
    </row>
    <row r="54" spans="1:26" ht="15" customHeight="1">
      <c r="A54" t="s">
        <v>1583</v>
      </c>
      <c r="B54" t="s">
        <v>212</v>
      </c>
      <c r="C54" t="s">
        <v>2226</v>
      </c>
      <c r="D54" t="s">
        <v>2408</v>
      </c>
      <c r="E54" s="14">
        <v>45731</v>
      </c>
      <c r="F54" s="14">
        <v>45731</v>
      </c>
      <c r="G54" s="14">
        <v>45761</v>
      </c>
      <c r="H54" s="15">
        <v>29849.69</v>
      </c>
      <c r="I54" s="15">
        <v>3893.44</v>
      </c>
      <c r="J54" s="15">
        <v>25956.25</v>
      </c>
      <c r="K54" t="s">
        <v>2409</v>
      </c>
      <c r="M54" t="s">
        <v>2410</v>
      </c>
      <c r="N54" s="14">
        <v>45763</v>
      </c>
      <c r="O54" t="s">
        <v>2209</v>
      </c>
      <c r="P54" t="s">
        <v>2243</v>
      </c>
      <c r="Q54" t="s">
        <v>129</v>
      </c>
      <c r="R54" t="s">
        <v>129</v>
      </c>
      <c r="S54" t="s">
        <v>130</v>
      </c>
      <c r="T54" t="s">
        <v>2211</v>
      </c>
      <c r="U54">
        <f t="shared" si="0"/>
        <v>0</v>
      </c>
      <c r="V54" t="b">
        <f t="shared" si="1"/>
        <v>0</v>
      </c>
      <c r="W54" t="b">
        <f t="shared" si="2"/>
        <v>0</v>
      </c>
      <c r="X54" t="b">
        <f t="shared" si="3"/>
        <v>0</v>
      </c>
      <c r="Y54" t="b">
        <f t="shared" si="4"/>
        <v>0</v>
      </c>
      <c r="Z54" t="b">
        <f t="shared" si="5"/>
        <v>0</v>
      </c>
    </row>
    <row r="55" spans="1:26" ht="15" customHeight="1">
      <c r="A55" t="s">
        <v>1587</v>
      </c>
      <c r="B55" t="s">
        <v>782</v>
      </c>
      <c r="C55" t="s">
        <v>2205</v>
      </c>
      <c r="D55" t="s">
        <v>2411</v>
      </c>
      <c r="E55" s="14">
        <v>45765</v>
      </c>
      <c r="F55" s="14">
        <v>45765</v>
      </c>
      <c r="G55" s="14">
        <v>45795</v>
      </c>
      <c r="H55" s="15">
        <v>41383.07</v>
      </c>
      <c r="I55" s="15">
        <v>5397.79</v>
      </c>
      <c r="J55" s="15">
        <v>35985.279999999999</v>
      </c>
      <c r="K55" t="s">
        <v>2412</v>
      </c>
      <c r="M55" t="s">
        <v>2413</v>
      </c>
      <c r="N55" s="14">
        <v>45773</v>
      </c>
      <c r="O55" t="s">
        <v>2209</v>
      </c>
      <c r="P55" t="s">
        <v>2257</v>
      </c>
      <c r="Q55" t="s">
        <v>128</v>
      </c>
      <c r="R55" t="s">
        <v>150</v>
      </c>
      <c r="S55" t="s">
        <v>288</v>
      </c>
      <c r="T55" t="s">
        <v>2211</v>
      </c>
      <c r="U55">
        <f t="shared" si="0"/>
        <v>0</v>
      </c>
      <c r="V55" t="b">
        <f t="shared" si="1"/>
        <v>0</v>
      </c>
      <c r="W55" t="b">
        <f t="shared" si="2"/>
        <v>0</v>
      </c>
      <c r="X55" t="b">
        <f t="shared" si="3"/>
        <v>0</v>
      </c>
      <c r="Y55" t="b">
        <f t="shared" si="4"/>
        <v>0</v>
      </c>
      <c r="Z55" t="b">
        <f t="shared" si="5"/>
        <v>0</v>
      </c>
    </row>
    <row r="56" spans="1:26" ht="15" customHeight="1">
      <c r="A56" t="s">
        <v>1591</v>
      </c>
      <c r="B56" t="s">
        <v>251</v>
      </c>
      <c r="C56" t="s">
        <v>2218</v>
      </c>
      <c r="D56" t="s">
        <v>2414</v>
      </c>
      <c r="E56" s="14">
        <v>45693</v>
      </c>
      <c r="F56" s="14">
        <v>45723</v>
      </c>
      <c r="G56" s="14">
        <v>45753</v>
      </c>
      <c r="H56" s="15">
        <v>20053.669999999998</v>
      </c>
      <c r="I56" s="15">
        <v>2615.6999999999998</v>
      </c>
      <c r="J56" s="15">
        <v>17437.97</v>
      </c>
      <c r="K56" t="s">
        <v>2415</v>
      </c>
      <c r="N56" s="14"/>
      <c r="O56" t="s">
        <v>288</v>
      </c>
      <c r="P56" t="s">
        <v>2217</v>
      </c>
      <c r="Q56" t="s">
        <v>128</v>
      </c>
      <c r="R56" t="s">
        <v>175</v>
      </c>
      <c r="S56" t="s">
        <v>130</v>
      </c>
      <c r="T56" t="s">
        <v>2211</v>
      </c>
      <c r="U56">
        <f t="shared" si="0"/>
        <v>30</v>
      </c>
      <c r="V56" t="b">
        <f t="shared" si="1"/>
        <v>0</v>
      </c>
      <c r="W56" t="b">
        <f t="shared" si="2"/>
        <v>0</v>
      </c>
      <c r="X56" t="b">
        <f t="shared" si="3"/>
        <v>0</v>
      </c>
      <c r="Y56" t="b">
        <f t="shared" si="4"/>
        <v>0</v>
      </c>
      <c r="Z56" t="b">
        <f t="shared" si="5"/>
        <v>0</v>
      </c>
    </row>
    <row r="57" spans="1:26" ht="15" customHeight="1">
      <c r="A57" t="s">
        <v>2416</v>
      </c>
      <c r="B57" t="s">
        <v>349</v>
      </c>
      <c r="C57" t="s">
        <v>2245</v>
      </c>
      <c r="D57" t="s">
        <v>2417</v>
      </c>
      <c r="E57" s="14">
        <v>45864</v>
      </c>
      <c r="F57" s="14">
        <v>45869</v>
      </c>
      <c r="G57" s="14">
        <v>45899</v>
      </c>
      <c r="H57" s="15">
        <v>69149.14</v>
      </c>
      <c r="I57" s="15">
        <v>9019.4500000000007</v>
      </c>
      <c r="J57" s="15">
        <v>60129.69</v>
      </c>
      <c r="M57" t="s">
        <v>2418</v>
      </c>
      <c r="N57" s="14">
        <v>45879</v>
      </c>
      <c r="O57" t="s">
        <v>2209</v>
      </c>
      <c r="P57" t="s">
        <v>2217</v>
      </c>
      <c r="Q57" t="s">
        <v>128</v>
      </c>
      <c r="R57" t="s">
        <v>150</v>
      </c>
      <c r="S57" t="s">
        <v>130</v>
      </c>
      <c r="T57" t="s">
        <v>2251</v>
      </c>
      <c r="U57">
        <f t="shared" si="0"/>
        <v>5</v>
      </c>
      <c r="V57" t="b">
        <f t="shared" si="1"/>
        <v>0</v>
      </c>
      <c r="W57" t="b">
        <f t="shared" si="2"/>
        <v>0</v>
      </c>
      <c r="X57" t="b">
        <f t="shared" si="3"/>
        <v>0</v>
      </c>
      <c r="Y57" t="b">
        <f t="shared" si="4"/>
        <v>0</v>
      </c>
      <c r="Z57" t="b">
        <f t="shared" si="5"/>
        <v>0</v>
      </c>
    </row>
    <row r="58" spans="1:26" ht="15" customHeight="1">
      <c r="A58" t="s">
        <v>1599</v>
      </c>
      <c r="B58" t="s">
        <v>440</v>
      </c>
      <c r="C58" t="s">
        <v>2307</v>
      </c>
      <c r="D58" t="s">
        <v>2419</v>
      </c>
      <c r="E58" s="14">
        <v>45954</v>
      </c>
      <c r="F58" s="14">
        <v>45969</v>
      </c>
      <c r="G58" s="14">
        <v>45999</v>
      </c>
      <c r="H58" s="15">
        <v>31912.36</v>
      </c>
      <c r="I58" s="15">
        <v>4162.4799999999996</v>
      </c>
      <c r="J58" s="15">
        <v>27749.88</v>
      </c>
      <c r="M58" t="s">
        <v>2420</v>
      </c>
      <c r="N58" s="14">
        <v>46009</v>
      </c>
      <c r="O58" t="s">
        <v>2209</v>
      </c>
      <c r="P58" t="s">
        <v>2210</v>
      </c>
      <c r="Q58" t="s">
        <v>129</v>
      </c>
      <c r="R58" t="s">
        <v>175</v>
      </c>
      <c r="S58" t="s">
        <v>130</v>
      </c>
      <c r="T58" t="s">
        <v>2251</v>
      </c>
      <c r="U58">
        <f t="shared" si="0"/>
        <v>15</v>
      </c>
      <c r="V58" t="b">
        <f t="shared" si="1"/>
        <v>0</v>
      </c>
      <c r="W58" t="b">
        <f t="shared" si="2"/>
        <v>0</v>
      </c>
      <c r="X58" t="b">
        <f t="shared" si="3"/>
        <v>0</v>
      </c>
      <c r="Y58" t="b">
        <f t="shared" si="4"/>
        <v>0</v>
      </c>
      <c r="Z58" t="b">
        <f t="shared" si="5"/>
        <v>0</v>
      </c>
    </row>
    <row r="59" spans="1:26" ht="15" customHeight="1">
      <c r="A59" t="s">
        <v>2421</v>
      </c>
      <c r="B59" t="s">
        <v>887</v>
      </c>
      <c r="C59" t="s">
        <v>2347</v>
      </c>
      <c r="D59" t="s">
        <v>2422</v>
      </c>
      <c r="E59" s="14">
        <v>45759</v>
      </c>
      <c r="F59" s="14">
        <v>45769</v>
      </c>
      <c r="G59" s="14">
        <v>45799</v>
      </c>
      <c r="H59" s="15">
        <v>35748</v>
      </c>
      <c r="I59" s="15">
        <v>4662.78</v>
      </c>
      <c r="J59" s="15">
        <v>31085.22</v>
      </c>
      <c r="K59" t="s">
        <v>2423</v>
      </c>
      <c r="M59" t="s">
        <v>2424</v>
      </c>
      <c r="N59" s="14">
        <v>45785</v>
      </c>
      <c r="O59" t="s">
        <v>2209</v>
      </c>
      <c r="P59" t="s">
        <v>2210</v>
      </c>
      <c r="Q59" t="s">
        <v>140</v>
      </c>
      <c r="R59" t="s">
        <v>129</v>
      </c>
      <c r="S59" t="s">
        <v>130</v>
      </c>
      <c r="T59" t="s">
        <v>2211</v>
      </c>
      <c r="U59">
        <f t="shared" si="0"/>
        <v>10</v>
      </c>
      <c r="V59" t="b">
        <f t="shared" si="1"/>
        <v>0</v>
      </c>
      <c r="W59" t="b">
        <f t="shared" si="2"/>
        <v>0</v>
      </c>
      <c r="X59" t="b">
        <f t="shared" si="3"/>
        <v>0</v>
      </c>
      <c r="Y59" t="b">
        <f t="shared" si="4"/>
        <v>0</v>
      </c>
      <c r="Z59" t="b">
        <f t="shared" si="5"/>
        <v>0</v>
      </c>
    </row>
    <row r="60" spans="1:26" ht="15" customHeight="1">
      <c r="A60" t="s">
        <v>2425</v>
      </c>
      <c r="B60" t="s">
        <v>887</v>
      </c>
      <c r="C60" t="s">
        <v>2347</v>
      </c>
      <c r="D60" t="s">
        <v>2426</v>
      </c>
      <c r="E60" s="14">
        <v>45872</v>
      </c>
      <c r="F60" s="14">
        <v>45872</v>
      </c>
      <c r="G60" s="14">
        <v>45902</v>
      </c>
      <c r="H60" s="15">
        <v>14401</v>
      </c>
      <c r="I60" s="15">
        <v>1878.39</v>
      </c>
      <c r="J60" s="15">
        <v>12522.61</v>
      </c>
      <c r="K60" t="s">
        <v>2427</v>
      </c>
      <c r="L60" t="s">
        <v>2428</v>
      </c>
      <c r="M60" t="s">
        <v>2429</v>
      </c>
      <c r="N60" s="14">
        <v>45880</v>
      </c>
      <c r="O60" t="s">
        <v>2209</v>
      </c>
      <c r="P60" t="s">
        <v>2231</v>
      </c>
      <c r="Q60" t="s">
        <v>175</v>
      </c>
      <c r="R60" t="s">
        <v>128</v>
      </c>
      <c r="S60" t="s">
        <v>288</v>
      </c>
      <c r="T60" t="s">
        <v>2224</v>
      </c>
      <c r="U60">
        <f t="shared" si="0"/>
        <v>0</v>
      </c>
      <c r="V60" t="b">
        <f t="shared" si="1"/>
        <v>0</v>
      </c>
      <c r="W60" t="b">
        <f t="shared" si="2"/>
        <v>0</v>
      </c>
      <c r="X60" t="b">
        <f t="shared" si="3"/>
        <v>0</v>
      </c>
      <c r="Y60" t="b">
        <f t="shared" si="4"/>
        <v>0</v>
      </c>
      <c r="Z60" t="b">
        <f t="shared" si="5"/>
        <v>0</v>
      </c>
    </row>
    <row r="61" spans="1:26" ht="15" customHeight="1">
      <c r="A61" t="s">
        <v>2430</v>
      </c>
      <c r="B61" t="s">
        <v>212</v>
      </c>
      <c r="C61" t="s">
        <v>2226</v>
      </c>
      <c r="D61" t="s">
        <v>2431</v>
      </c>
      <c r="E61" s="14">
        <v>45814</v>
      </c>
      <c r="F61" s="14">
        <v>45844</v>
      </c>
      <c r="G61" s="14">
        <v>45874</v>
      </c>
      <c r="H61" s="15">
        <v>66880.75</v>
      </c>
      <c r="I61" s="15">
        <v>8723.58</v>
      </c>
      <c r="J61" s="15">
        <v>58157.17</v>
      </c>
      <c r="K61" t="s">
        <v>2432</v>
      </c>
      <c r="M61" t="s">
        <v>2433</v>
      </c>
      <c r="N61" s="14">
        <v>45867</v>
      </c>
      <c r="O61" t="s">
        <v>2209</v>
      </c>
      <c r="P61" t="s">
        <v>2210</v>
      </c>
      <c r="Q61" t="s">
        <v>129</v>
      </c>
      <c r="R61" t="s">
        <v>128</v>
      </c>
      <c r="S61" t="s">
        <v>130</v>
      </c>
      <c r="T61" t="s">
        <v>2211</v>
      </c>
      <c r="U61">
        <f t="shared" si="0"/>
        <v>30</v>
      </c>
      <c r="V61" t="b">
        <f t="shared" si="1"/>
        <v>0</v>
      </c>
      <c r="W61" t="b">
        <f t="shared" si="2"/>
        <v>0</v>
      </c>
      <c r="X61" t="b">
        <f t="shared" si="3"/>
        <v>0</v>
      </c>
      <c r="Y61" t="b">
        <f t="shared" si="4"/>
        <v>0</v>
      </c>
      <c r="Z61" t="b">
        <f t="shared" si="5"/>
        <v>0</v>
      </c>
    </row>
    <row r="62" spans="1:26" ht="15" customHeight="1">
      <c r="A62" t="s">
        <v>2434</v>
      </c>
      <c r="B62" t="s">
        <v>251</v>
      </c>
      <c r="C62" t="s">
        <v>2218</v>
      </c>
      <c r="D62" t="s">
        <v>2267</v>
      </c>
      <c r="E62" s="14">
        <v>45945</v>
      </c>
      <c r="F62" s="14">
        <v>45950</v>
      </c>
      <c r="G62" s="14">
        <v>45980</v>
      </c>
      <c r="H62" s="15">
        <v>28727.46</v>
      </c>
      <c r="I62" s="15">
        <v>3747.06</v>
      </c>
      <c r="J62" s="15">
        <v>24980.400000000001</v>
      </c>
      <c r="K62" t="s">
        <v>2435</v>
      </c>
      <c r="L62" t="s">
        <v>2436</v>
      </c>
      <c r="N62" s="14"/>
      <c r="O62" t="s">
        <v>288</v>
      </c>
      <c r="P62" t="s">
        <v>2293</v>
      </c>
      <c r="Q62" t="s">
        <v>129</v>
      </c>
      <c r="R62" t="s">
        <v>128</v>
      </c>
      <c r="S62" t="s">
        <v>130</v>
      </c>
      <c r="T62" t="s">
        <v>2224</v>
      </c>
      <c r="U62">
        <f t="shared" si="0"/>
        <v>5</v>
      </c>
      <c r="V62" t="b">
        <f t="shared" si="1"/>
        <v>0</v>
      </c>
      <c r="W62" t="b">
        <f t="shared" si="2"/>
        <v>1</v>
      </c>
      <c r="X62" t="b">
        <f t="shared" si="3"/>
        <v>0</v>
      </c>
      <c r="Y62" t="b">
        <f t="shared" si="4"/>
        <v>0</v>
      </c>
      <c r="Z62" t="b">
        <f t="shared" si="5"/>
        <v>0</v>
      </c>
    </row>
    <row r="63" spans="1:26" ht="15" customHeight="1">
      <c r="A63" t="s">
        <v>2437</v>
      </c>
      <c r="B63" t="s">
        <v>887</v>
      </c>
      <c r="C63" t="s">
        <v>2347</v>
      </c>
      <c r="D63" t="s">
        <v>2438</v>
      </c>
      <c r="E63" s="14">
        <v>45750</v>
      </c>
      <c r="F63" s="14">
        <v>45760</v>
      </c>
      <c r="G63" s="14">
        <v>45790</v>
      </c>
      <c r="H63" s="15">
        <v>23675.16</v>
      </c>
      <c r="I63" s="15">
        <v>3088.06</v>
      </c>
      <c r="J63" s="15">
        <v>20587.099999999999</v>
      </c>
      <c r="K63" t="s">
        <v>2439</v>
      </c>
      <c r="N63" s="14"/>
      <c r="O63" t="s">
        <v>288</v>
      </c>
      <c r="P63" t="s">
        <v>2217</v>
      </c>
      <c r="Q63" t="s">
        <v>128</v>
      </c>
      <c r="R63" t="s">
        <v>150</v>
      </c>
      <c r="S63" t="s">
        <v>130</v>
      </c>
      <c r="T63" t="s">
        <v>2211</v>
      </c>
      <c r="U63">
        <f t="shared" si="0"/>
        <v>10</v>
      </c>
      <c r="V63" t="b">
        <f t="shared" si="1"/>
        <v>0</v>
      </c>
      <c r="W63" t="b">
        <f t="shared" si="2"/>
        <v>0</v>
      </c>
      <c r="X63" t="b">
        <f t="shared" si="3"/>
        <v>0</v>
      </c>
      <c r="Y63" t="b">
        <f t="shared" si="4"/>
        <v>0</v>
      </c>
      <c r="Z63" t="b">
        <f t="shared" si="5"/>
        <v>0</v>
      </c>
    </row>
    <row r="64" spans="1:26" ht="15" customHeight="1">
      <c r="A64" t="s">
        <v>1623</v>
      </c>
      <c r="B64" t="s">
        <v>440</v>
      </c>
      <c r="C64" t="s">
        <v>2307</v>
      </c>
      <c r="D64" t="s">
        <v>2440</v>
      </c>
      <c r="E64" s="14">
        <v>45694</v>
      </c>
      <c r="F64" s="14">
        <v>45709</v>
      </c>
      <c r="G64" s="14">
        <v>45739</v>
      </c>
      <c r="H64" s="15">
        <v>60518.84</v>
      </c>
      <c r="I64" s="15">
        <v>7893.76</v>
      </c>
      <c r="J64" s="15">
        <v>52625.08</v>
      </c>
      <c r="K64" t="s">
        <v>2441</v>
      </c>
      <c r="M64" t="s">
        <v>2442</v>
      </c>
      <c r="N64" s="14">
        <v>45736</v>
      </c>
      <c r="O64" t="s">
        <v>2209</v>
      </c>
      <c r="P64" t="s">
        <v>2257</v>
      </c>
      <c r="Q64" t="s">
        <v>129</v>
      </c>
      <c r="R64" t="s">
        <v>151</v>
      </c>
      <c r="S64" t="s">
        <v>130</v>
      </c>
      <c r="T64" t="s">
        <v>2211</v>
      </c>
      <c r="U64">
        <f t="shared" si="0"/>
        <v>15</v>
      </c>
      <c r="V64" t="b">
        <f t="shared" si="1"/>
        <v>0</v>
      </c>
      <c r="W64" t="b">
        <f t="shared" si="2"/>
        <v>0</v>
      </c>
      <c r="X64" t="b">
        <f t="shared" si="3"/>
        <v>0</v>
      </c>
      <c r="Y64" t="b">
        <f t="shared" si="4"/>
        <v>0</v>
      </c>
      <c r="Z64" t="b">
        <f t="shared" si="5"/>
        <v>0</v>
      </c>
    </row>
    <row r="65" spans="1:26" ht="15" customHeight="1">
      <c r="A65" t="s">
        <v>1627</v>
      </c>
      <c r="B65" t="s">
        <v>887</v>
      </c>
      <c r="C65" t="s">
        <v>2347</v>
      </c>
      <c r="D65" t="s">
        <v>2443</v>
      </c>
      <c r="E65" s="14">
        <v>45968</v>
      </c>
      <c r="F65" s="14">
        <v>45971</v>
      </c>
      <c r="G65" s="14">
        <v>46001</v>
      </c>
      <c r="H65" s="15">
        <v>42319.45</v>
      </c>
      <c r="I65" s="15">
        <v>5519.93</v>
      </c>
      <c r="J65" s="15">
        <v>36799.519999999997</v>
      </c>
      <c r="K65" t="s">
        <v>2444</v>
      </c>
      <c r="L65" t="s">
        <v>2445</v>
      </c>
      <c r="M65" t="s">
        <v>2446</v>
      </c>
      <c r="N65" s="14">
        <v>46008</v>
      </c>
      <c r="O65" t="s">
        <v>2209</v>
      </c>
      <c r="P65" t="s">
        <v>2231</v>
      </c>
      <c r="Q65" t="s">
        <v>140</v>
      </c>
      <c r="R65" t="s">
        <v>151</v>
      </c>
      <c r="S65" t="s">
        <v>130</v>
      </c>
      <c r="T65" t="s">
        <v>2224</v>
      </c>
      <c r="U65">
        <f t="shared" si="0"/>
        <v>3</v>
      </c>
      <c r="V65" t="b">
        <f t="shared" si="1"/>
        <v>0</v>
      </c>
      <c r="W65" t="b">
        <f t="shared" si="2"/>
        <v>0</v>
      </c>
      <c r="X65" t="b">
        <f t="shared" si="3"/>
        <v>0</v>
      </c>
      <c r="Y65" t="b">
        <f t="shared" si="4"/>
        <v>0</v>
      </c>
      <c r="Z65" t="b">
        <f t="shared" si="5"/>
        <v>0</v>
      </c>
    </row>
    <row r="66" spans="1:26" ht="15" customHeight="1">
      <c r="A66" t="s">
        <v>2447</v>
      </c>
      <c r="B66" t="s">
        <v>440</v>
      </c>
      <c r="C66" t="s">
        <v>2307</v>
      </c>
      <c r="D66" t="s">
        <v>2448</v>
      </c>
      <c r="E66" s="14">
        <v>45662</v>
      </c>
      <c r="F66" s="14">
        <v>45663</v>
      </c>
      <c r="G66" s="14">
        <v>45693</v>
      </c>
      <c r="H66" s="15">
        <v>1155.51</v>
      </c>
      <c r="I66" s="15">
        <v>150.72</v>
      </c>
      <c r="J66" s="15">
        <v>1004.79</v>
      </c>
      <c r="K66" t="s">
        <v>2449</v>
      </c>
      <c r="M66" t="s">
        <v>2450</v>
      </c>
      <c r="N66" s="14">
        <v>45705</v>
      </c>
      <c r="O66" t="s">
        <v>2209</v>
      </c>
      <c r="P66" t="s">
        <v>2257</v>
      </c>
      <c r="Q66" t="s">
        <v>151</v>
      </c>
      <c r="R66" t="s">
        <v>129</v>
      </c>
      <c r="S66" t="s">
        <v>130</v>
      </c>
      <c r="T66" t="s">
        <v>2211</v>
      </c>
      <c r="U66">
        <f t="shared" si="0"/>
        <v>1</v>
      </c>
      <c r="V66" t="b">
        <f t="shared" si="1"/>
        <v>0</v>
      </c>
      <c r="W66" t="b">
        <f t="shared" si="2"/>
        <v>0</v>
      </c>
      <c r="X66" t="b">
        <f t="shared" si="3"/>
        <v>0</v>
      </c>
      <c r="Y66" t="b">
        <f t="shared" si="4"/>
        <v>0</v>
      </c>
      <c r="Z66" t="b">
        <f t="shared" si="5"/>
        <v>0</v>
      </c>
    </row>
    <row r="67" spans="1:26" ht="15" customHeight="1">
      <c r="A67" t="s">
        <v>2451</v>
      </c>
      <c r="B67" t="s">
        <v>349</v>
      </c>
      <c r="C67" t="s">
        <v>2245</v>
      </c>
      <c r="D67" t="s">
        <v>2452</v>
      </c>
      <c r="E67" s="14">
        <v>45878</v>
      </c>
      <c r="F67" s="14">
        <v>45881</v>
      </c>
      <c r="G67" s="14">
        <v>45911</v>
      </c>
      <c r="H67" s="15">
        <v>4527.08</v>
      </c>
      <c r="I67" s="15">
        <v>590.49</v>
      </c>
      <c r="J67" s="15">
        <v>3936.59</v>
      </c>
      <c r="K67" t="s">
        <v>2453</v>
      </c>
      <c r="M67" t="s">
        <v>2454</v>
      </c>
      <c r="N67" s="14">
        <v>45908</v>
      </c>
      <c r="O67" t="s">
        <v>2209</v>
      </c>
      <c r="P67" t="s">
        <v>2257</v>
      </c>
      <c r="Q67" t="s">
        <v>175</v>
      </c>
      <c r="R67" t="s">
        <v>151</v>
      </c>
      <c r="S67" t="s">
        <v>130</v>
      </c>
      <c r="T67" t="s">
        <v>2211</v>
      </c>
      <c r="U67">
        <f t="shared" si="0"/>
        <v>3</v>
      </c>
      <c r="V67" t="b">
        <f t="shared" si="1"/>
        <v>0</v>
      </c>
      <c r="W67" t="b">
        <f t="shared" si="2"/>
        <v>0</v>
      </c>
      <c r="X67" t="b">
        <f t="shared" si="3"/>
        <v>0</v>
      </c>
      <c r="Y67" t="b">
        <f t="shared" si="4"/>
        <v>0</v>
      </c>
      <c r="Z67" t="b">
        <f t="shared" si="5"/>
        <v>0</v>
      </c>
    </row>
    <row r="68" spans="1:26" ht="15" customHeight="1">
      <c r="A68" t="s">
        <v>2455</v>
      </c>
      <c r="B68" t="s">
        <v>440</v>
      </c>
      <c r="C68" t="s">
        <v>2307</v>
      </c>
      <c r="D68" t="s">
        <v>2456</v>
      </c>
      <c r="E68" s="14">
        <v>45660</v>
      </c>
      <c r="F68" s="14">
        <v>45663</v>
      </c>
      <c r="G68" s="14">
        <v>45693</v>
      </c>
      <c r="H68" s="15">
        <v>1825.35</v>
      </c>
      <c r="I68" s="15">
        <v>238.09</v>
      </c>
      <c r="J68" s="15">
        <v>1587.26</v>
      </c>
      <c r="K68" t="s">
        <v>2457</v>
      </c>
      <c r="L68" t="s">
        <v>2458</v>
      </c>
      <c r="N68" s="14"/>
      <c r="O68" t="s">
        <v>288</v>
      </c>
      <c r="P68" t="s">
        <v>2293</v>
      </c>
      <c r="Q68" t="s">
        <v>151</v>
      </c>
      <c r="R68" t="s">
        <v>150</v>
      </c>
      <c r="S68" t="s">
        <v>130</v>
      </c>
      <c r="T68" t="s">
        <v>2224</v>
      </c>
      <c r="U68">
        <f t="shared" si="0"/>
        <v>3</v>
      </c>
      <c r="V68" t="b">
        <f t="shared" si="1"/>
        <v>0</v>
      </c>
      <c r="W68" t="b">
        <f t="shared" si="2"/>
        <v>0</v>
      </c>
      <c r="X68" t="b">
        <f t="shared" si="3"/>
        <v>0</v>
      </c>
      <c r="Y68" t="b">
        <f t="shared" si="4"/>
        <v>0</v>
      </c>
      <c r="Z68" t="b">
        <f t="shared" si="5"/>
        <v>0</v>
      </c>
    </row>
    <row r="69" spans="1:26" ht="15" customHeight="1">
      <c r="A69" t="s">
        <v>439</v>
      </c>
      <c r="B69" t="s">
        <v>440</v>
      </c>
      <c r="C69" t="s">
        <v>2307</v>
      </c>
      <c r="D69" t="s">
        <v>2459</v>
      </c>
      <c r="E69" s="14">
        <v>45938</v>
      </c>
      <c r="F69" s="14">
        <v>45953</v>
      </c>
      <c r="G69" s="14">
        <v>45983</v>
      </c>
      <c r="H69" s="15">
        <v>69416.62</v>
      </c>
      <c r="I69" s="15">
        <v>9054.34</v>
      </c>
      <c r="J69" s="15">
        <v>60362.28</v>
      </c>
      <c r="K69" t="s">
        <v>2460</v>
      </c>
      <c r="N69" s="14"/>
      <c r="O69" t="s">
        <v>288</v>
      </c>
      <c r="P69" t="s">
        <v>2243</v>
      </c>
      <c r="Q69" t="s">
        <v>140</v>
      </c>
      <c r="R69" t="s">
        <v>128</v>
      </c>
      <c r="S69" t="s">
        <v>130</v>
      </c>
      <c r="T69" t="s">
        <v>2211</v>
      </c>
      <c r="U69">
        <f t="shared" ref="U69:U132" si="6">F69-E69</f>
        <v>15</v>
      </c>
      <c r="V69" t="b">
        <f t="shared" ref="V69:V132" si="7">H69&gt;High_Value_AP_Threshold</f>
        <v>0</v>
      </c>
      <c r="W69" t="b">
        <f t="shared" ref="W69:W132" si="8">COUNTIFS($B$5:$B$304,B69,$D$5:$D$304,D69)&gt;1</f>
        <v>0</v>
      </c>
      <c r="X69" t="b">
        <f t="shared" ref="X69:X132" si="9">AND(K69="",P69&lt;&gt;"Utility service",P69&lt;&gt;"Campaign services")</f>
        <v>0</v>
      </c>
      <c r="Y69" t="b">
        <f t="shared" ref="Y69:Y132" si="10">AND(L69="",OR(P69="Merchandise replenishment",P69="Office supplies",P69="Transport and logistics"))</f>
        <v>0</v>
      </c>
      <c r="Z69" t="b">
        <f t="shared" ref="Z69:Z132" si="11">OR(F69&gt;Year_End_Window_End,AND(E69&gt;=Year_End_Window_Start,F69&gt;=Year_End_Window_Start))</f>
        <v>0</v>
      </c>
    </row>
    <row r="70" spans="1:26" ht="15" customHeight="1">
      <c r="A70" t="s">
        <v>2461</v>
      </c>
      <c r="B70" t="s">
        <v>212</v>
      </c>
      <c r="C70" t="s">
        <v>2226</v>
      </c>
      <c r="D70" t="s">
        <v>2462</v>
      </c>
      <c r="E70" s="14">
        <v>45861</v>
      </c>
      <c r="F70" s="14">
        <v>45866</v>
      </c>
      <c r="G70" s="14">
        <v>45896</v>
      </c>
      <c r="H70" s="15">
        <v>32062.400000000001</v>
      </c>
      <c r="I70" s="15">
        <v>4182.05</v>
      </c>
      <c r="J70" s="15">
        <v>27880.35</v>
      </c>
      <c r="K70" t="s">
        <v>2463</v>
      </c>
      <c r="M70" t="s">
        <v>2464</v>
      </c>
      <c r="N70" s="14">
        <v>45905</v>
      </c>
      <c r="O70" t="s">
        <v>2209</v>
      </c>
      <c r="P70" t="s">
        <v>2210</v>
      </c>
      <c r="Q70" t="s">
        <v>150</v>
      </c>
      <c r="R70" t="s">
        <v>129</v>
      </c>
      <c r="S70" t="s">
        <v>130</v>
      </c>
      <c r="T70" t="s">
        <v>2211</v>
      </c>
      <c r="U70">
        <f t="shared" si="6"/>
        <v>5</v>
      </c>
      <c r="V70" t="b">
        <f t="shared" si="7"/>
        <v>0</v>
      </c>
      <c r="W70" t="b">
        <f t="shared" si="8"/>
        <v>0</v>
      </c>
      <c r="X70" t="b">
        <f t="shared" si="9"/>
        <v>0</v>
      </c>
      <c r="Y70" t="b">
        <f t="shared" si="10"/>
        <v>0</v>
      </c>
      <c r="Z70" t="b">
        <f t="shared" si="11"/>
        <v>0</v>
      </c>
    </row>
    <row r="71" spans="1:26" ht="15" customHeight="1">
      <c r="A71" t="s">
        <v>448</v>
      </c>
      <c r="B71" t="s">
        <v>440</v>
      </c>
      <c r="C71" t="s">
        <v>2307</v>
      </c>
      <c r="D71" t="s">
        <v>2465</v>
      </c>
      <c r="E71" s="14">
        <v>45725</v>
      </c>
      <c r="F71" s="14">
        <v>45735</v>
      </c>
      <c r="G71" s="14">
        <v>45765</v>
      </c>
      <c r="H71" s="15">
        <v>13318</v>
      </c>
      <c r="I71" s="15">
        <v>1737.13</v>
      </c>
      <c r="J71" s="15">
        <v>11580.87</v>
      </c>
      <c r="K71" t="s">
        <v>2466</v>
      </c>
      <c r="L71" t="s">
        <v>2467</v>
      </c>
      <c r="M71" t="s">
        <v>2468</v>
      </c>
      <c r="N71" s="14">
        <v>45771</v>
      </c>
      <c r="O71" t="s">
        <v>2209</v>
      </c>
      <c r="P71" t="s">
        <v>2293</v>
      </c>
      <c r="Q71" t="s">
        <v>129</v>
      </c>
      <c r="R71" t="s">
        <v>151</v>
      </c>
      <c r="S71" t="s">
        <v>130</v>
      </c>
      <c r="T71" t="s">
        <v>2224</v>
      </c>
      <c r="U71">
        <f t="shared" si="6"/>
        <v>10</v>
      </c>
      <c r="V71" t="b">
        <f t="shared" si="7"/>
        <v>0</v>
      </c>
      <c r="W71" t="b">
        <f t="shared" si="8"/>
        <v>0</v>
      </c>
      <c r="X71" t="b">
        <f t="shared" si="9"/>
        <v>0</v>
      </c>
      <c r="Y71" t="b">
        <f t="shared" si="10"/>
        <v>0</v>
      </c>
      <c r="Z71" t="b">
        <f t="shared" si="11"/>
        <v>0</v>
      </c>
    </row>
    <row r="72" spans="1:26" ht="15" customHeight="1">
      <c r="A72" t="s">
        <v>1654</v>
      </c>
      <c r="B72" t="s">
        <v>782</v>
      </c>
      <c r="C72" t="s">
        <v>2205</v>
      </c>
      <c r="D72" t="s">
        <v>2469</v>
      </c>
      <c r="E72" s="14">
        <v>45974</v>
      </c>
      <c r="F72" s="14">
        <v>45975</v>
      </c>
      <c r="G72" s="14">
        <v>46005</v>
      </c>
      <c r="H72" s="15">
        <v>11583.93</v>
      </c>
      <c r="I72" s="15">
        <v>1510.95</v>
      </c>
      <c r="J72" s="15">
        <v>10072.98</v>
      </c>
      <c r="K72" t="s">
        <v>2470</v>
      </c>
      <c r="M72" t="s">
        <v>2471</v>
      </c>
      <c r="N72" s="14">
        <v>45999</v>
      </c>
      <c r="O72" t="s">
        <v>2209</v>
      </c>
      <c r="P72" t="s">
        <v>2243</v>
      </c>
      <c r="Q72" t="s">
        <v>150</v>
      </c>
      <c r="R72" t="s">
        <v>128</v>
      </c>
      <c r="S72" t="s">
        <v>130</v>
      </c>
      <c r="T72" t="s">
        <v>2211</v>
      </c>
      <c r="U72">
        <f t="shared" si="6"/>
        <v>1</v>
      </c>
      <c r="V72" t="b">
        <f t="shared" si="7"/>
        <v>0</v>
      </c>
      <c r="W72" t="b">
        <f t="shared" si="8"/>
        <v>0</v>
      </c>
      <c r="X72" t="b">
        <f t="shared" si="9"/>
        <v>0</v>
      </c>
      <c r="Y72" t="b">
        <f t="shared" si="10"/>
        <v>0</v>
      </c>
      <c r="Z72" t="b">
        <f t="shared" si="11"/>
        <v>0</v>
      </c>
    </row>
    <row r="73" spans="1:26" ht="15" customHeight="1">
      <c r="A73" t="s">
        <v>2472</v>
      </c>
      <c r="B73" t="s">
        <v>322</v>
      </c>
      <c r="C73" t="s">
        <v>2213</v>
      </c>
      <c r="D73" t="s">
        <v>2473</v>
      </c>
      <c r="E73" s="14">
        <v>45722</v>
      </c>
      <c r="F73" s="14">
        <v>45752</v>
      </c>
      <c r="G73" s="14">
        <v>45782</v>
      </c>
      <c r="H73" s="15">
        <v>18859.03</v>
      </c>
      <c r="I73" s="15">
        <v>2459.87</v>
      </c>
      <c r="J73" s="15">
        <v>16399.16</v>
      </c>
      <c r="K73" t="s">
        <v>2474</v>
      </c>
      <c r="M73" t="s">
        <v>2475</v>
      </c>
      <c r="N73" s="14">
        <v>45762</v>
      </c>
      <c r="O73" t="s">
        <v>2209</v>
      </c>
      <c r="P73" t="s">
        <v>2243</v>
      </c>
      <c r="Q73" t="s">
        <v>150</v>
      </c>
      <c r="R73" t="s">
        <v>129</v>
      </c>
      <c r="S73" t="s">
        <v>130</v>
      </c>
      <c r="T73" t="s">
        <v>2211</v>
      </c>
      <c r="U73">
        <f t="shared" si="6"/>
        <v>30</v>
      </c>
      <c r="V73" t="b">
        <f t="shared" si="7"/>
        <v>0</v>
      </c>
      <c r="W73" t="b">
        <f t="shared" si="8"/>
        <v>0</v>
      </c>
      <c r="X73" t="b">
        <f t="shared" si="9"/>
        <v>0</v>
      </c>
      <c r="Y73" t="b">
        <f t="shared" si="10"/>
        <v>0</v>
      </c>
      <c r="Z73" t="b">
        <f t="shared" si="11"/>
        <v>0</v>
      </c>
    </row>
    <row r="74" spans="1:26" ht="15" customHeight="1">
      <c r="A74" t="s">
        <v>2476</v>
      </c>
      <c r="B74" t="s">
        <v>887</v>
      </c>
      <c r="C74" t="s">
        <v>2347</v>
      </c>
      <c r="D74" t="s">
        <v>2477</v>
      </c>
      <c r="E74" s="14">
        <v>45907</v>
      </c>
      <c r="F74" s="14">
        <v>45908</v>
      </c>
      <c r="G74" s="14">
        <v>45938</v>
      </c>
      <c r="H74" s="15">
        <v>1108.67</v>
      </c>
      <c r="I74" s="15">
        <v>144.61000000000001</v>
      </c>
      <c r="J74" s="15">
        <v>964.06</v>
      </c>
      <c r="K74" t="s">
        <v>2478</v>
      </c>
      <c r="L74" t="s">
        <v>2479</v>
      </c>
      <c r="M74" t="s">
        <v>2480</v>
      </c>
      <c r="N74" s="14">
        <v>45927</v>
      </c>
      <c r="O74" t="s">
        <v>2209</v>
      </c>
      <c r="P74" t="s">
        <v>2231</v>
      </c>
      <c r="Q74" t="s">
        <v>140</v>
      </c>
      <c r="R74" t="s">
        <v>128</v>
      </c>
      <c r="S74" t="s">
        <v>130</v>
      </c>
      <c r="T74" t="s">
        <v>2224</v>
      </c>
      <c r="U74">
        <f t="shared" si="6"/>
        <v>1</v>
      </c>
      <c r="V74" t="b">
        <f t="shared" si="7"/>
        <v>0</v>
      </c>
      <c r="W74" t="b">
        <f t="shared" si="8"/>
        <v>0</v>
      </c>
      <c r="X74" t="b">
        <f t="shared" si="9"/>
        <v>0</v>
      </c>
      <c r="Y74" t="b">
        <f t="shared" si="10"/>
        <v>0</v>
      </c>
      <c r="Z74" t="b">
        <f t="shared" si="11"/>
        <v>0</v>
      </c>
    </row>
    <row r="75" spans="1:26" ht="15" customHeight="1">
      <c r="A75" t="s">
        <v>2481</v>
      </c>
      <c r="B75" t="s">
        <v>229</v>
      </c>
      <c r="C75" t="s">
        <v>2263</v>
      </c>
      <c r="D75" t="s">
        <v>2482</v>
      </c>
      <c r="E75" s="14">
        <v>45998</v>
      </c>
      <c r="F75" s="14">
        <v>45998</v>
      </c>
      <c r="G75" s="14">
        <v>46028</v>
      </c>
      <c r="H75" s="15">
        <v>60247.99</v>
      </c>
      <c r="I75" s="15">
        <v>7858.43</v>
      </c>
      <c r="J75" s="15">
        <v>52389.56</v>
      </c>
      <c r="K75" t="s">
        <v>2483</v>
      </c>
      <c r="L75" t="s">
        <v>2484</v>
      </c>
      <c r="M75" t="s">
        <v>2485</v>
      </c>
      <c r="N75" s="14">
        <v>46033</v>
      </c>
      <c r="O75" t="s">
        <v>2209</v>
      </c>
      <c r="P75" t="s">
        <v>2231</v>
      </c>
      <c r="Q75" t="s">
        <v>140</v>
      </c>
      <c r="R75" t="s">
        <v>129</v>
      </c>
      <c r="S75" t="s">
        <v>130</v>
      </c>
      <c r="T75" t="s">
        <v>2224</v>
      </c>
      <c r="U75">
        <f t="shared" si="6"/>
        <v>0</v>
      </c>
      <c r="V75" t="b">
        <f t="shared" si="7"/>
        <v>0</v>
      </c>
      <c r="W75" t="b">
        <f t="shared" si="8"/>
        <v>0</v>
      </c>
      <c r="X75" t="b">
        <f t="shared" si="9"/>
        <v>0</v>
      </c>
      <c r="Y75" t="b">
        <f t="shared" si="10"/>
        <v>0</v>
      </c>
      <c r="Z75" t="b">
        <f t="shared" si="11"/>
        <v>0</v>
      </c>
    </row>
    <row r="76" spans="1:26" ht="15" customHeight="1">
      <c r="A76" t="s">
        <v>2486</v>
      </c>
      <c r="B76" t="s">
        <v>349</v>
      </c>
      <c r="C76" t="s">
        <v>2245</v>
      </c>
      <c r="D76" t="s">
        <v>2487</v>
      </c>
      <c r="E76" s="14">
        <v>45663</v>
      </c>
      <c r="F76" s="14">
        <v>45666</v>
      </c>
      <c r="G76" s="14">
        <v>45696</v>
      </c>
      <c r="H76" s="15">
        <v>62846.12</v>
      </c>
      <c r="I76" s="15">
        <v>8197.32</v>
      </c>
      <c r="J76" s="15">
        <v>54648.800000000003</v>
      </c>
      <c r="K76" t="s">
        <v>2488</v>
      </c>
      <c r="L76" t="s">
        <v>2489</v>
      </c>
      <c r="M76" t="s">
        <v>2490</v>
      </c>
      <c r="N76" s="14">
        <v>45701</v>
      </c>
      <c r="O76" t="s">
        <v>2209</v>
      </c>
      <c r="P76" t="s">
        <v>2293</v>
      </c>
      <c r="Q76" t="s">
        <v>140</v>
      </c>
      <c r="R76" t="s">
        <v>151</v>
      </c>
      <c r="S76" t="s">
        <v>130</v>
      </c>
      <c r="T76" t="s">
        <v>2224</v>
      </c>
      <c r="U76">
        <f t="shared" si="6"/>
        <v>3</v>
      </c>
      <c r="V76" t="b">
        <f t="shared" si="7"/>
        <v>0</v>
      </c>
      <c r="W76" t="b">
        <f t="shared" si="8"/>
        <v>0</v>
      </c>
      <c r="X76" t="b">
        <f t="shared" si="9"/>
        <v>0</v>
      </c>
      <c r="Y76" t="b">
        <f t="shared" si="10"/>
        <v>0</v>
      </c>
      <c r="Z76" t="b">
        <f t="shared" si="11"/>
        <v>0</v>
      </c>
    </row>
    <row r="77" spans="1:26" ht="15" customHeight="1">
      <c r="A77" t="s">
        <v>2491</v>
      </c>
      <c r="B77" t="s">
        <v>313</v>
      </c>
      <c r="C77" t="s">
        <v>2253</v>
      </c>
      <c r="D77" t="s">
        <v>2492</v>
      </c>
      <c r="E77" s="14">
        <v>45787</v>
      </c>
      <c r="F77" s="14">
        <v>45790</v>
      </c>
      <c r="G77" s="14">
        <v>45820</v>
      </c>
      <c r="H77" s="15">
        <v>32896.879999999997</v>
      </c>
      <c r="I77" s="15">
        <v>4290.8999999999996</v>
      </c>
      <c r="J77" s="15">
        <v>28605.98</v>
      </c>
      <c r="M77" t="s">
        <v>2493</v>
      </c>
      <c r="N77" s="14">
        <v>45819</v>
      </c>
      <c r="O77" t="s">
        <v>2209</v>
      </c>
      <c r="P77" t="s">
        <v>2217</v>
      </c>
      <c r="Q77" t="s">
        <v>140</v>
      </c>
      <c r="R77" t="s">
        <v>129</v>
      </c>
      <c r="S77" t="s">
        <v>130</v>
      </c>
      <c r="T77" t="s">
        <v>2251</v>
      </c>
      <c r="U77">
        <f t="shared" si="6"/>
        <v>3</v>
      </c>
      <c r="V77" t="b">
        <f t="shared" si="7"/>
        <v>0</v>
      </c>
      <c r="W77" t="b">
        <f t="shared" si="8"/>
        <v>0</v>
      </c>
      <c r="X77" t="b">
        <f t="shared" si="9"/>
        <v>0</v>
      </c>
      <c r="Y77" t="b">
        <f t="shared" si="10"/>
        <v>0</v>
      </c>
      <c r="Z77" t="b">
        <f t="shared" si="11"/>
        <v>0</v>
      </c>
    </row>
    <row r="78" spans="1:26" ht="15" customHeight="1">
      <c r="A78" t="s">
        <v>2494</v>
      </c>
      <c r="B78" t="s">
        <v>212</v>
      </c>
      <c r="C78" t="s">
        <v>2226</v>
      </c>
      <c r="D78" t="s">
        <v>2495</v>
      </c>
      <c r="E78" s="14">
        <v>45944</v>
      </c>
      <c r="F78" s="14">
        <v>45974</v>
      </c>
      <c r="G78" s="14">
        <v>46004</v>
      </c>
      <c r="H78" s="15">
        <v>46661.48</v>
      </c>
      <c r="I78" s="15">
        <v>6086.28</v>
      </c>
      <c r="J78" s="15">
        <v>40575.199999999997</v>
      </c>
      <c r="K78" t="s">
        <v>2496</v>
      </c>
      <c r="M78" t="s">
        <v>2497</v>
      </c>
      <c r="N78" s="14">
        <v>46003</v>
      </c>
      <c r="O78" t="s">
        <v>2209</v>
      </c>
      <c r="P78" t="s">
        <v>2257</v>
      </c>
      <c r="Q78" t="s">
        <v>140</v>
      </c>
      <c r="R78" t="s">
        <v>128</v>
      </c>
      <c r="S78" t="s">
        <v>130</v>
      </c>
      <c r="T78" t="s">
        <v>2211</v>
      </c>
      <c r="U78">
        <f t="shared" si="6"/>
        <v>30</v>
      </c>
      <c r="V78" t="b">
        <f t="shared" si="7"/>
        <v>0</v>
      </c>
      <c r="W78" t="b">
        <f t="shared" si="8"/>
        <v>0</v>
      </c>
      <c r="X78" t="b">
        <f t="shared" si="9"/>
        <v>0</v>
      </c>
      <c r="Y78" t="b">
        <f t="shared" si="10"/>
        <v>0</v>
      </c>
      <c r="Z78" t="b">
        <f t="shared" si="11"/>
        <v>0</v>
      </c>
    </row>
    <row r="79" spans="1:26" ht="15" customHeight="1">
      <c r="A79" t="s">
        <v>2498</v>
      </c>
      <c r="B79" t="s">
        <v>212</v>
      </c>
      <c r="C79" t="s">
        <v>2226</v>
      </c>
      <c r="D79" t="s">
        <v>2499</v>
      </c>
      <c r="E79" s="14">
        <v>45713</v>
      </c>
      <c r="F79" s="14">
        <v>45716</v>
      </c>
      <c r="G79" s="14">
        <v>45746</v>
      </c>
      <c r="H79" s="15">
        <v>17695.939999999999</v>
      </c>
      <c r="I79" s="15">
        <v>2308.17</v>
      </c>
      <c r="J79" s="15">
        <v>15387.77</v>
      </c>
      <c r="K79" t="s">
        <v>2500</v>
      </c>
      <c r="N79" s="14"/>
      <c r="O79" t="s">
        <v>288</v>
      </c>
      <c r="P79" t="s">
        <v>2217</v>
      </c>
      <c r="Q79" t="s">
        <v>151</v>
      </c>
      <c r="R79" t="s">
        <v>150</v>
      </c>
      <c r="S79" t="s">
        <v>130</v>
      </c>
      <c r="T79" t="s">
        <v>2211</v>
      </c>
      <c r="U79">
        <f t="shared" si="6"/>
        <v>3</v>
      </c>
      <c r="V79" t="b">
        <f t="shared" si="7"/>
        <v>0</v>
      </c>
      <c r="W79" t="b">
        <f t="shared" si="8"/>
        <v>0</v>
      </c>
      <c r="X79" t="b">
        <f t="shared" si="9"/>
        <v>0</v>
      </c>
      <c r="Y79" t="b">
        <f t="shared" si="10"/>
        <v>0</v>
      </c>
      <c r="Z79" t="b">
        <f t="shared" si="11"/>
        <v>0</v>
      </c>
    </row>
    <row r="80" spans="1:26" ht="15" customHeight="1">
      <c r="A80" t="s">
        <v>2501</v>
      </c>
      <c r="B80" t="s">
        <v>212</v>
      </c>
      <c r="C80" t="s">
        <v>2226</v>
      </c>
      <c r="D80" t="s">
        <v>2502</v>
      </c>
      <c r="E80" s="14">
        <v>45962</v>
      </c>
      <c r="F80" s="14">
        <v>45967</v>
      </c>
      <c r="G80" s="14">
        <v>45997</v>
      </c>
      <c r="H80" s="15">
        <v>1717.81</v>
      </c>
      <c r="I80" s="15">
        <v>224.06</v>
      </c>
      <c r="J80" s="15">
        <v>1493.75</v>
      </c>
      <c r="K80" t="s">
        <v>2503</v>
      </c>
      <c r="L80" t="s">
        <v>2504</v>
      </c>
      <c r="N80" s="14"/>
      <c r="O80" t="s">
        <v>288</v>
      </c>
      <c r="P80" t="s">
        <v>2231</v>
      </c>
      <c r="Q80" t="s">
        <v>151</v>
      </c>
      <c r="R80" t="s">
        <v>175</v>
      </c>
      <c r="S80" t="s">
        <v>130</v>
      </c>
      <c r="T80" t="s">
        <v>2224</v>
      </c>
      <c r="U80">
        <f t="shared" si="6"/>
        <v>5</v>
      </c>
      <c r="V80" t="b">
        <f t="shared" si="7"/>
        <v>0</v>
      </c>
      <c r="W80" t="b">
        <f t="shared" si="8"/>
        <v>0</v>
      </c>
      <c r="X80" t="b">
        <f t="shared" si="9"/>
        <v>0</v>
      </c>
      <c r="Y80" t="b">
        <f t="shared" si="10"/>
        <v>0</v>
      </c>
      <c r="Z80" t="b">
        <f t="shared" si="11"/>
        <v>0</v>
      </c>
    </row>
    <row r="81" spans="1:26" ht="15" customHeight="1">
      <c r="A81" t="s">
        <v>2505</v>
      </c>
      <c r="B81" t="s">
        <v>705</v>
      </c>
      <c r="C81" t="s">
        <v>2237</v>
      </c>
      <c r="D81" t="s">
        <v>2506</v>
      </c>
      <c r="E81" s="14">
        <v>45894</v>
      </c>
      <c r="F81" s="14">
        <v>45909</v>
      </c>
      <c r="G81" s="14">
        <v>45939</v>
      </c>
      <c r="H81" s="15">
        <v>24839.1</v>
      </c>
      <c r="I81" s="15">
        <v>3239.88</v>
      </c>
      <c r="J81" s="15">
        <v>21599.22</v>
      </c>
      <c r="K81" t="s">
        <v>2507</v>
      </c>
      <c r="M81" t="s">
        <v>2508</v>
      </c>
      <c r="N81" s="14">
        <v>45954</v>
      </c>
      <c r="O81" t="s">
        <v>2209</v>
      </c>
      <c r="P81" t="s">
        <v>2243</v>
      </c>
      <c r="Q81" t="s">
        <v>128</v>
      </c>
      <c r="R81" t="s">
        <v>128</v>
      </c>
      <c r="S81" t="s">
        <v>130</v>
      </c>
      <c r="T81" t="s">
        <v>2211</v>
      </c>
      <c r="U81">
        <f t="shared" si="6"/>
        <v>15</v>
      </c>
      <c r="V81" t="b">
        <f t="shared" si="7"/>
        <v>0</v>
      </c>
      <c r="W81" t="b">
        <f t="shared" si="8"/>
        <v>0</v>
      </c>
      <c r="X81" t="b">
        <f t="shared" si="9"/>
        <v>0</v>
      </c>
      <c r="Y81" t="b">
        <f t="shared" si="10"/>
        <v>0</v>
      </c>
      <c r="Z81" t="b">
        <f t="shared" si="11"/>
        <v>0</v>
      </c>
    </row>
    <row r="82" spans="1:26" ht="15" customHeight="1">
      <c r="A82" t="s">
        <v>2509</v>
      </c>
      <c r="B82" t="s">
        <v>229</v>
      </c>
      <c r="C82" t="s">
        <v>2263</v>
      </c>
      <c r="D82" t="s">
        <v>2510</v>
      </c>
      <c r="E82" s="14">
        <v>45699</v>
      </c>
      <c r="F82" s="14">
        <v>45704</v>
      </c>
      <c r="G82" s="14">
        <v>45734</v>
      </c>
      <c r="H82" s="15">
        <v>8546.16</v>
      </c>
      <c r="I82" s="15">
        <v>1114.72</v>
      </c>
      <c r="J82" s="15">
        <v>7431.44</v>
      </c>
      <c r="M82" t="s">
        <v>2511</v>
      </c>
      <c r="N82" s="14">
        <v>45723</v>
      </c>
      <c r="O82" t="s">
        <v>2209</v>
      </c>
      <c r="P82" t="s">
        <v>2210</v>
      </c>
      <c r="Q82" t="s">
        <v>129</v>
      </c>
      <c r="R82" t="s">
        <v>128</v>
      </c>
      <c r="S82" t="s">
        <v>288</v>
      </c>
      <c r="T82" t="s">
        <v>2251</v>
      </c>
      <c r="U82">
        <f t="shared" si="6"/>
        <v>5</v>
      </c>
      <c r="V82" t="b">
        <f t="shared" si="7"/>
        <v>0</v>
      </c>
      <c r="W82" t="b">
        <f t="shared" si="8"/>
        <v>0</v>
      </c>
      <c r="X82" t="b">
        <f t="shared" si="9"/>
        <v>0</v>
      </c>
      <c r="Y82" t="b">
        <f t="shared" si="10"/>
        <v>0</v>
      </c>
      <c r="Z82" t="b">
        <f t="shared" si="11"/>
        <v>0</v>
      </c>
    </row>
    <row r="83" spans="1:26" ht="15" customHeight="1">
      <c r="A83" t="s">
        <v>496</v>
      </c>
      <c r="B83" t="s">
        <v>349</v>
      </c>
      <c r="C83" t="s">
        <v>2245</v>
      </c>
      <c r="D83" t="s">
        <v>2512</v>
      </c>
      <c r="E83" s="14">
        <v>45979</v>
      </c>
      <c r="F83" s="14">
        <v>46009</v>
      </c>
      <c r="G83" s="14">
        <v>46039</v>
      </c>
      <c r="H83" s="15">
        <v>67802.87</v>
      </c>
      <c r="I83" s="15">
        <v>8843.85</v>
      </c>
      <c r="J83" s="15">
        <v>58959.02</v>
      </c>
      <c r="K83" t="s">
        <v>2513</v>
      </c>
      <c r="N83" s="14"/>
      <c r="O83" t="s">
        <v>288</v>
      </c>
      <c r="P83" t="s">
        <v>2217</v>
      </c>
      <c r="Q83" t="s">
        <v>151</v>
      </c>
      <c r="R83" t="s">
        <v>150</v>
      </c>
      <c r="S83" t="s">
        <v>130</v>
      </c>
      <c r="T83" t="s">
        <v>2211</v>
      </c>
      <c r="U83">
        <f t="shared" si="6"/>
        <v>30</v>
      </c>
      <c r="V83" t="b">
        <f t="shared" si="7"/>
        <v>0</v>
      </c>
      <c r="W83" t="b">
        <f t="shared" si="8"/>
        <v>0</v>
      </c>
      <c r="X83" t="b">
        <f t="shared" si="9"/>
        <v>0</v>
      </c>
      <c r="Y83" t="b">
        <f t="shared" si="10"/>
        <v>0</v>
      </c>
      <c r="Z83" t="b">
        <f t="shared" si="11"/>
        <v>0</v>
      </c>
    </row>
    <row r="84" spans="1:26" ht="15" customHeight="1">
      <c r="A84" t="s">
        <v>2514</v>
      </c>
      <c r="B84" t="s">
        <v>251</v>
      </c>
      <c r="C84" t="s">
        <v>2218</v>
      </c>
      <c r="D84" t="s">
        <v>2515</v>
      </c>
      <c r="E84" s="14">
        <v>46012</v>
      </c>
      <c r="F84" s="14">
        <v>46022</v>
      </c>
      <c r="G84" s="14">
        <v>46052</v>
      </c>
      <c r="H84" s="15">
        <v>54024.65</v>
      </c>
      <c r="I84" s="15">
        <v>7046.69</v>
      </c>
      <c r="J84" s="15">
        <v>46977.96</v>
      </c>
      <c r="K84" t="s">
        <v>2516</v>
      </c>
      <c r="M84" t="s">
        <v>2517</v>
      </c>
      <c r="N84" s="14">
        <v>46037</v>
      </c>
      <c r="O84" t="s">
        <v>2209</v>
      </c>
      <c r="P84" t="s">
        <v>2257</v>
      </c>
      <c r="Q84" t="s">
        <v>140</v>
      </c>
      <c r="R84" t="s">
        <v>151</v>
      </c>
      <c r="S84" t="s">
        <v>130</v>
      </c>
      <c r="T84" t="s">
        <v>2211</v>
      </c>
      <c r="U84">
        <f t="shared" si="6"/>
        <v>10</v>
      </c>
      <c r="V84" t="b">
        <f t="shared" si="7"/>
        <v>0</v>
      </c>
      <c r="W84" t="b">
        <f t="shared" si="8"/>
        <v>0</v>
      </c>
      <c r="X84" t="b">
        <f t="shared" si="9"/>
        <v>0</v>
      </c>
      <c r="Y84" t="b">
        <f t="shared" si="10"/>
        <v>0</v>
      </c>
      <c r="Z84" t="b">
        <f t="shared" si="11"/>
        <v>1</v>
      </c>
    </row>
    <row r="85" spans="1:26" ht="15" customHeight="1">
      <c r="A85" t="s">
        <v>2518</v>
      </c>
      <c r="B85" t="s">
        <v>212</v>
      </c>
      <c r="C85" t="s">
        <v>2226</v>
      </c>
      <c r="D85" t="s">
        <v>2519</v>
      </c>
      <c r="E85" s="14">
        <v>45825</v>
      </c>
      <c r="F85" s="14">
        <v>45827</v>
      </c>
      <c r="G85" s="14">
        <v>45857</v>
      </c>
      <c r="H85" s="15">
        <v>30091.59</v>
      </c>
      <c r="I85" s="15">
        <v>3924.99</v>
      </c>
      <c r="J85" s="15">
        <v>26166.6</v>
      </c>
      <c r="K85" t="s">
        <v>2520</v>
      </c>
      <c r="M85" t="s">
        <v>2521</v>
      </c>
      <c r="N85" s="14">
        <v>45832</v>
      </c>
      <c r="O85" t="s">
        <v>2209</v>
      </c>
      <c r="P85" t="s">
        <v>2257</v>
      </c>
      <c r="Q85" t="s">
        <v>150</v>
      </c>
      <c r="R85" t="s">
        <v>151</v>
      </c>
      <c r="S85" t="s">
        <v>130</v>
      </c>
      <c r="T85" t="s">
        <v>2211</v>
      </c>
      <c r="U85">
        <f t="shared" si="6"/>
        <v>2</v>
      </c>
      <c r="V85" t="b">
        <f t="shared" si="7"/>
        <v>0</v>
      </c>
      <c r="W85" t="b">
        <f t="shared" si="8"/>
        <v>0</v>
      </c>
      <c r="X85" t="b">
        <f t="shared" si="9"/>
        <v>0</v>
      </c>
      <c r="Y85" t="b">
        <f t="shared" si="10"/>
        <v>0</v>
      </c>
      <c r="Z85" t="b">
        <f t="shared" si="11"/>
        <v>0</v>
      </c>
    </row>
    <row r="86" spans="1:26" ht="15" customHeight="1">
      <c r="A86" t="s">
        <v>2522</v>
      </c>
      <c r="B86" t="s">
        <v>212</v>
      </c>
      <c r="C86" t="s">
        <v>2226</v>
      </c>
      <c r="D86" t="s">
        <v>2523</v>
      </c>
      <c r="E86" s="14">
        <v>45894</v>
      </c>
      <c r="F86" s="14">
        <v>45894</v>
      </c>
      <c r="G86" s="14">
        <v>45924</v>
      </c>
      <c r="H86" s="15">
        <v>18211.63</v>
      </c>
      <c r="I86" s="15">
        <v>2375.4299999999998</v>
      </c>
      <c r="J86" s="15">
        <v>15836.2</v>
      </c>
      <c r="K86" t="s">
        <v>2524</v>
      </c>
      <c r="M86" t="s">
        <v>2525</v>
      </c>
      <c r="N86" s="14">
        <v>45911</v>
      </c>
      <c r="O86" t="s">
        <v>2209</v>
      </c>
      <c r="P86" t="s">
        <v>2243</v>
      </c>
      <c r="Q86" t="s">
        <v>140</v>
      </c>
      <c r="R86" t="s">
        <v>150</v>
      </c>
      <c r="S86" t="s">
        <v>130</v>
      </c>
      <c r="T86" t="s">
        <v>2211</v>
      </c>
      <c r="U86">
        <f t="shared" si="6"/>
        <v>0</v>
      </c>
      <c r="V86" t="b">
        <f t="shared" si="7"/>
        <v>0</v>
      </c>
      <c r="W86" t="b">
        <f t="shared" si="8"/>
        <v>0</v>
      </c>
      <c r="X86" t="b">
        <f t="shared" si="9"/>
        <v>0</v>
      </c>
      <c r="Y86" t="b">
        <f t="shared" si="10"/>
        <v>0</v>
      </c>
      <c r="Z86" t="b">
        <f t="shared" si="11"/>
        <v>0</v>
      </c>
    </row>
    <row r="87" spans="1:26" ht="15" customHeight="1">
      <c r="A87" t="s">
        <v>2526</v>
      </c>
      <c r="B87" t="s">
        <v>349</v>
      </c>
      <c r="C87" t="s">
        <v>2245</v>
      </c>
      <c r="D87" t="s">
        <v>2527</v>
      </c>
      <c r="E87" s="14">
        <v>45896</v>
      </c>
      <c r="F87" s="14">
        <v>45911</v>
      </c>
      <c r="G87" s="14">
        <v>45941</v>
      </c>
      <c r="H87" s="15">
        <v>72485.56</v>
      </c>
      <c r="I87" s="15">
        <v>9454.64</v>
      </c>
      <c r="J87" s="15">
        <v>63030.92</v>
      </c>
      <c r="K87" t="s">
        <v>2528</v>
      </c>
      <c r="M87" t="s">
        <v>2529</v>
      </c>
      <c r="N87" s="14">
        <v>45943</v>
      </c>
      <c r="O87" t="s">
        <v>2209</v>
      </c>
      <c r="P87" t="s">
        <v>2210</v>
      </c>
      <c r="Q87" t="s">
        <v>151</v>
      </c>
      <c r="R87" t="s">
        <v>175</v>
      </c>
      <c r="S87" t="s">
        <v>130</v>
      </c>
      <c r="T87" t="s">
        <v>2211</v>
      </c>
      <c r="U87">
        <f t="shared" si="6"/>
        <v>15</v>
      </c>
      <c r="V87" t="b">
        <f t="shared" si="7"/>
        <v>0</v>
      </c>
      <c r="W87" t="b">
        <f t="shared" si="8"/>
        <v>0</v>
      </c>
      <c r="X87" t="b">
        <f t="shared" si="9"/>
        <v>0</v>
      </c>
      <c r="Y87" t="b">
        <f t="shared" si="10"/>
        <v>0</v>
      </c>
      <c r="Z87" t="b">
        <f t="shared" si="11"/>
        <v>0</v>
      </c>
    </row>
    <row r="88" spans="1:26" ht="15" customHeight="1">
      <c r="A88" t="s">
        <v>2530</v>
      </c>
      <c r="B88" t="s">
        <v>349</v>
      </c>
      <c r="C88" t="s">
        <v>2245</v>
      </c>
      <c r="D88" t="s">
        <v>2531</v>
      </c>
      <c r="E88" s="14">
        <v>45757</v>
      </c>
      <c r="F88" s="14">
        <v>45758</v>
      </c>
      <c r="G88" s="14">
        <v>45788</v>
      </c>
      <c r="H88" s="15">
        <v>60518.07</v>
      </c>
      <c r="I88" s="15">
        <v>7893.66</v>
      </c>
      <c r="J88" s="15">
        <v>52624.41</v>
      </c>
      <c r="K88" t="s">
        <v>2532</v>
      </c>
      <c r="L88" t="s">
        <v>2533</v>
      </c>
      <c r="M88" t="s">
        <v>2534</v>
      </c>
      <c r="N88" s="14">
        <v>45764</v>
      </c>
      <c r="O88" t="s">
        <v>2209</v>
      </c>
      <c r="P88" t="s">
        <v>2223</v>
      </c>
      <c r="Q88" t="s">
        <v>175</v>
      </c>
      <c r="R88" t="s">
        <v>128</v>
      </c>
      <c r="S88" t="s">
        <v>130</v>
      </c>
      <c r="T88" t="s">
        <v>2224</v>
      </c>
      <c r="U88">
        <f t="shared" si="6"/>
        <v>1</v>
      </c>
      <c r="V88" t="b">
        <f t="shared" si="7"/>
        <v>0</v>
      </c>
      <c r="W88" t="b">
        <f t="shared" si="8"/>
        <v>0</v>
      </c>
      <c r="X88" t="b">
        <f t="shared" si="9"/>
        <v>0</v>
      </c>
      <c r="Y88" t="b">
        <f t="shared" si="10"/>
        <v>0</v>
      </c>
      <c r="Z88" t="b">
        <f t="shared" si="11"/>
        <v>0</v>
      </c>
    </row>
    <row r="89" spans="1:26" ht="15" customHeight="1">
      <c r="A89" t="s">
        <v>2535</v>
      </c>
      <c r="B89" t="s">
        <v>440</v>
      </c>
      <c r="C89" t="s">
        <v>2307</v>
      </c>
      <c r="D89" t="s">
        <v>2536</v>
      </c>
      <c r="E89" s="14">
        <v>45940</v>
      </c>
      <c r="F89" s="14">
        <v>45950</v>
      </c>
      <c r="G89" s="14">
        <v>45980</v>
      </c>
      <c r="H89" s="15">
        <v>70165.66</v>
      </c>
      <c r="I89" s="15">
        <v>9152.0400000000009</v>
      </c>
      <c r="J89" s="15">
        <v>61013.62</v>
      </c>
      <c r="K89" t="s">
        <v>2537</v>
      </c>
      <c r="N89" s="14"/>
      <c r="O89" t="s">
        <v>288</v>
      </c>
      <c r="P89" t="s">
        <v>2243</v>
      </c>
      <c r="Q89" t="s">
        <v>140</v>
      </c>
      <c r="R89" t="s">
        <v>175</v>
      </c>
      <c r="S89" t="s">
        <v>130</v>
      </c>
      <c r="T89" t="s">
        <v>2211</v>
      </c>
      <c r="U89">
        <f t="shared" si="6"/>
        <v>10</v>
      </c>
      <c r="V89" t="b">
        <f t="shared" si="7"/>
        <v>0</v>
      </c>
      <c r="W89" t="b">
        <f t="shared" si="8"/>
        <v>0</v>
      </c>
      <c r="X89" t="b">
        <f t="shared" si="9"/>
        <v>0</v>
      </c>
      <c r="Y89" t="b">
        <f t="shared" si="10"/>
        <v>0</v>
      </c>
      <c r="Z89" t="b">
        <f t="shared" si="11"/>
        <v>0</v>
      </c>
    </row>
    <row r="90" spans="1:26" ht="15" customHeight="1">
      <c r="A90" t="s">
        <v>2538</v>
      </c>
      <c r="B90" t="s">
        <v>782</v>
      </c>
      <c r="C90" t="s">
        <v>2205</v>
      </c>
      <c r="D90" t="s">
        <v>2539</v>
      </c>
      <c r="E90" s="14">
        <v>45945</v>
      </c>
      <c r="F90" s="14">
        <v>45952</v>
      </c>
      <c r="G90" s="14">
        <v>45982</v>
      </c>
      <c r="H90" s="15">
        <v>10460.94</v>
      </c>
      <c r="I90" s="15">
        <v>1364.47</v>
      </c>
      <c r="J90" s="15">
        <v>9096.4699999999993</v>
      </c>
      <c r="K90" t="s">
        <v>2540</v>
      </c>
      <c r="M90" t="s">
        <v>2541</v>
      </c>
      <c r="N90" s="14">
        <v>45962</v>
      </c>
      <c r="O90" t="s">
        <v>2209</v>
      </c>
      <c r="P90" t="s">
        <v>2257</v>
      </c>
      <c r="Q90" t="s">
        <v>175</v>
      </c>
      <c r="R90" t="s">
        <v>175</v>
      </c>
      <c r="S90" t="s">
        <v>130</v>
      </c>
      <c r="T90" t="s">
        <v>2211</v>
      </c>
      <c r="U90">
        <f t="shared" si="6"/>
        <v>7</v>
      </c>
      <c r="V90" t="b">
        <f t="shared" si="7"/>
        <v>0</v>
      </c>
      <c r="W90" t="b">
        <f t="shared" si="8"/>
        <v>0</v>
      </c>
      <c r="X90" t="b">
        <f t="shared" si="9"/>
        <v>0</v>
      </c>
      <c r="Y90" t="b">
        <f t="shared" si="10"/>
        <v>0</v>
      </c>
      <c r="Z90" t="b">
        <f t="shared" si="11"/>
        <v>0</v>
      </c>
    </row>
    <row r="91" spans="1:26" ht="15" customHeight="1">
      <c r="A91" t="s">
        <v>2542</v>
      </c>
      <c r="B91" t="s">
        <v>440</v>
      </c>
      <c r="C91" t="s">
        <v>2307</v>
      </c>
      <c r="D91" t="s">
        <v>2543</v>
      </c>
      <c r="E91" s="14">
        <v>45827</v>
      </c>
      <c r="F91" s="14">
        <v>45832</v>
      </c>
      <c r="G91" s="14">
        <v>45862</v>
      </c>
      <c r="H91" s="15">
        <v>58184.17</v>
      </c>
      <c r="I91" s="15">
        <v>7589.24</v>
      </c>
      <c r="J91" s="15">
        <v>50594.93</v>
      </c>
      <c r="K91" t="s">
        <v>2544</v>
      </c>
      <c r="N91" s="14"/>
      <c r="O91" t="s">
        <v>288</v>
      </c>
      <c r="P91" t="s">
        <v>2257</v>
      </c>
      <c r="Q91" t="s">
        <v>151</v>
      </c>
      <c r="R91" t="s">
        <v>175</v>
      </c>
      <c r="S91" t="s">
        <v>130</v>
      </c>
      <c r="T91" t="s">
        <v>2211</v>
      </c>
      <c r="U91">
        <f t="shared" si="6"/>
        <v>5</v>
      </c>
      <c r="V91" t="b">
        <f t="shared" si="7"/>
        <v>0</v>
      </c>
      <c r="W91" t="b">
        <f t="shared" si="8"/>
        <v>0</v>
      </c>
      <c r="X91" t="b">
        <f t="shared" si="9"/>
        <v>0</v>
      </c>
      <c r="Y91" t="b">
        <f t="shared" si="10"/>
        <v>0</v>
      </c>
      <c r="Z91" t="b">
        <f t="shared" si="11"/>
        <v>0</v>
      </c>
    </row>
    <row r="92" spans="1:26" ht="15" customHeight="1">
      <c r="A92" t="s">
        <v>2545</v>
      </c>
      <c r="B92" t="s">
        <v>887</v>
      </c>
      <c r="C92" t="s">
        <v>2347</v>
      </c>
      <c r="D92" t="s">
        <v>2546</v>
      </c>
      <c r="E92" s="14">
        <v>45949</v>
      </c>
      <c r="F92" s="14">
        <v>45954</v>
      </c>
      <c r="G92" s="14">
        <v>45984</v>
      </c>
      <c r="H92" s="15">
        <v>60038.5</v>
      </c>
      <c r="I92" s="15">
        <v>7831.11</v>
      </c>
      <c r="J92" s="15">
        <v>52207.39</v>
      </c>
      <c r="K92" t="s">
        <v>2547</v>
      </c>
      <c r="M92" t="s">
        <v>2548</v>
      </c>
      <c r="N92" s="14">
        <v>45983</v>
      </c>
      <c r="O92" t="s">
        <v>2209</v>
      </c>
      <c r="P92" t="s">
        <v>2243</v>
      </c>
      <c r="Q92" t="s">
        <v>151</v>
      </c>
      <c r="R92" t="s">
        <v>150</v>
      </c>
      <c r="S92" t="s">
        <v>130</v>
      </c>
      <c r="T92" t="s">
        <v>2211</v>
      </c>
      <c r="U92">
        <f t="shared" si="6"/>
        <v>5</v>
      </c>
      <c r="V92" t="b">
        <f t="shared" si="7"/>
        <v>0</v>
      </c>
      <c r="W92" t="b">
        <f t="shared" si="8"/>
        <v>0</v>
      </c>
      <c r="X92" t="b">
        <f t="shared" si="9"/>
        <v>0</v>
      </c>
      <c r="Y92" t="b">
        <f t="shared" si="10"/>
        <v>0</v>
      </c>
      <c r="Z92" t="b">
        <f t="shared" si="11"/>
        <v>0</v>
      </c>
    </row>
    <row r="93" spans="1:26" ht="15" customHeight="1">
      <c r="A93" t="s">
        <v>2549</v>
      </c>
      <c r="B93" t="s">
        <v>251</v>
      </c>
      <c r="C93" t="s">
        <v>2218</v>
      </c>
      <c r="D93" t="s">
        <v>2550</v>
      </c>
      <c r="E93" s="14">
        <v>45910</v>
      </c>
      <c r="F93" s="14">
        <v>45915</v>
      </c>
      <c r="G93" s="14">
        <v>45945</v>
      </c>
      <c r="H93" s="15">
        <v>10821.7</v>
      </c>
      <c r="I93" s="15">
        <v>1411.53</v>
      </c>
      <c r="J93" s="15">
        <v>9410.17</v>
      </c>
      <c r="K93" t="s">
        <v>2551</v>
      </c>
      <c r="M93" t="s">
        <v>2552</v>
      </c>
      <c r="N93" s="14">
        <v>45941</v>
      </c>
      <c r="O93" t="s">
        <v>2209</v>
      </c>
      <c r="P93" t="s">
        <v>2257</v>
      </c>
      <c r="Q93" t="s">
        <v>140</v>
      </c>
      <c r="R93" t="s">
        <v>151</v>
      </c>
      <c r="S93" t="s">
        <v>130</v>
      </c>
      <c r="T93" t="s">
        <v>2211</v>
      </c>
      <c r="U93">
        <f t="shared" si="6"/>
        <v>5</v>
      </c>
      <c r="V93" t="b">
        <f t="shared" si="7"/>
        <v>0</v>
      </c>
      <c r="W93" t="b">
        <f t="shared" si="8"/>
        <v>0</v>
      </c>
      <c r="X93" t="b">
        <f t="shared" si="9"/>
        <v>0</v>
      </c>
      <c r="Y93" t="b">
        <f t="shared" si="10"/>
        <v>0</v>
      </c>
      <c r="Z93" t="b">
        <f t="shared" si="11"/>
        <v>0</v>
      </c>
    </row>
    <row r="94" spans="1:26" ht="15" customHeight="1">
      <c r="A94" t="s">
        <v>2553</v>
      </c>
      <c r="B94" t="s">
        <v>313</v>
      </c>
      <c r="C94" t="s">
        <v>2253</v>
      </c>
      <c r="D94" t="s">
        <v>2554</v>
      </c>
      <c r="E94" s="14">
        <v>45758</v>
      </c>
      <c r="F94" s="14">
        <v>45761</v>
      </c>
      <c r="G94" s="14">
        <v>45791</v>
      </c>
      <c r="H94" s="15">
        <v>70394.38</v>
      </c>
      <c r="I94" s="15">
        <v>9181.8799999999992</v>
      </c>
      <c r="J94" s="15">
        <v>61212.5</v>
      </c>
      <c r="K94" t="s">
        <v>2555</v>
      </c>
      <c r="L94" t="s">
        <v>2556</v>
      </c>
      <c r="M94" t="s">
        <v>2557</v>
      </c>
      <c r="N94" s="14">
        <v>45767</v>
      </c>
      <c r="O94" t="s">
        <v>2209</v>
      </c>
      <c r="P94" t="s">
        <v>2231</v>
      </c>
      <c r="Q94" t="s">
        <v>128</v>
      </c>
      <c r="R94" t="s">
        <v>151</v>
      </c>
      <c r="S94" t="s">
        <v>130</v>
      </c>
      <c r="T94" t="s">
        <v>2224</v>
      </c>
      <c r="U94">
        <f t="shared" si="6"/>
        <v>3</v>
      </c>
      <c r="V94" t="b">
        <f t="shared" si="7"/>
        <v>0</v>
      </c>
      <c r="W94" t="b">
        <f t="shared" si="8"/>
        <v>0</v>
      </c>
      <c r="X94" t="b">
        <f t="shared" si="9"/>
        <v>0</v>
      </c>
      <c r="Y94" t="b">
        <f t="shared" si="10"/>
        <v>0</v>
      </c>
      <c r="Z94" t="b">
        <f t="shared" si="11"/>
        <v>0</v>
      </c>
    </row>
    <row r="95" spans="1:26" ht="15" customHeight="1">
      <c r="A95" t="s">
        <v>2558</v>
      </c>
      <c r="B95" t="s">
        <v>251</v>
      </c>
      <c r="C95" t="s">
        <v>2218</v>
      </c>
      <c r="D95" t="s">
        <v>2559</v>
      </c>
      <c r="E95" s="14">
        <v>45823</v>
      </c>
      <c r="F95" s="14">
        <v>45823</v>
      </c>
      <c r="G95" s="14">
        <v>45853</v>
      </c>
      <c r="H95" s="15">
        <v>63218.67</v>
      </c>
      <c r="I95" s="15">
        <v>8245.91</v>
      </c>
      <c r="J95" s="15">
        <v>54972.76</v>
      </c>
      <c r="K95" t="s">
        <v>2560</v>
      </c>
      <c r="M95" t="s">
        <v>2561</v>
      </c>
      <c r="N95" s="14">
        <v>45830</v>
      </c>
      <c r="O95" t="s">
        <v>2209</v>
      </c>
      <c r="P95" t="s">
        <v>2210</v>
      </c>
      <c r="Q95" t="s">
        <v>175</v>
      </c>
      <c r="R95" t="s">
        <v>150</v>
      </c>
      <c r="S95" t="s">
        <v>130</v>
      </c>
      <c r="T95" t="s">
        <v>2211</v>
      </c>
      <c r="U95">
        <f t="shared" si="6"/>
        <v>0</v>
      </c>
      <c r="V95" t="b">
        <f t="shared" si="7"/>
        <v>0</v>
      </c>
      <c r="W95" t="b">
        <f t="shared" si="8"/>
        <v>0</v>
      </c>
      <c r="X95" t="b">
        <f t="shared" si="9"/>
        <v>0</v>
      </c>
      <c r="Y95" t="b">
        <f t="shared" si="10"/>
        <v>0</v>
      </c>
      <c r="Z95" t="b">
        <f t="shared" si="11"/>
        <v>0</v>
      </c>
    </row>
    <row r="96" spans="1:26" ht="15" customHeight="1">
      <c r="A96" t="s">
        <v>2562</v>
      </c>
      <c r="B96" t="s">
        <v>705</v>
      </c>
      <c r="C96" t="s">
        <v>2237</v>
      </c>
      <c r="D96" t="s">
        <v>2563</v>
      </c>
      <c r="E96" s="14">
        <v>45828</v>
      </c>
      <c r="F96" s="14">
        <v>45831</v>
      </c>
      <c r="G96" s="14">
        <v>45861</v>
      </c>
      <c r="H96" s="15">
        <v>43154.42</v>
      </c>
      <c r="I96" s="15">
        <v>5628.84</v>
      </c>
      <c r="J96" s="15">
        <v>37525.58</v>
      </c>
      <c r="K96" t="s">
        <v>2564</v>
      </c>
      <c r="L96" t="s">
        <v>2565</v>
      </c>
      <c r="N96" s="14"/>
      <c r="O96" t="s">
        <v>288</v>
      </c>
      <c r="P96" t="s">
        <v>2223</v>
      </c>
      <c r="Q96" t="s">
        <v>128</v>
      </c>
      <c r="R96" t="s">
        <v>150</v>
      </c>
      <c r="S96" t="s">
        <v>130</v>
      </c>
      <c r="T96" t="s">
        <v>2224</v>
      </c>
      <c r="U96">
        <f t="shared" si="6"/>
        <v>3</v>
      </c>
      <c r="V96" t="b">
        <f t="shared" si="7"/>
        <v>0</v>
      </c>
      <c r="W96" t="b">
        <f t="shared" si="8"/>
        <v>0</v>
      </c>
      <c r="X96" t="b">
        <f t="shared" si="9"/>
        <v>0</v>
      </c>
      <c r="Y96" t="b">
        <f t="shared" si="10"/>
        <v>0</v>
      </c>
      <c r="Z96" t="b">
        <f t="shared" si="11"/>
        <v>0</v>
      </c>
    </row>
    <row r="97" spans="1:26" ht="15" customHeight="1">
      <c r="A97" t="s">
        <v>2566</v>
      </c>
      <c r="B97" t="s">
        <v>212</v>
      </c>
      <c r="C97" t="s">
        <v>2226</v>
      </c>
      <c r="D97" t="s">
        <v>2567</v>
      </c>
      <c r="E97" s="14">
        <v>45741</v>
      </c>
      <c r="F97" s="14">
        <v>45741</v>
      </c>
      <c r="G97" s="14">
        <v>45771</v>
      </c>
      <c r="H97" s="15">
        <v>4503.05</v>
      </c>
      <c r="I97" s="15">
        <v>587.35</v>
      </c>
      <c r="J97" s="15">
        <v>3915.7</v>
      </c>
      <c r="K97" t="s">
        <v>2568</v>
      </c>
      <c r="L97" t="s">
        <v>2569</v>
      </c>
      <c r="N97" s="14"/>
      <c r="O97" t="s">
        <v>288</v>
      </c>
      <c r="P97" t="s">
        <v>2231</v>
      </c>
      <c r="Q97" t="s">
        <v>129</v>
      </c>
      <c r="R97" t="s">
        <v>175</v>
      </c>
      <c r="S97" t="s">
        <v>130</v>
      </c>
      <c r="T97" t="s">
        <v>2224</v>
      </c>
      <c r="U97">
        <f t="shared" si="6"/>
        <v>0</v>
      </c>
      <c r="V97" t="b">
        <f t="shared" si="7"/>
        <v>0</v>
      </c>
      <c r="W97" t="b">
        <f t="shared" si="8"/>
        <v>0</v>
      </c>
      <c r="X97" t="b">
        <f t="shared" si="9"/>
        <v>0</v>
      </c>
      <c r="Y97" t="b">
        <f t="shared" si="10"/>
        <v>0</v>
      </c>
      <c r="Z97" t="b">
        <f t="shared" si="11"/>
        <v>0</v>
      </c>
    </row>
    <row r="98" spans="1:26" ht="15" customHeight="1">
      <c r="A98" t="s">
        <v>2570</v>
      </c>
      <c r="B98" t="s">
        <v>251</v>
      </c>
      <c r="C98" t="s">
        <v>2218</v>
      </c>
      <c r="D98" t="s">
        <v>2571</v>
      </c>
      <c r="E98" s="14">
        <v>45660</v>
      </c>
      <c r="F98" s="14">
        <v>45675</v>
      </c>
      <c r="G98" s="14">
        <v>45705</v>
      </c>
      <c r="H98" s="15">
        <v>38531.29</v>
      </c>
      <c r="I98" s="15">
        <v>5025.82</v>
      </c>
      <c r="J98" s="15">
        <v>33505.47</v>
      </c>
      <c r="K98" t="s">
        <v>2572</v>
      </c>
      <c r="M98" t="s">
        <v>2573</v>
      </c>
      <c r="N98" s="14">
        <v>45709</v>
      </c>
      <c r="O98" t="s">
        <v>2209</v>
      </c>
      <c r="P98" t="s">
        <v>2243</v>
      </c>
      <c r="Q98" t="s">
        <v>129</v>
      </c>
      <c r="R98" t="s">
        <v>129</v>
      </c>
      <c r="S98" t="s">
        <v>130</v>
      </c>
      <c r="T98" t="s">
        <v>2211</v>
      </c>
      <c r="U98">
        <f t="shared" si="6"/>
        <v>15</v>
      </c>
      <c r="V98" t="b">
        <f t="shared" si="7"/>
        <v>0</v>
      </c>
      <c r="W98" t="b">
        <f t="shared" si="8"/>
        <v>0</v>
      </c>
      <c r="X98" t="b">
        <f t="shared" si="9"/>
        <v>0</v>
      </c>
      <c r="Y98" t="b">
        <f t="shared" si="10"/>
        <v>0</v>
      </c>
      <c r="Z98" t="b">
        <f t="shared" si="11"/>
        <v>0</v>
      </c>
    </row>
    <row r="99" spans="1:26" ht="15" customHeight="1">
      <c r="A99" t="s">
        <v>2574</v>
      </c>
      <c r="B99" t="s">
        <v>705</v>
      </c>
      <c r="C99" t="s">
        <v>2237</v>
      </c>
      <c r="D99" t="s">
        <v>2575</v>
      </c>
      <c r="E99" s="14">
        <v>45951</v>
      </c>
      <c r="F99" s="14">
        <v>45956</v>
      </c>
      <c r="G99" s="14">
        <v>45986</v>
      </c>
      <c r="H99" s="15">
        <v>44838.42</v>
      </c>
      <c r="I99" s="15">
        <v>5848.49</v>
      </c>
      <c r="J99" s="15">
        <v>38989.93</v>
      </c>
      <c r="K99" t="s">
        <v>2576</v>
      </c>
      <c r="M99" t="s">
        <v>2577</v>
      </c>
      <c r="N99" s="14">
        <v>45971</v>
      </c>
      <c r="O99" t="s">
        <v>2209</v>
      </c>
      <c r="P99" t="s">
        <v>2210</v>
      </c>
      <c r="Q99" t="s">
        <v>175</v>
      </c>
      <c r="R99" t="s">
        <v>150</v>
      </c>
      <c r="S99" t="s">
        <v>130</v>
      </c>
      <c r="T99" t="s">
        <v>2211</v>
      </c>
      <c r="U99">
        <f t="shared" si="6"/>
        <v>5</v>
      </c>
      <c r="V99" t="b">
        <f t="shared" si="7"/>
        <v>0</v>
      </c>
      <c r="W99" t="b">
        <f t="shared" si="8"/>
        <v>0</v>
      </c>
      <c r="X99" t="b">
        <f t="shared" si="9"/>
        <v>0</v>
      </c>
      <c r="Y99" t="b">
        <f t="shared" si="10"/>
        <v>0</v>
      </c>
      <c r="Z99" t="b">
        <f t="shared" si="11"/>
        <v>0</v>
      </c>
    </row>
    <row r="100" spans="1:26" ht="15" customHeight="1">
      <c r="A100" t="s">
        <v>2578</v>
      </c>
      <c r="B100" t="s">
        <v>229</v>
      </c>
      <c r="C100" t="s">
        <v>2263</v>
      </c>
      <c r="D100" t="s">
        <v>2579</v>
      </c>
      <c r="E100" s="14">
        <v>45925</v>
      </c>
      <c r="F100" s="14">
        <v>45932</v>
      </c>
      <c r="G100" s="14">
        <v>45962</v>
      </c>
      <c r="H100" s="15">
        <v>66884.320000000007</v>
      </c>
      <c r="I100" s="15">
        <v>8724.0400000000009</v>
      </c>
      <c r="J100" s="15">
        <v>58160.28</v>
      </c>
      <c r="K100" t="s">
        <v>2580</v>
      </c>
      <c r="L100" t="s">
        <v>2581</v>
      </c>
      <c r="M100" t="s">
        <v>2582</v>
      </c>
      <c r="N100" s="14">
        <v>45975</v>
      </c>
      <c r="O100" t="s">
        <v>2209</v>
      </c>
      <c r="P100" t="s">
        <v>2231</v>
      </c>
      <c r="Q100" t="s">
        <v>129</v>
      </c>
      <c r="R100" t="s">
        <v>151</v>
      </c>
      <c r="S100" t="s">
        <v>130</v>
      </c>
      <c r="T100" t="s">
        <v>2224</v>
      </c>
      <c r="U100">
        <f t="shared" si="6"/>
        <v>7</v>
      </c>
      <c r="V100" t="b">
        <f t="shared" si="7"/>
        <v>0</v>
      </c>
      <c r="W100" t="b">
        <f t="shared" si="8"/>
        <v>0</v>
      </c>
      <c r="X100" t="b">
        <f t="shared" si="9"/>
        <v>0</v>
      </c>
      <c r="Y100" t="b">
        <f t="shared" si="10"/>
        <v>0</v>
      </c>
      <c r="Z100" t="b">
        <f t="shared" si="11"/>
        <v>0</v>
      </c>
    </row>
    <row r="101" spans="1:26" ht="15" customHeight="1">
      <c r="A101" t="s">
        <v>2583</v>
      </c>
      <c r="B101" t="s">
        <v>313</v>
      </c>
      <c r="C101" t="s">
        <v>2253</v>
      </c>
      <c r="D101" t="s">
        <v>2584</v>
      </c>
      <c r="E101" s="14">
        <v>45793</v>
      </c>
      <c r="F101" s="14">
        <v>45796</v>
      </c>
      <c r="G101" s="14">
        <v>45826</v>
      </c>
      <c r="H101" s="15">
        <v>58794.15</v>
      </c>
      <c r="I101" s="15">
        <v>7668.8</v>
      </c>
      <c r="J101" s="15">
        <v>51125.35</v>
      </c>
      <c r="K101" t="s">
        <v>2585</v>
      </c>
      <c r="L101" t="s">
        <v>2586</v>
      </c>
      <c r="M101" t="s">
        <v>2587</v>
      </c>
      <c r="N101" s="14">
        <v>45818</v>
      </c>
      <c r="O101" t="s">
        <v>2209</v>
      </c>
      <c r="P101" t="s">
        <v>2223</v>
      </c>
      <c r="Q101" t="s">
        <v>175</v>
      </c>
      <c r="R101" t="s">
        <v>151</v>
      </c>
      <c r="S101" t="s">
        <v>288</v>
      </c>
      <c r="T101" t="s">
        <v>2224</v>
      </c>
      <c r="U101">
        <f t="shared" si="6"/>
        <v>3</v>
      </c>
      <c r="V101" t="b">
        <f t="shared" si="7"/>
        <v>0</v>
      </c>
      <c r="W101" t="b">
        <f t="shared" si="8"/>
        <v>0</v>
      </c>
      <c r="X101" t="b">
        <f t="shared" si="9"/>
        <v>0</v>
      </c>
      <c r="Y101" t="b">
        <f t="shared" si="10"/>
        <v>0</v>
      </c>
      <c r="Z101" t="b">
        <f t="shared" si="11"/>
        <v>0</v>
      </c>
    </row>
    <row r="102" spans="1:26" ht="15" customHeight="1">
      <c r="A102" t="s">
        <v>2588</v>
      </c>
      <c r="B102" t="s">
        <v>705</v>
      </c>
      <c r="C102" t="s">
        <v>2237</v>
      </c>
      <c r="D102" t="s">
        <v>2589</v>
      </c>
      <c r="E102" s="14">
        <v>45754</v>
      </c>
      <c r="F102" s="14">
        <v>45764</v>
      </c>
      <c r="G102" s="14">
        <v>45794</v>
      </c>
      <c r="H102" s="15">
        <v>9484.33</v>
      </c>
      <c r="I102" s="15">
        <v>1237.0899999999999</v>
      </c>
      <c r="J102" s="15">
        <v>8247.24</v>
      </c>
      <c r="K102" t="s">
        <v>2590</v>
      </c>
      <c r="M102" t="s">
        <v>2591</v>
      </c>
      <c r="N102" s="14">
        <v>45806</v>
      </c>
      <c r="O102" t="s">
        <v>2209</v>
      </c>
      <c r="P102" t="s">
        <v>2210</v>
      </c>
      <c r="Q102" t="s">
        <v>129</v>
      </c>
      <c r="R102" t="s">
        <v>128</v>
      </c>
      <c r="S102" t="s">
        <v>130</v>
      </c>
      <c r="T102" t="s">
        <v>2211</v>
      </c>
      <c r="U102">
        <f t="shared" si="6"/>
        <v>10</v>
      </c>
      <c r="V102" t="b">
        <f t="shared" si="7"/>
        <v>0</v>
      </c>
      <c r="W102" t="b">
        <f t="shared" si="8"/>
        <v>0</v>
      </c>
      <c r="X102" t="b">
        <f t="shared" si="9"/>
        <v>0</v>
      </c>
      <c r="Y102" t="b">
        <f t="shared" si="10"/>
        <v>0</v>
      </c>
      <c r="Z102" t="b">
        <f t="shared" si="11"/>
        <v>0</v>
      </c>
    </row>
    <row r="103" spans="1:26" ht="15" customHeight="1">
      <c r="A103" t="s">
        <v>1778</v>
      </c>
      <c r="B103" t="s">
        <v>440</v>
      </c>
      <c r="C103" t="s">
        <v>2307</v>
      </c>
      <c r="D103" t="s">
        <v>2592</v>
      </c>
      <c r="E103" s="14">
        <v>45775</v>
      </c>
      <c r="F103" s="14">
        <v>45805</v>
      </c>
      <c r="G103" s="14">
        <v>45835</v>
      </c>
      <c r="H103" s="15">
        <v>73800.399999999994</v>
      </c>
      <c r="I103" s="15">
        <v>9626.14</v>
      </c>
      <c r="J103" s="15">
        <v>64174.26</v>
      </c>
      <c r="K103" t="s">
        <v>2593</v>
      </c>
      <c r="M103" t="s">
        <v>2594</v>
      </c>
      <c r="N103" s="14">
        <v>45850</v>
      </c>
      <c r="O103" t="s">
        <v>2209</v>
      </c>
      <c r="P103" t="s">
        <v>2210</v>
      </c>
      <c r="Q103" t="s">
        <v>140</v>
      </c>
      <c r="R103" t="s">
        <v>129</v>
      </c>
      <c r="S103" t="s">
        <v>130</v>
      </c>
      <c r="T103" t="s">
        <v>2211</v>
      </c>
      <c r="U103">
        <f t="shared" si="6"/>
        <v>30</v>
      </c>
      <c r="V103" t="b">
        <f t="shared" si="7"/>
        <v>0</v>
      </c>
      <c r="W103" t="b">
        <f t="shared" si="8"/>
        <v>0</v>
      </c>
      <c r="X103" t="b">
        <f t="shared" si="9"/>
        <v>0</v>
      </c>
      <c r="Y103" t="b">
        <f t="shared" si="10"/>
        <v>0</v>
      </c>
      <c r="Z103" t="b">
        <f t="shared" si="11"/>
        <v>0</v>
      </c>
    </row>
    <row r="104" spans="1:26" ht="15" customHeight="1">
      <c r="A104" t="s">
        <v>2595</v>
      </c>
      <c r="B104" t="s">
        <v>322</v>
      </c>
      <c r="C104" t="s">
        <v>2213</v>
      </c>
      <c r="D104" t="s">
        <v>2596</v>
      </c>
      <c r="E104" s="14">
        <v>46011</v>
      </c>
      <c r="F104" s="14">
        <v>46014</v>
      </c>
      <c r="G104" s="14">
        <v>46044</v>
      </c>
      <c r="H104" s="15">
        <v>12499.38</v>
      </c>
      <c r="I104" s="15">
        <v>1630.35</v>
      </c>
      <c r="J104" s="15">
        <v>10869.03</v>
      </c>
      <c r="K104" t="s">
        <v>2597</v>
      </c>
      <c r="M104" t="s">
        <v>2598</v>
      </c>
      <c r="N104" s="14">
        <v>46047</v>
      </c>
      <c r="O104" t="s">
        <v>2209</v>
      </c>
      <c r="P104" t="s">
        <v>2210</v>
      </c>
      <c r="Q104" t="s">
        <v>175</v>
      </c>
      <c r="R104" t="s">
        <v>151</v>
      </c>
      <c r="S104" t="s">
        <v>288</v>
      </c>
      <c r="T104" t="s">
        <v>2211</v>
      </c>
      <c r="U104">
        <f t="shared" si="6"/>
        <v>3</v>
      </c>
      <c r="V104" t="b">
        <f t="shared" si="7"/>
        <v>0</v>
      </c>
      <c r="W104" t="b">
        <f t="shared" si="8"/>
        <v>0</v>
      </c>
      <c r="X104" t="b">
        <f t="shared" si="9"/>
        <v>0</v>
      </c>
      <c r="Y104" t="b">
        <f t="shared" si="10"/>
        <v>0</v>
      </c>
      <c r="Z104" t="b">
        <f t="shared" si="11"/>
        <v>1</v>
      </c>
    </row>
    <row r="105" spans="1:26" ht="15" customHeight="1">
      <c r="A105" t="s">
        <v>2599</v>
      </c>
      <c r="B105" t="s">
        <v>705</v>
      </c>
      <c r="C105" t="s">
        <v>2237</v>
      </c>
      <c r="D105" t="s">
        <v>2600</v>
      </c>
      <c r="E105" s="14">
        <v>46008</v>
      </c>
      <c r="F105" s="14">
        <v>46010</v>
      </c>
      <c r="G105" s="14">
        <v>46040</v>
      </c>
      <c r="H105" s="15">
        <v>22248.6</v>
      </c>
      <c r="I105" s="15">
        <v>2901.99</v>
      </c>
      <c r="J105" s="15">
        <v>19346.61</v>
      </c>
      <c r="K105" t="s">
        <v>2601</v>
      </c>
      <c r="L105" t="s">
        <v>2602</v>
      </c>
      <c r="N105" s="14"/>
      <c r="O105" t="s">
        <v>288</v>
      </c>
      <c r="P105" t="s">
        <v>2293</v>
      </c>
      <c r="Q105" t="s">
        <v>129</v>
      </c>
      <c r="R105" t="s">
        <v>128</v>
      </c>
      <c r="S105" t="s">
        <v>130</v>
      </c>
      <c r="T105" t="s">
        <v>2224</v>
      </c>
      <c r="U105">
        <f t="shared" si="6"/>
        <v>2</v>
      </c>
      <c r="V105" t="b">
        <f t="shared" si="7"/>
        <v>0</v>
      </c>
      <c r="W105" t="b">
        <f t="shared" si="8"/>
        <v>0</v>
      </c>
      <c r="X105" t="b">
        <f t="shared" si="9"/>
        <v>0</v>
      </c>
      <c r="Y105" t="b">
        <f t="shared" si="10"/>
        <v>0</v>
      </c>
      <c r="Z105" t="b">
        <f t="shared" si="11"/>
        <v>1</v>
      </c>
    </row>
    <row r="106" spans="1:26" ht="15" customHeight="1">
      <c r="A106" t="s">
        <v>2603</v>
      </c>
      <c r="B106" t="s">
        <v>705</v>
      </c>
      <c r="C106" t="s">
        <v>2237</v>
      </c>
      <c r="D106" t="s">
        <v>2604</v>
      </c>
      <c r="E106" s="14">
        <v>46020</v>
      </c>
      <c r="F106" s="14">
        <v>45946</v>
      </c>
      <c r="G106" s="14">
        <v>45976</v>
      </c>
      <c r="H106" s="15">
        <v>22248.6</v>
      </c>
      <c r="I106" s="15">
        <v>2901.99</v>
      </c>
      <c r="J106" s="15">
        <v>19346.61</v>
      </c>
      <c r="M106" t="s">
        <v>2605</v>
      </c>
      <c r="N106" s="14">
        <v>45965</v>
      </c>
      <c r="O106" t="s">
        <v>2209</v>
      </c>
      <c r="P106" t="s">
        <v>2210</v>
      </c>
      <c r="Q106" t="s">
        <v>150</v>
      </c>
      <c r="R106" t="s">
        <v>175</v>
      </c>
      <c r="S106" t="s">
        <v>130</v>
      </c>
      <c r="T106" t="s">
        <v>2251</v>
      </c>
      <c r="U106">
        <f t="shared" si="6"/>
        <v>-74</v>
      </c>
      <c r="V106" t="b">
        <f t="shared" si="7"/>
        <v>0</v>
      </c>
      <c r="W106" t="b">
        <f t="shared" si="8"/>
        <v>0</v>
      </c>
      <c r="X106" t="b">
        <f t="shared" si="9"/>
        <v>0</v>
      </c>
      <c r="Y106" t="b">
        <f t="shared" si="10"/>
        <v>0</v>
      </c>
      <c r="Z106" t="b">
        <f t="shared" si="11"/>
        <v>0</v>
      </c>
    </row>
    <row r="107" spans="1:26" ht="15" customHeight="1">
      <c r="A107" t="s">
        <v>2606</v>
      </c>
      <c r="B107" t="s">
        <v>212</v>
      </c>
      <c r="C107" t="s">
        <v>2226</v>
      </c>
      <c r="D107" t="s">
        <v>2607</v>
      </c>
      <c r="E107" s="14">
        <v>45888</v>
      </c>
      <c r="F107" s="14">
        <v>45891</v>
      </c>
      <c r="G107" s="14">
        <v>45921</v>
      </c>
      <c r="H107" s="15">
        <v>36559.93</v>
      </c>
      <c r="I107" s="15">
        <v>4768.6899999999996</v>
      </c>
      <c r="J107" s="15">
        <v>31791.24</v>
      </c>
      <c r="K107" t="s">
        <v>2608</v>
      </c>
      <c r="L107" t="s">
        <v>2609</v>
      </c>
      <c r="M107" t="s">
        <v>2610</v>
      </c>
      <c r="N107" s="14">
        <v>45896</v>
      </c>
      <c r="O107" t="s">
        <v>2209</v>
      </c>
      <c r="P107" t="s">
        <v>2293</v>
      </c>
      <c r="Q107" t="s">
        <v>129</v>
      </c>
      <c r="R107" t="s">
        <v>150</v>
      </c>
      <c r="S107" t="s">
        <v>130</v>
      </c>
      <c r="T107" t="s">
        <v>2224</v>
      </c>
      <c r="U107">
        <f t="shared" si="6"/>
        <v>3</v>
      </c>
      <c r="V107" t="b">
        <f t="shared" si="7"/>
        <v>0</v>
      </c>
      <c r="W107" t="b">
        <f t="shared" si="8"/>
        <v>0</v>
      </c>
      <c r="X107" t="b">
        <f t="shared" si="9"/>
        <v>0</v>
      </c>
      <c r="Y107" t="b">
        <f t="shared" si="10"/>
        <v>0</v>
      </c>
      <c r="Z107" t="b">
        <f t="shared" si="11"/>
        <v>0</v>
      </c>
    </row>
    <row r="108" spans="1:26" ht="15" customHeight="1">
      <c r="A108" t="s">
        <v>2611</v>
      </c>
      <c r="B108" t="s">
        <v>313</v>
      </c>
      <c r="C108" t="s">
        <v>2253</v>
      </c>
      <c r="D108" t="s">
        <v>2612</v>
      </c>
      <c r="E108" s="14">
        <v>45715</v>
      </c>
      <c r="F108" s="14">
        <v>45720</v>
      </c>
      <c r="G108" s="14">
        <v>45750</v>
      </c>
      <c r="H108" s="15">
        <v>27579.79</v>
      </c>
      <c r="I108" s="15">
        <v>3597.36</v>
      </c>
      <c r="J108" s="15">
        <v>23982.43</v>
      </c>
      <c r="K108" t="s">
        <v>2613</v>
      </c>
      <c r="N108" s="14"/>
      <c r="O108" t="s">
        <v>288</v>
      </c>
      <c r="P108" t="s">
        <v>2257</v>
      </c>
      <c r="Q108" t="s">
        <v>140</v>
      </c>
      <c r="R108" t="s">
        <v>175</v>
      </c>
      <c r="S108" t="s">
        <v>130</v>
      </c>
      <c r="T108" t="s">
        <v>2211</v>
      </c>
      <c r="U108">
        <f t="shared" si="6"/>
        <v>5</v>
      </c>
      <c r="V108" t="b">
        <f t="shared" si="7"/>
        <v>0</v>
      </c>
      <c r="W108" t="b">
        <f t="shared" si="8"/>
        <v>0</v>
      </c>
      <c r="X108" t="b">
        <f t="shared" si="9"/>
        <v>0</v>
      </c>
      <c r="Y108" t="b">
        <f t="shared" si="10"/>
        <v>0</v>
      </c>
      <c r="Z108" t="b">
        <f t="shared" si="11"/>
        <v>0</v>
      </c>
    </row>
    <row r="109" spans="1:26" ht="15" customHeight="1">
      <c r="A109" t="s">
        <v>2614</v>
      </c>
      <c r="B109" t="s">
        <v>440</v>
      </c>
      <c r="C109" t="s">
        <v>2307</v>
      </c>
      <c r="D109" t="s">
        <v>2615</v>
      </c>
      <c r="E109" s="14">
        <v>45667</v>
      </c>
      <c r="F109" s="14">
        <v>45677</v>
      </c>
      <c r="G109" s="14">
        <v>45707</v>
      </c>
      <c r="H109" s="15">
        <v>46782.36</v>
      </c>
      <c r="I109" s="15">
        <v>6102.05</v>
      </c>
      <c r="J109" s="15">
        <v>40680.31</v>
      </c>
      <c r="K109" t="s">
        <v>2616</v>
      </c>
      <c r="N109" s="14"/>
      <c r="O109" t="s">
        <v>288</v>
      </c>
      <c r="P109" t="s">
        <v>2243</v>
      </c>
      <c r="Q109" t="s">
        <v>175</v>
      </c>
      <c r="R109" t="s">
        <v>175</v>
      </c>
      <c r="S109" t="s">
        <v>130</v>
      </c>
      <c r="T109" t="s">
        <v>2211</v>
      </c>
      <c r="U109">
        <f t="shared" si="6"/>
        <v>10</v>
      </c>
      <c r="V109" t="b">
        <f t="shared" si="7"/>
        <v>0</v>
      </c>
      <c r="W109" t="b">
        <f t="shared" si="8"/>
        <v>0</v>
      </c>
      <c r="X109" t="b">
        <f t="shared" si="9"/>
        <v>0</v>
      </c>
      <c r="Y109" t="b">
        <f t="shared" si="10"/>
        <v>0</v>
      </c>
      <c r="Z109" t="b">
        <f t="shared" si="11"/>
        <v>0</v>
      </c>
    </row>
    <row r="110" spans="1:26" ht="15" customHeight="1">
      <c r="A110" t="s">
        <v>2617</v>
      </c>
      <c r="B110" t="s">
        <v>229</v>
      </c>
      <c r="C110" t="s">
        <v>2263</v>
      </c>
      <c r="D110" t="s">
        <v>2618</v>
      </c>
      <c r="E110" s="14">
        <v>45885</v>
      </c>
      <c r="F110" s="14">
        <v>45885</v>
      </c>
      <c r="G110" s="14">
        <v>45915</v>
      </c>
      <c r="H110" s="15">
        <v>53793.62</v>
      </c>
      <c r="I110" s="15">
        <v>7016.56</v>
      </c>
      <c r="J110" s="15">
        <v>46777.06</v>
      </c>
      <c r="K110" t="s">
        <v>2619</v>
      </c>
      <c r="M110" t="s">
        <v>2620</v>
      </c>
      <c r="N110" s="14">
        <v>45928</v>
      </c>
      <c r="O110" t="s">
        <v>2209</v>
      </c>
      <c r="P110" t="s">
        <v>2243</v>
      </c>
      <c r="Q110" t="s">
        <v>150</v>
      </c>
      <c r="R110" t="s">
        <v>151</v>
      </c>
      <c r="S110" t="s">
        <v>130</v>
      </c>
      <c r="T110" t="s">
        <v>2211</v>
      </c>
      <c r="U110">
        <f t="shared" si="6"/>
        <v>0</v>
      </c>
      <c r="V110" t="b">
        <f t="shared" si="7"/>
        <v>0</v>
      </c>
      <c r="W110" t="b">
        <f t="shared" si="8"/>
        <v>0</v>
      </c>
      <c r="X110" t="b">
        <f t="shared" si="9"/>
        <v>0</v>
      </c>
      <c r="Y110" t="b">
        <f t="shared" si="10"/>
        <v>0</v>
      </c>
      <c r="Z110" t="b">
        <f t="shared" si="11"/>
        <v>0</v>
      </c>
    </row>
    <row r="111" spans="1:26" ht="15" customHeight="1">
      <c r="A111" t="s">
        <v>2621</v>
      </c>
      <c r="B111" t="s">
        <v>212</v>
      </c>
      <c r="C111" t="s">
        <v>2226</v>
      </c>
      <c r="D111" t="s">
        <v>2622</v>
      </c>
      <c r="E111" s="14">
        <v>45674</v>
      </c>
      <c r="F111" s="14">
        <v>45675</v>
      </c>
      <c r="G111" s="14">
        <v>45705</v>
      </c>
      <c r="H111" s="15">
        <v>20420.09</v>
      </c>
      <c r="I111" s="15">
        <v>2663.49</v>
      </c>
      <c r="J111" s="15">
        <v>17756.599999999999</v>
      </c>
      <c r="K111" t="s">
        <v>2623</v>
      </c>
      <c r="L111" t="s">
        <v>2624</v>
      </c>
      <c r="M111" t="s">
        <v>2625</v>
      </c>
      <c r="N111" s="14">
        <v>45708</v>
      </c>
      <c r="O111" t="s">
        <v>2209</v>
      </c>
      <c r="P111" t="s">
        <v>2223</v>
      </c>
      <c r="Q111" t="s">
        <v>175</v>
      </c>
      <c r="R111" t="s">
        <v>151</v>
      </c>
      <c r="S111" t="s">
        <v>130</v>
      </c>
      <c r="T111" t="s">
        <v>2224</v>
      </c>
      <c r="U111">
        <f t="shared" si="6"/>
        <v>1</v>
      </c>
      <c r="V111" t="b">
        <f t="shared" si="7"/>
        <v>0</v>
      </c>
      <c r="W111" t="b">
        <f t="shared" si="8"/>
        <v>0</v>
      </c>
      <c r="X111" t="b">
        <f t="shared" si="9"/>
        <v>0</v>
      </c>
      <c r="Y111" t="b">
        <f t="shared" si="10"/>
        <v>0</v>
      </c>
      <c r="Z111" t="b">
        <f t="shared" si="11"/>
        <v>0</v>
      </c>
    </row>
    <row r="112" spans="1:26" ht="15" customHeight="1">
      <c r="A112" t="s">
        <v>1814</v>
      </c>
      <c r="B112" t="s">
        <v>212</v>
      </c>
      <c r="C112" t="s">
        <v>2226</v>
      </c>
      <c r="D112" t="s">
        <v>2626</v>
      </c>
      <c r="E112" s="14">
        <v>45696</v>
      </c>
      <c r="F112" s="14">
        <v>45696</v>
      </c>
      <c r="G112" s="14">
        <v>45726</v>
      </c>
      <c r="H112" s="15">
        <v>39892.699999999997</v>
      </c>
      <c r="I112" s="15">
        <v>5203.3999999999996</v>
      </c>
      <c r="J112" s="15">
        <v>34689.300000000003</v>
      </c>
      <c r="K112" t="s">
        <v>2627</v>
      </c>
      <c r="L112" t="s">
        <v>2628</v>
      </c>
      <c r="N112" s="14"/>
      <c r="O112" t="s">
        <v>288</v>
      </c>
      <c r="P112" t="s">
        <v>2223</v>
      </c>
      <c r="Q112" t="s">
        <v>129</v>
      </c>
      <c r="R112" t="s">
        <v>151</v>
      </c>
      <c r="S112" t="s">
        <v>130</v>
      </c>
      <c r="T112" t="s">
        <v>2224</v>
      </c>
      <c r="U112">
        <f t="shared" si="6"/>
        <v>0</v>
      </c>
      <c r="V112" t="b">
        <f t="shared" si="7"/>
        <v>0</v>
      </c>
      <c r="W112" t="b">
        <f t="shared" si="8"/>
        <v>0</v>
      </c>
      <c r="X112" t="b">
        <f t="shared" si="9"/>
        <v>0</v>
      </c>
      <c r="Y112" t="b">
        <f t="shared" si="10"/>
        <v>0</v>
      </c>
      <c r="Z112" t="b">
        <f t="shared" si="11"/>
        <v>0</v>
      </c>
    </row>
    <row r="113" spans="1:26" ht="15" customHeight="1">
      <c r="A113" t="s">
        <v>1818</v>
      </c>
      <c r="B113" t="s">
        <v>440</v>
      </c>
      <c r="C113" t="s">
        <v>2307</v>
      </c>
      <c r="D113" t="s">
        <v>2629</v>
      </c>
      <c r="E113" s="14">
        <v>45924</v>
      </c>
      <c r="F113" s="14">
        <v>45931</v>
      </c>
      <c r="G113" s="14">
        <v>45961</v>
      </c>
      <c r="H113" s="15">
        <v>37283.85</v>
      </c>
      <c r="I113" s="15">
        <v>4863.1099999999997</v>
      </c>
      <c r="J113" s="15">
        <v>32420.74</v>
      </c>
      <c r="K113" t="s">
        <v>2630</v>
      </c>
      <c r="M113" t="s">
        <v>2631</v>
      </c>
      <c r="N113" s="14">
        <v>45973</v>
      </c>
      <c r="O113" t="s">
        <v>2209</v>
      </c>
      <c r="P113" t="s">
        <v>2210</v>
      </c>
      <c r="Q113" t="s">
        <v>140</v>
      </c>
      <c r="R113" t="s">
        <v>151</v>
      </c>
      <c r="S113" t="s">
        <v>130</v>
      </c>
      <c r="T113" t="s">
        <v>2211</v>
      </c>
      <c r="U113">
        <f t="shared" si="6"/>
        <v>7</v>
      </c>
      <c r="V113" t="b">
        <f t="shared" si="7"/>
        <v>0</v>
      </c>
      <c r="W113" t="b">
        <f t="shared" si="8"/>
        <v>0</v>
      </c>
      <c r="X113" t="b">
        <f t="shared" si="9"/>
        <v>0</v>
      </c>
      <c r="Y113" t="b">
        <f t="shared" si="10"/>
        <v>0</v>
      </c>
      <c r="Z113" t="b">
        <f t="shared" si="11"/>
        <v>0</v>
      </c>
    </row>
    <row r="114" spans="1:26" ht="15" customHeight="1">
      <c r="A114" t="s">
        <v>2632</v>
      </c>
      <c r="B114" t="s">
        <v>887</v>
      </c>
      <c r="C114" t="s">
        <v>2347</v>
      </c>
      <c r="D114" t="s">
        <v>2633</v>
      </c>
      <c r="E114" s="14">
        <v>45801</v>
      </c>
      <c r="F114" s="14">
        <v>45802</v>
      </c>
      <c r="G114" s="14">
        <v>45832</v>
      </c>
      <c r="H114" s="15">
        <v>31045.42</v>
      </c>
      <c r="I114" s="15">
        <v>4049.4</v>
      </c>
      <c r="J114" s="15">
        <v>26996.02</v>
      </c>
      <c r="K114" t="s">
        <v>2634</v>
      </c>
      <c r="M114" t="s">
        <v>2635</v>
      </c>
      <c r="N114" s="14">
        <v>45822</v>
      </c>
      <c r="O114" t="s">
        <v>2209</v>
      </c>
      <c r="P114" t="s">
        <v>2210</v>
      </c>
      <c r="Q114" t="s">
        <v>150</v>
      </c>
      <c r="R114" t="s">
        <v>151</v>
      </c>
      <c r="S114" t="s">
        <v>130</v>
      </c>
      <c r="T114" t="s">
        <v>2211</v>
      </c>
      <c r="U114">
        <f t="shared" si="6"/>
        <v>1</v>
      </c>
      <c r="V114" t="b">
        <f t="shared" si="7"/>
        <v>0</v>
      </c>
      <c r="W114" t="b">
        <f t="shared" si="8"/>
        <v>0</v>
      </c>
      <c r="X114" t="b">
        <f t="shared" si="9"/>
        <v>0</v>
      </c>
      <c r="Y114" t="b">
        <f t="shared" si="10"/>
        <v>0</v>
      </c>
      <c r="Z114" t="b">
        <f t="shared" si="11"/>
        <v>0</v>
      </c>
    </row>
    <row r="115" spans="1:26" ht="15" customHeight="1">
      <c r="A115" t="s">
        <v>2636</v>
      </c>
      <c r="B115" t="s">
        <v>322</v>
      </c>
      <c r="C115" t="s">
        <v>2213</v>
      </c>
      <c r="D115" t="s">
        <v>2637</v>
      </c>
      <c r="E115" s="14">
        <v>45669</v>
      </c>
      <c r="F115" s="14">
        <v>45669</v>
      </c>
      <c r="G115" s="14">
        <v>45699</v>
      </c>
      <c r="H115" s="15">
        <v>7252</v>
      </c>
      <c r="I115" s="15">
        <v>945.91</v>
      </c>
      <c r="J115" s="15">
        <v>6306.09</v>
      </c>
      <c r="K115" t="s">
        <v>2638</v>
      </c>
      <c r="L115" t="s">
        <v>2639</v>
      </c>
      <c r="M115" t="s">
        <v>2640</v>
      </c>
      <c r="N115" s="14">
        <v>45688</v>
      </c>
      <c r="O115" t="s">
        <v>2209</v>
      </c>
      <c r="P115" t="s">
        <v>2231</v>
      </c>
      <c r="Q115" t="s">
        <v>175</v>
      </c>
      <c r="R115" t="s">
        <v>128</v>
      </c>
      <c r="S115" t="s">
        <v>130</v>
      </c>
      <c r="T115" t="s">
        <v>2224</v>
      </c>
      <c r="U115">
        <f t="shared" si="6"/>
        <v>0</v>
      </c>
      <c r="V115" t="b">
        <f t="shared" si="7"/>
        <v>0</v>
      </c>
      <c r="W115" t="b">
        <f t="shared" si="8"/>
        <v>0</v>
      </c>
      <c r="X115" t="b">
        <f t="shared" si="9"/>
        <v>0</v>
      </c>
      <c r="Y115" t="b">
        <f t="shared" si="10"/>
        <v>0</v>
      </c>
      <c r="Z115" t="b">
        <f t="shared" si="11"/>
        <v>0</v>
      </c>
    </row>
    <row r="116" spans="1:26" ht="15" customHeight="1">
      <c r="A116" t="s">
        <v>2641</v>
      </c>
      <c r="B116" t="s">
        <v>440</v>
      </c>
      <c r="C116" t="s">
        <v>2307</v>
      </c>
      <c r="D116" t="s">
        <v>2642</v>
      </c>
      <c r="E116" s="14">
        <v>45888</v>
      </c>
      <c r="F116" s="14">
        <v>45888</v>
      </c>
      <c r="G116" s="14">
        <v>45918</v>
      </c>
      <c r="H116" s="15">
        <v>45800.91</v>
      </c>
      <c r="I116" s="15">
        <v>5974.03</v>
      </c>
      <c r="J116" s="15">
        <v>39826.879999999997</v>
      </c>
      <c r="K116" t="s">
        <v>2643</v>
      </c>
      <c r="L116" t="s">
        <v>2644</v>
      </c>
      <c r="M116" t="s">
        <v>2645</v>
      </c>
      <c r="N116" s="14">
        <v>45930</v>
      </c>
      <c r="O116" t="s">
        <v>2209</v>
      </c>
      <c r="P116" t="s">
        <v>2293</v>
      </c>
      <c r="Q116" t="s">
        <v>151</v>
      </c>
      <c r="R116" t="s">
        <v>150</v>
      </c>
      <c r="S116" t="s">
        <v>130</v>
      </c>
      <c r="T116" t="s">
        <v>2224</v>
      </c>
      <c r="U116">
        <f t="shared" si="6"/>
        <v>0</v>
      </c>
      <c r="V116" t="b">
        <f t="shared" si="7"/>
        <v>0</v>
      </c>
      <c r="W116" t="b">
        <f t="shared" si="8"/>
        <v>0</v>
      </c>
      <c r="X116" t="b">
        <f t="shared" si="9"/>
        <v>0</v>
      </c>
      <c r="Y116" t="b">
        <f t="shared" si="10"/>
        <v>0</v>
      </c>
      <c r="Z116" t="b">
        <f t="shared" si="11"/>
        <v>0</v>
      </c>
    </row>
    <row r="117" spans="1:26" ht="15" customHeight="1">
      <c r="A117" t="s">
        <v>1834</v>
      </c>
      <c r="B117" t="s">
        <v>322</v>
      </c>
      <c r="C117" t="s">
        <v>2213</v>
      </c>
      <c r="D117" t="s">
        <v>2646</v>
      </c>
      <c r="E117" s="14">
        <v>45829</v>
      </c>
      <c r="F117" s="14">
        <v>45839</v>
      </c>
      <c r="G117" s="14">
        <v>45869</v>
      </c>
      <c r="H117" s="15">
        <v>19165.53</v>
      </c>
      <c r="I117" s="15">
        <v>2499.85</v>
      </c>
      <c r="J117" s="15">
        <v>16665.68</v>
      </c>
      <c r="K117" t="s">
        <v>2647</v>
      </c>
      <c r="M117" t="s">
        <v>2648</v>
      </c>
      <c r="N117" s="14">
        <v>45882</v>
      </c>
      <c r="O117" t="s">
        <v>2209</v>
      </c>
      <c r="P117" t="s">
        <v>2243</v>
      </c>
      <c r="Q117" t="s">
        <v>129</v>
      </c>
      <c r="R117" t="s">
        <v>128</v>
      </c>
      <c r="S117" t="s">
        <v>130</v>
      </c>
      <c r="T117" t="s">
        <v>2211</v>
      </c>
      <c r="U117">
        <f t="shared" si="6"/>
        <v>10</v>
      </c>
      <c r="V117" t="b">
        <f t="shared" si="7"/>
        <v>0</v>
      </c>
      <c r="W117" t="b">
        <f t="shared" si="8"/>
        <v>0</v>
      </c>
      <c r="X117" t="b">
        <f t="shared" si="9"/>
        <v>0</v>
      </c>
      <c r="Y117" t="b">
        <f t="shared" si="10"/>
        <v>0</v>
      </c>
      <c r="Z117" t="b">
        <f t="shared" si="11"/>
        <v>0</v>
      </c>
    </row>
    <row r="118" spans="1:26" ht="15" customHeight="1">
      <c r="A118" t="s">
        <v>2649</v>
      </c>
      <c r="B118" t="s">
        <v>887</v>
      </c>
      <c r="C118" t="s">
        <v>2347</v>
      </c>
      <c r="D118" t="s">
        <v>2650</v>
      </c>
      <c r="E118" s="14">
        <v>45974</v>
      </c>
      <c r="F118" s="14">
        <v>45975</v>
      </c>
      <c r="G118" s="14">
        <v>46005</v>
      </c>
      <c r="H118" s="15">
        <v>52652.36</v>
      </c>
      <c r="I118" s="15">
        <v>6867.7</v>
      </c>
      <c r="J118" s="15">
        <v>45784.66</v>
      </c>
      <c r="K118" t="s">
        <v>2651</v>
      </c>
      <c r="L118" t="s">
        <v>2652</v>
      </c>
      <c r="N118" s="14"/>
      <c r="O118" t="s">
        <v>288</v>
      </c>
      <c r="P118" t="s">
        <v>2293</v>
      </c>
      <c r="Q118" t="s">
        <v>128</v>
      </c>
      <c r="R118" t="s">
        <v>151</v>
      </c>
      <c r="S118" t="s">
        <v>130</v>
      </c>
      <c r="T118" t="s">
        <v>2224</v>
      </c>
      <c r="U118">
        <f t="shared" si="6"/>
        <v>1</v>
      </c>
      <c r="V118" t="b">
        <f t="shared" si="7"/>
        <v>0</v>
      </c>
      <c r="W118" t="b">
        <f t="shared" si="8"/>
        <v>0</v>
      </c>
      <c r="X118" t="b">
        <f t="shared" si="9"/>
        <v>0</v>
      </c>
      <c r="Y118" t="b">
        <f t="shared" si="10"/>
        <v>0</v>
      </c>
      <c r="Z118" t="b">
        <f t="shared" si="11"/>
        <v>0</v>
      </c>
    </row>
    <row r="119" spans="1:26" ht="15" customHeight="1">
      <c r="A119" t="s">
        <v>2653</v>
      </c>
      <c r="B119" t="s">
        <v>705</v>
      </c>
      <c r="C119" t="s">
        <v>2237</v>
      </c>
      <c r="D119" t="s">
        <v>2654</v>
      </c>
      <c r="E119" s="14">
        <v>45694</v>
      </c>
      <c r="F119" s="14">
        <v>45699</v>
      </c>
      <c r="G119" s="14">
        <v>45729</v>
      </c>
      <c r="H119" s="15">
        <v>22065.42</v>
      </c>
      <c r="I119" s="15">
        <v>2878.1</v>
      </c>
      <c r="J119" s="15">
        <v>19187.32</v>
      </c>
      <c r="K119" t="s">
        <v>2655</v>
      </c>
      <c r="M119" t="s">
        <v>2656</v>
      </c>
      <c r="N119" s="14">
        <v>45740</v>
      </c>
      <c r="O119" t="s">
        <v>2209</v>
      </c>
      <c r="P119" t="s">
        <v>2257</v>
      </c>
      <c r="Q119" t="s">
        <v>140</v>
      </c>
      <c r="R119" t="s">
        <v>150</v>
      </c>
      <c r="S119" t="s">
        <v>130</v>
      </c>
      <c r="T119" t="s">
        <v>2211</v>
      </c>
      <c r="U119">
        <f t="shared" si="6"/>
        <v>5</v>
      </c>
      <c r="V119" t="b">
        <f t="shared" si="7"/>
        <v>0</v>
      </c>
      <c r="W119" t="b">
        <f t="shared" si="8"/>
        <v>0</v>
      </c>
      <c r="X119" t="b">
        <f t="shared" si="9"/>
        <v>0</v>
      </c>
      <c r="Y119" t="b">
        <f t="shared" si="10"/>
        <v>0</v>
      </c>
      <c r="Z119" t="b">
        <f t="shared" si="11"/>
        <v>0</v>
      </c>
    </row>
    <row r="120" spans="1:26" ht="15" customHeight="1">
      <c r="A120" t="s">
        <v>2657</v>
      </c>
      <c r="B120" t="s">
        <v>322</v>
      </c>
      <c r="C120" t="s">
        <v>2213</v>
      </c>
      <c r="D120" t="s">
        <v>2658</v>
      </c>
      <c r="E120" s="14">
        <v>45770</v>
      </c>
      <c r="F120" s="14">
        <v>45775</v>
      </c>
      <c r="G120" s="14">
        <v>45805</v>
      </c>
      <c r="H120" s="15">
        <v>1668.98</v>
      </c>
      <c r="I120" s="15">
        <v>217.69</v>
      </c>
      <c r="J120" s="15">
        <v>1451.29</v>
      </c>
      <c r="K120" t="s">
        <v>2659</v>
      </c>
      <c r="M120" t="s">
        <v>2660</v>
      </c>
      <c r="N120" s="14">
        <v>45813</v>
      </c>
      <c r="O120" t="s">
        <v>2209</v>
      </c>
      <c r="P120" t="s">
        <v>2217</v>
      </c>
      <c r="Q120" t="s">
        <v>129</v>
      </c>
      <c r="R120" t="s">
        <v>150</v>
      </c>
      <c r="S120" t="s">
        <v>130</v>
      </c>
      <c r="T120" t="s">
        <v>2211</v>
      </c>
      <c r="U120">
        <f t="shared" si="6"/>
        <v>5</v>
      </c>
      <c r="V120" t="b">
        <f t="shared" si="7"/>
        <v>0</v>
      </c>
      <c r="W120" t="b">
        <f t="shared" si="8"/>
        <v>0</v>
      </c>
      <c r="X120" t="b">
        <f t="shared" si="9"/>
        <v>0</v>
      </c>
      <c r="Y120" t="b">
        <f t="shared" si="10"/>
        <v>0</v>
      </c>
      <c r="Z120" t="b">
        <f t="shared" si="11"/>
        <v>0</v>
      </c>
    </row>
    <row r="121" spans="1:26" ht="15" customHeight="1">
      <c r="A121" t="s">
        <v>2661</v>
      </c>
      <c r="B121" t="s">
        <v>349</v>
      </c>
      <c r="C121" t="s">
        <v>2245</v>
      </c>
      <c r="D121" t="s">
        <v>2662</v>
      </c>
      <c r="E121" s="14">
        <v>45674</v>
      </c>
      <c r="F121" s="14">
        <v>45681</v>
      </c>
      <c r="G121" s="14">
        <v>45711</v>
      </c>
      <c r="H121" s="15">
        <v>49412.38</v>
      </c>
      <c r="I121" s="15">
        <v>6445.09</v>
      </c>
      <c r="J121" s="15">
        <v>42967.29</v>
      </c>
      <c r="K121" t="s">
        <v>2663</v>
      </c>
      <c r="L121" t="s">
        <v>2664</v>
      </c>
      <c r="M121" t="s">
        <v>2665</v>
      </c>
      <c r="N121" s="14">
        <v>45709</v>
      </c>
      <c r="O121" t="s">
        <v>2209</v>
      </c>
      <c r="P121" t="s">
        <v>2231</v>
      </c>
      <c r="Q121" t="s">
        <v>128</v>
      </c>
      <c r="R121" t="s">
        <v>129</v>
      </c>
      <c r="S121" t="s">
        <v>130</v>
      </c>
      <c r="T121" t="s">
        <v>2224</v>
      </c>
      <c r="U121">
        <f t="shared" si="6"/>
        <v>7</v>
      </c>
      <c r="V121" t="b">
        <f t="shared" si="7"/>
        <v>0</v>
      </c>
      <c r="W121" t="b">
        <f t="shared" si="8"/>
        <v>0</v>
      </c>
      <c r="X121" t="b">
        <f t="shared" si="9"/>
        <v>0</v>
      </c>
      <c r="Y121" t="b">
        <f t="shared" si="10"/>
        <v>0</v>
      </c>
      <c r="Z121" t="b">
        <f t="shared" si="11"/>
        <v>0</v>
      </c>
    </row>
    <row r="122" spans="1:26" ht="15" customHeight="1">
      <c r="A122" t="s">
        <v>2666</v>
      </c>
      <c r="B122" t="s">
        <v>440</v>
      </c>
      <c r="C122" t="s">
        <v>2307</v>
      </c>
      <c r="D122" t="s">
        <v>2667</v>
      </c>
      <c r="E122" s="14">
        <v>45864</v>
      </c>
      <c r="F122" s="14">
        <v>45874</v>
      </c>
      <c r="G122" s="14">
        <v>45904</v>
      </c>
      <c r="H122" s="15">
        <v>31177.96</v>
      </c>
      <c r="I122" s="15">
        <v>4066.69</v>
      </c>
      <c r="J122" s="15">
        <v>27111.27</v>
      </c>
      <c r="K122" t="s">
        <v>2668</v>
      </c>
      <c r="L122" t="s">
        <v>2669</v>
      </c>
      <c r="M122" t="s">
        <v>2670</v>
      </c>
      <c r="N122" s="14">
        <v>45902</v>
      </c>
      <c r="O122" t="s">
        <v>2209</v>
      </c>
      <c r="P122" t="s">
        <v>2223</v>
      </c>
      <c r="Q122" t="s">
        <v>175</v>
      </c>
      <c r="R122" t="s">
        <v>175</v>
      </c>
      <c r="S122" t="s">
        <v>130</v>
      </c>
      <c r="T122" t="s">
        <v>2224</v>
      </c>
      <c r="U122">
        <f t="shared" si="6"/>
        <v>10</v>
      </c>
      <c r="V122" t="b">
        <f t="shared" si="7"/>
        <v>0</v>
      </c>
      <c r="W122" t="b">
        <f t="shared" si="8"/>
        <v>0</v>
      </c>
      <c r="X122" t="b">
        <f t="shared" si="9"/>
        <v>0</v>
      </c>
      <c r="Y122" t="b">
        <f t="shared" si="10"/>
        <v>0</v>
      </c>
      <c r="Z122" t="b">
        <f t="shared" si="11"/>
        <v>0</v>
      </c>
    </row>
    <row r="123" spans="1:26" ht="15" customHeight="1">
      <c r="A123" t="s">
        <v>2671</v>
      </c>
      <c r="B123" t="s">
        <v>887</v>
      </c>
      <c r="C123" t="s">
        <v>2347</v>
      </c>
      <c r="D123" t="s">
        <v>2672</v>
      </c>
      <c r="E123" s="14">
        <v>45983</v>
      </c>
      <c r="F123" s="14">
        <v>45983</v>
      </c>
      <c r="G123" s="14">
        <v>46013</v>
      </c>
      <c r="H123" s="15">
        <v>16438.03</v>
      </c>
      <c r="I123" s="15">
        <v>2144.09</v>
      </c>
      <c r="J123" s="15">
        <v>14293.94</v>
      </c>
      <c r="K123" t="s">
        <v>2673</v>
      </c>
      <c r="M123" t="s">
        <v>2674</v>
      </c>
      <c r="N123" s="14">
        <v>45995</v>
      </c>
      <c r="O123" t="s">
        <v>2209</v>
      </c>
      <c r="P123" t="s">
        <v>2210</v>
      </c>
      <c r="Q123" t="s">
        <v>151</v>
      </c>
      <c r="R123" t="s">
        <v>150</v>
      </c>
      <c r="S123" t="s">
        <v>130</v>
      </c>
      <c r="T123" t="s">
        <v>2211</v>
      </c>
      <c r="U123">
        <f t="shared" si="6"/>
        <v>0</v>
      </c>
      <c r="V123" t="b">
        <f t="shared" si="7"/>
        <v>0</v>
      </c>
      <c r="W123" t="b">
        <f t="shared" si="8"/>
        <v>0</v>
      </c>
      <c r="X123" t="b">
        <f t="shared" si="9"/>
        <v>0</v>
      </c>
      <c r="Y123" t="b">
        <f t="shared" si="10"/>
        <v>0</v>
      </c>
      <c r="Z123" t="b">
        <f t="shared" si="11"/>
        <v>0</v>
      </c>
    </row>
    <row r="124" spans="1:26" ht="15" customHeight="1">
      <c r="A124" t="s">
        <v>2675</v>
      </c>
      <c r="B124" t="s">
        <v>887</v>
      </c>
      <c r="C124" t="s">
        <v>2347</v>
      </c>
      <c r="D124" t="s">
        <v>2676</v>
      </c>
      <c r="E124" s="14">
        <v>45663</v>
      </c>
      <c r="F124" s="14">
        <v>45693</v>
      </c>
      <c r="G124" s="14">
        <v>45723</v>
      </c>
      <c r="H124" s="15">
        <v>33247.5</v>
      </c>
      <c r="I124" s="15">
        <v>4336.63</v>
      </c>
      <c r="J124" s="15">
        <v>28910.87</v>
      </c>
      <c r="K124" t="s">
        <v>2677</v>
      </c>
      <c r="L124" t="s">
        <v>2678</v>
      </c>
      <c r="M124" t="s">
        <v>2679</v>
      </c>
      <c r="N124" s="14">
        <v>45733</v>
      </c>
      <c r="O124" t="s">
        <v>2209</v>
      </c>
      <c r="P124" t="s">
        <v>2223</v>
      </c>
      <c r="Q124" t="s">
        <v>128</v>
      </c>
      <c r="R124" t="s">
        <v>129</v>
      </c>
      <c r="S124" t="s">
        <v>130</v>
      </c>
      <c r="T124" t="s">
        <v>2224</v>
      </c>
      <c r="U124">
        <f t="shared" si="6"/>
        <v>30</v>
      </c>
      <c r="V124" t="b">
        <f t="shared" si="7"/>
        <v>0</v>
      </c>
      <c r="W124" t="b">
        <f t="shared" si="8"/>
        <v>0</v>
      </c>
      <c r="X124" t="b">
        <f t="shared" si="9"/>
        <v>0</v>
      </c>
      <c r="Y124" t="b">
        <f t="shared" si="10"/>
        <v>0</v>
      </c>
      <c r="Z124" t="b">
        <f t="shared" si="11"/>
        <v>0</v>
      </c>
    </row>
    <row r="125" spans="1:26" ht="15" customHeight="1">
      <c r="A125" t="s">
        <v>2680</v>
      </c>
      <c r="B125" t="s">
        <v>782</v>
      </c>
      <c r="C125" t="s">
        <v>2205</v>
      </c>
      <c r="D125" t="s">
        <v>2681</v>
      </c>
      <c r="E125" s="14">
        <v>45788</v>
      </c>
      <c r="F125" s="14">
        <v>45793</v>
      </c>
      <c r="G125" s="14">
        <v>45823</v>
      </c>
      <c r="H125" s="15">
        <v>56349.79</v>
      </c>
      <c r="I125" s="15">
        <v>7349.97</v>
      </c>
      <c r="J125" s="15">
        <v>48999.82</v>
      </c>
      <c r="K125" t="s">
        <v>2682</v>
      </c>
      <c r="L125" t="s">
        <v>2683</v>
      </c>
      <c r="M125" t="s">
        <v>2684</v>
      </c>
      <c r="N125" s="14">
        <v>45825</v>
      </c>
      <c r="O125" t="s">
        <v>2209</v>
      </c>
      <c r="P125" t="s">
        <v>2293</v>
      </c>
      <c r="Q125" t="s">
        <v>128</v>
      </c>
      <c r="R125" t="s">
        <v>129</v>
      </c>
      <c r="S125" t="s">
        <v>130</v>
      </c>
      <c r="T125" t="s">
        <v>2224</v>
      </c>
      <c r="U125">
        <f t="shared" si="6"/>
        <v>5</v>
      </c>
      <c r="V125" t="b">
        <f t="shared" si="7"/>
        <v>0</v>
      </c>
      <c r="W125" t="b">
        <f t="shared" si="8"/>
        <v>0</v>
      </c>
      <c r="X125" t="b">
        <f t="shared" si="9"/>
        <v>0</v>
      </c>
      <c r="Y125" t="b">
        <f t="shared" si="10"/>
        <v>0</v>
      </c>
      <c r="Z125" t="b">
        <f t="shared" si="11"/>
        <v>0</v>
      </c>
    </row>
    <row r="126" spans="1:26" ht="15" customHeight="1">
      <c r="A126" t="s">
        <v>2685</v>
      </c>
      <c r="B126" t="s">
        <v>887</v>
      </c>
      <c r="C126" t="s">
        <v>2347</v>
      </c>
      <c r="D126" t="s">
        <v>2686</v>
      </c>
      <c r="E126" s="14">
        <v>45702</v>
      </c>
      <c r="F126" s="14">
        <v>45707</v>
      </c>
      <c r="G126" s="14">
        <v>45737</v>
      </c>
      <c r="H126" s="15">
        <v>54292.36</v>
      </c>
      <c r="I126" s="15">
        <v>7081.61</v>
      </c>
      <c r="J126" s="15">
        <v>47210.75</v>
      </c>
      <c r="K126" t="s">
        <v>2687</v>
      </c>
      <c r="L126" t="s">
        <v>2688</v>
      </c>
      <c r="M126" t="s">
        <v>2689</v>
      </c>
      <c r="N126" s="14">
        <v>45739</v>
      </c>
      <c r="O126" t="s">
        <v>2209</v>
      </c>
      <c r="P126" t="s">
        <v>2231</v>
      </c>
      <c r="Q126" t="s">
        <v>129</v>
      </c>
      <c r="R126" t="s">
        <v>129</v>
      </c>
      <c r="S126" t="s">
        <v>130</v>
      </c>
      <c r="T126" t="s">
        <v>2224</v>
      </c>
      <c r="U126">
        <f t="shared" si="6"/>
        <v>5</v>
      </c>
      <c r="V126" t="b">
        <f t="shared" si="7"/>
        <v>0</v>
      </c>
      <c r="W126" t="b">
        <f t="shared" si="8"/>
        <v>0</v>
      </c>
      <c r="X126" t="b">
        <f t="shared" si="9"/>
        <v>0</v>
      </c>
      <c r="Y126" t="b">
        <f t="shared" si="10"/>
        <v>0</v>
      </c>
      <c r="Z126" t="b">
        <f t="shared" si="11"/>
        <v>0</v>
      </c>
    </row>
    <row r="127" spans="1:26" ht="15" customHeight="1">
      <c r="A127" t="s">
        <v>2690</v>
      </c>
      <c r="B127" t="s">
        <v>705</v>
      </c>
      <c r="C127" t="s">
        <v>2237</v>
      </c>
      <c r="D127" t="s">
        <v>2691</v>
      </c>
      <c r="E127" s="14">
        <v>45728</v>
      </c>
      <c r="F127" s="14">
        <v>45733</v>
      </c>
      <c r="G127" s="14">
        <v>45763</v>
      </c>
      <c r="H127" s="15">
        <v>12931.45</v>
      </c>
      <c r="I127" s="15">
        <v>1686.71</v>
      </c>
      <c r="J127" s="15">
        <v>11244.74</v>
      </c>
      <c r="K127" t="s">
        <v>2692</v>
      </c>
      <c r="L127" t="s">
        <v>2693</v>
      </c>
      <c r="N127" s="14"/>
      <c r="O127" t="s">
        <v>288</v>
      </c>
      <c r="P127" t="s">
        <v>2293</v>
      </c>
      <c r="Q127" t="s">
        <v>128</v>
      </c>
      <c r="R127" t="s">
        <v>129</v>
      </c>
      <c r="S127" t="s">
        <v>130</v>
      </c>
      <c r="T127" t="s">
        <v>2224</v>
      </c>
      <c r="U127">
        <f t="shared" si="6"/>
        <v>5</v>
      </c>
      <c r="V127" t="b">
        <f t="shared" si="7"/>
        <v>0</v>
      </c>
      <c r="W127" t="b">
        <f t="shared" si="8"/>
        <v>0</v>
      </c>
      <c r="X127" t="b">
        <f t="shared" si="9"/>
        <v>0</v>
      </c>
      <c r="Y127" t="b">
        <f t="shared" si="10"/>
        <v>0</v>
      </c>
      <c r="Z127" t="b">
        <f t="shared" si="11"/>
        <v>0</v>
      </c>
    </row>
    <row r="128" spans="1:26" ht="15" customHeight="1">
      <c r="A128" t="s">
        <v>2694</v>
      </c>
      <c r="B128" t="s">
        <v>322</v>
      </c>
      <c r="C128" t="s">
        <v>2213</v>
      </c>
      <c r="D128" t="s">
        <v>2695</v>
      </c>
      <c r="E128" s="14">
        <v>45841</v>
      </c>
      <c r="F128" s="14">
        <v>45843</v>
      </c>
      <c r="G128" s="14">
        <v>45873</v>
      </c>
      <c r="H128" s="15">
        <v>33418.06</v>
      </c>
      <c r="I128" s="15">
        <v>4358.88</v>
      </c>
      <c r="J128" s="15">
        <v>29059.18</v>
      </c>
      <c r="K128" t="s">
        <v>2696</v>
      </c>
      <c r="M128" t="s">
        <v>2697</v>
      </c>
      <c r="N128" s="14">
        <v>45882</v>
      </c>
      <c r="O128" t="s">
        <v>2209</v>
      </c>
      <c r="P128" t="s">
        <v>2243</v>
      </c>
      <c r="Q128" t="s">
        <v>129</v>
      </c>
      <c r="R128" t="s">
        <v>175</v>
      </c>
      <c r="S128" t="s">
        <v>130</v>
      </c>
      <c r="T128" t="s">
        <v>2211</v>
      </c>
      <c r="U128">
        <f t="shared" si="6"/>
        <v>2</v>
      </c>
      <c r="V128" t="b">
        <f t="shared" si="7"/>
        <v>0</v>
      </c>
      <c r="W128" t="b">
        <f t="shared" si="8"/>
        <v>0</v>
      </c>
      <c r="X128" t="b">
        <f t="shared" si="9"/>
        <v>0</v>
      </c>
      <c r="Y128" t="b">
        <f t="shared" si="10"/>
        <v>0</v>
      </c>
      <c r="Z128" t="b">
        <f t="shared" si="11"/>
        <v>0</v>
      </c>
    </row>
    <row r="129" spans="1:26" ht="15" customHeight="1">
      <c r="A129" t="s">
        <v>680</v>
      </c>
      <c r="B129" t="s">
        <v>229</v>
      </c>
      <c r="C129" t="s">
        <v>2263</v>
      </c>
      <c r="D129" t="s">
        <v>2698</v>
      </c>
      <c r="E129" s="14">
        <v>45967</v>
      </c>
      <c r="F129" s="14">
        <v>45977</v>
      </c>
      <c r="G129" s="14">
        <v>46007</v>
      </c>
      <c r="H129" s="15">
        <v>62043.55</v>
      </c>
      <c r="I129" s="15">
        <v>8092.64</v>
      </c>
      <c r="J129" s="15">
        <v>53950.91</v>
      </c>
      <c r="K129" t="s">
        <v>2699</v>
      </c>
      <c r="L129" t="s">
        <v>2700</v>
      </c>
      <c r="M129" t="s">
        <v>2701</v>
      </c>
      <c r="N129" s="14">
        <v>46009</v>
      </c>
      <c r="O129" t="s">
        <v>2209</v>
      </c>
      <c r="P129" t="s">
        <v>2293</v>
      </c>
      <c r="Q129" t="s">
        <v>150</v>
      </c>
      <c r="R129" t="s">
        <v>129</v>
      </c>
      <c r="S129" t="s">
        <v>130</v>
      </c>
      <c r="T129" t="s">
        <v>2224</v>
      </c>
      <c r="U129">
        <f t="shared" si="6"/>
        <v>10</v>
      </c>
      <c r="V129" t="b">
        <f t="shared" si="7"/>
        <v>0</v>
      </c>
      <c r="W129" t="b">
        <f t="shared" si="8"/>
        <v>0</v>
      </c>
      <c r="X129" t="b">
        <f t="shared" si="9"/>
        <v>0</v>
      </c>
      <c r="Y129" t="b">
        <f t="shared" si="10"/>
        <v>0</v>
      </c>
      <c r="Z129" t="b">
        <f t="shared" si="11"/>
        <v>0</v>
      </c>
    </row>
    <row r="130" spans="1:26" ht="15" customHeight="1">
      <c r="A130" t="s">
        <v>2702</v>
      </c>
      <c r="B130" t="s">
        <v>322</v>
      </c>
      <c r="C130" t="s">
        <v>2213</v>
      </c>
      <c r="D130" t="s">
        <v>2703</v>
      </c>
      <c r="E130" s="14">
        <v>45915</v>
      </c>
      <c r="F130" s="14">
        <v>45925</v>
      </c>
      <c r="G130" s="14">
        <v>45955</v>
      </c>
      <c r="H130" s="15">
        <v>60550.35</v>
      </c>
      <c r="I130" s="15">
        <v>7897.87</v>
      </c>
      <c r="J130" s="15">
        <v>52652.480000000003</v>
      </c>
      <c r="K130" t="s">
        <v>2704</v>
      </c>
      <c r="M130" t="s">
        <v>2705</v>
      </c>
      <c r="N130" s="14">
        <v>45930</v>
      </c>
      <c r="O130" t="s">
        <v>2209</v>
      </c>
      <c r="P130" t="s">
        <v>2257</v>
      </c>
      <c r="Q130" t="s">
        <v>150</v>
      </c>
      <c r="R130" t="s">
        <v>128</v>
      </c>
      <c r="S130" t="s">
        <v>130</v>
      </c>
      <c r="T130" t="s">
        <v>2211</v>
      </c>
      <c r="U130">
        <f t="shared" si="6"/>
        <v>10</v>
      </c>
      <c r="V130" t="b">
        <f t="shared" si="7"/>
        <v>0</v>
      </c>
      <c r="W130" t="b">
        <f t="shared" si="8"/>
        <v>0</v>
      </c>
      <c r="X130" t="b">
        <f t="shared" si="9"/>
        <v>0</v>
      </c>
      <c r="Y130" t="b">
        <f t="shared" si="10"/>
        <v>0</v>
      </c>
      <c r="Z130" t="b">
        <f t="shared" si="11"/>
        <v>0</v>
      </c>
    </row>
    <row r="131" spans="1:26" ht="15" customHeight="1">
      <c r="A131" t="s">
        <v>2706</v>
      </c>
      <c r="B131" t="s">
        <v>251</v>
      </c>
      <c r="C131" t="s">
        <v>2218</v>
      </c>
      <c r="D131" t="s">
        <v>2707</v>
      </c>
      <c r="E131" s="14">
        <v>45961</v>
      </c>
      <c r="F131" s="14">
        <v>45968</v>
      </c>
      <c r="G131" s="14">
        <v>45998</v>
      </c>
      <c r="H131" s="15">
        <v>68287.55</v>
      </c>
      <c r="I131" s="15">
        <v>8907.07</v>
      </c>
      <c r="J131" s="15">
        <v>59380.480000000003</v>
      </c>
      <c r="K131" t="s">
        <v>2708</v>
      </c>
      <c r="N131" s="14"/>
      <c r="O131" t="s">
        <v>288</v>
      </c>
      <c r="P131" t="s">
        <v>2243</v>
      </c>
      <c r="Q131" t="s">
        <v>175</v>
      </c>
      <c r="R131" t="s">
        <v>129</v>
      </c>
      <c r="S131" t="s">
        <v>130</v>
      </c>
      <c r="T131" t="s">
        <v>2211</v>
      </c>
      <c r="U131">
        <f t="shared" si="6"/>
        <v>7</v>
      </c>
      <c r="V131" t="b">
        <f t="shared" si="7"/>
        <v>0</v>
      </c>
      <c r="W131" t="b">
        <f t="shared" si="8"/>
        <v>0</v>
      </c>
      <c r="X131" t="b">
        <f t="shared" si="9"/>
        <v>0</v>
      </c>
      <c r="Y131" t="b">
        <f t="shared" si="10"/>
        <v>0</v>
      </c>
      <c r="Z131" t="b">
        <f t="shared" si="11"/>
        <v>0</v>
      </c>
    </row>
    <row r="132" spans="1:26" ht="15" customHeight="1">
      <c r="A132" t="s">
        <v>1894</v>
      </c>
      <c r="B132" t="s">
        <v>212</v>
      </c>
      <c r="C132" t="s">
        <v>2226</v>
      </c>
      <c r="D132" t="s">
        <v>2709</v>
      </c>
      <c r="E132" s="14">
        <v>45905</v>
      </c>
      <c r="F132" s="14">
        <v>45912</v>
      </c>
      <c r="G132" s="14">
        <v>45942</v>
      </c>
      <c r="H132" s="15">
        <v>37657.99</v>
      </c>
      <c r="I132" s="15">
        <v>4911.91</v>
      </c>
      <c r="J132" s="15">
        <v>32746.080000000002</v>
      </c>
      <c r="K132" t="s">
        <v>2710</v>
      </c>
      <c r="M132" t="s">
        <v>2711</v>
      </c>
      <c r="N132" s="14">
        <v>45936</v>
      </c>
      <c r="O132" t="s">
        <v>2209</v>
      </c>
      <c r="P132" t="s">
        <v>2257</v>
      </c>
      <c r="Q132" t="s">
        <v>151</v>
      </c>
      <c r="R132" t="s">
        <v>151</v>
      </c>
      <c r="S132" t="s">
        <v>130</v>
      </c>
      <c r="T132" t="s">
        <v>2211</v>
      </c>
      <c r="U132">
        <f t="shared" si="6"/>
        <v>7</v>
      </c>
      <c r="V132" t="b">
        <f t="shared" si="7"/>
        <v>0</v>
      </c>
      <c r="W132" t="b">
        <f t="shared" si="8"/>
        <v>0</v>
      </c>
      <c r="X132" t="b">
        <f t="shared" si="9"/>
        <v>0</v>
      </c>
      <c r="Y132" t="b">
        <f t="shared" si="10"/>
        <v>0</v>
      </c>
      <c r="Z132" t="b">
        <f t="shared" si="11"/>
        <v>0</v>
      </c>
    </row>
    <row r="133" spans="1:26" ht="15" customHeight="1">
      <c r="A133" t="s">
        <v>2712</v>
      </c>
      <c r="B133" t="s">
        <v>212</v>
      </c>
      <c r="C133" t="s">
        <v>2226</v>
      </c>
      <c r="D133" t="s">
        <v>2713</v>
      </c>
      <c r="E133" s="14">
        <v>45667</v>
      </c>
      <c r="F133" s="14">
        <v>45672</v>
      </c>
      <c r="G133" s="14">
        <v>45702</v>
      </c>
      <c r="H133" s="15">
        <v>42094.35</v>
      </c>
      <c r="I133" s="15">
        <v>5490.57</v>
      </c>
      <c r="J133" s="15">
        <v>36603.78</v>
      </c>
      <c r="K133" t="s">
        <v>2714</v>
      </c>
      <c r="N133" s="14"/>
      <c r="O133" t="s">
        <v>288</v>
      </c>
      <c r="P133" t="s">
        <v>2257</v>
      </c>
      <c r="Q133" t="s">
        <v>129</v>
      </c>
      <c r="R133" t="s">
        <v>151</v>
      </c>
      <c r="S133" t="s">
        <v>130</v>
      </c>
      <c r="T133" t="s">
        <v>2211</v>
      </c>
      <c r="U133">
        <f t="shared" ref="U133:U196" si="12">F133-E133</f>
        <v>5</v>
      </c>
      <c r="V133" t="b">
        <f t="shared" ref="V133:V196" si="13">H133&gt;High_Value_AP_Threshold</f>
        <v>0</v>
      </c>
      <c r="W133" t="b">
        <f t="shared" ref="W133:W196" si="14">COUNTIFS($B$5:$B$304,B133,$D$5:$D$304,D133)&gt;1</f>
        <v>0</v>
      </c>
      <c r="X133" t="b">
        <f t="shared" ref="X133:X196" si="15">AND(K133="",P133&lt;&gt;"Utility service",P133&lt;&gt;"Campaign services")</f>
        <v>0</v>
      </c>
      <c r="Y133" t="b">
        <f t="shared" ref="Y133:Y196" si="16">AND(L133="",OR(P133="Merchandise replenishment",P133="Office supplies",P133="Transport and logistics"))</f>
        <v>0</v>
      </c>
      <c r="Z133" t="b">
        <f t="shared" ref="Z133:Z196" si="17">OR(F133&gt;Year_End_Window_End,AND(E133&gt;=Year_End_Window_Start,F133&gt;=Year_End_Window_Start))</f>
        <v>0</v>
      </c>
    </row>
    <row r="134" spans="1:26" ht="15" customHeight="1">
      <c r="A134" t="s">
        <v>2715</v>
      </c>
      <c r="B134" t="s">
        <v>782</v>
      </c>
      <c r="C134" t="s">
        <v>2205</v>
      </c>
      <c r="D134" t="s">
        <v>2716</v>
      </c>
      <c r="E134" s="14">
        <v>45739</v>
      </c>
      <c r="F134" s="14">
        <v>45741</v>
      </c>
      <c r="G134" s="14">
        <v>45771</v>
      </c>
      <c r="H134" s="15">
        <v>34701.120000000003</v>
      </c>
      <c r="I134" s="15">
        <v>4526.2299999999996</v>
      </c>
      <c r="J134" s="15">
        <v>30174.89</v>
      </c>
      <c r="K134" t="s">
        <v>2717</v>
      </c>
      <c r="L134" t="s">
        <v>2718</v>
      </c>
      <c r="M134" t="s">
        <v>2719</v>
      </c>
      <c r="N134" s="14">
        <v>45772</v>
      </c>
      <c r="O134" t="s">
        <v>2209</v>
      </c>
      <c r="P134" t="s">
        <v>2223</v>
      </c>
      <c r="Q134" t="s">
        <v>151</v>
      </c>
      <c r="R134" t="s">
        <v>175</v>
      </c>
      <c r="S134" t="s">
        <v>130</v>
      </c>
      <c r="T134" t="s">
        <v>2224</v>
      </c>
      <c r="U134">
        <f t="shared" si="12"/>
        <v>2</v>
      </c>
      <c r="V134" t="b">
        <f t="shared" si="13"/>
        <v>0</v>
      </c>
      <c r="W134" t="b">
        <f t="shared" si="14"/>
        <v>0</v>
      </c>
      <c r="X134" t="b">
        <f t="shared" si="15"/>
        <v>0</v>
      </c>
      <c r="Y134" t="b">
        <f t="shared" si="16"/>
        <v>0</v>
      </c>
      <c r="Z134" t="b">
        <f t="shared" si="17"/>
        <v>0</v>
      </c>
    </row>
    <row r="135" spans="1:26" ht="15" customHeight="1">
      <c r="A135" t="s">
        <v>704</v>
      </c>
      <c r="B135" t="s">
        <v>705</v>
      </c>
      <c r="C135" t="s">
        <v>2237</v>
      </c>
      <c r="D135" t="s">
        <v>2720</v>
      </c>
      <c r="E135" s="14">
        <v>45795</v>
      </c>
      <c r="F135" s="14">
        <v>45800</v>
      </c>
      <c r="G135" s="14">
        <v>45830</v>
      </c>
      <c r="H135" s="15">
        <v>36835.5</v>
      </c>
      <c r="I135" s="15">
        <v>4804.63</v>
      </c>
      <c r="J135" s="15">
        <v>32030.87</v>
      </c>
      <c r="M135" t="s">
        <v>2721</v>
      </c>
      <c r="N135" s="14">
        <v>45839</v>
      </c>
      <c r="O135" t="s">
        <v>2209</v>
      </c>
      <c r="P135" t="s">
        <v>2217</v>
      </c>
      <c r="Q135" t="s">
        <v>128</v>
      </c>
      <c r="R135" t="s">
        <v>175</v>
      </c>
      <c r="S135" t="s">
        <v>130</v>
      </c>
      <c r="T135" t="s">
        <v>2251</v>
      </c>
      <c r="U135">
        <f t="shared" si="12"/>
        <v>5</v>
      </c>
      <c r="V135" t="b">
        <f t="shared" si="13"/>
        <v>0</v>
      </c>
      <c r="W135" t="b">
        <f t="shared" si="14"/>
        <v>0</v>
      </c>
      <c r="X135" t="b">
        <f t="shared" si="15"/>
        <v>0</v>
      </c>
      <c r="Y135" t="b">
        <f t="shared" si="16"/>
        <v>0</v>
      </c>
      <c r="Z135" t="b">
        <f t="shared" si="17"/>
        <v>0</v>
      </c>
    </row>
    <row r="136" spans="1:26" ht="15" customHeight="1">
      <c r="A136" t="s">
        <v>709</v>
      </c>
      <c r="B136" t="s">
        <v>229</v>
      </c>
      <c r="C136" t="s">
        <v>2263</v>
      </c>
      <c r="D136" t="s">
        <v>2722</v>
      </c>
      <c r="E136" s="14">
        <v>45695</v>
      </c>
      <c r="F136" s="14">
        <v>45700</v>
      </c>
      <c r="G136" s="14">
        <v>45730</v>
      </c>
      <c r="H136" s="15">
        <v>17907.71</v>
      </c>
      <c r="I136" s="15">
        <v>2335.79</v>
      </c>
      <c r="J136" s="15">
        <v>15571.92</v>
      </c>
      <c r="K136" t="s">
        <v>2723</v>
      </c>
      <c r="M136" t="s">
        <v>2724</v>
      </c>
      <c r="N136" s="14">
        <v>45740</v>
      </c>
      <c r="O136" t="s">
        <v>2209</v>
      </c>
      <c r="P136" t="s">
        <v>2217</v>
      </c>
      <c r="Q136" t="s">
        <v>128</v>
      </c>
      <c r="R136" t="s">
        <v>128</v>
      </c>
      <c r="S136" t="s">
        <v>130</v>
      </c>
      <c r="T136" t="s">
        <v>2211</v>
      </c>
      <c r="U136">
        <f t="shared" si="12"/>
        <v>5</v>
      </c>
      <c r="V136" t="b">
        <f t="shared" si="13"/>
        <v>0</v>
      </c>
      <c r="W136" t="b">
        <f t="shared" si="14"/>
        <v>0</v>
      </c>
      <c r="X136" t="b">
        <f t="shared" si="15"/>
        <v>0</v>
      </c>
      <c r="Y136" t="b">
        <f t="shared" si="16"/>
        <v>0</v>
      </c>
      <c r="Z136" t="b">
        <f t="shared" si="17"/>
        <v>0</v>
      </c>
    </row>
    <row r="137" spans="1:26" ht="15" customHeight="1">
      <c r="A137" t="s">
        <v>2725</v>
      </c>
      <c r="B137" t="s">
        <v>229</v>
      </c>
      <c r="C137" t="s">
        <v>2263</v>
      </c>
      <c r="D137" t="s">
        <v>2726</v>
      </c>
      <c r="E137" s="14">
        <v>45888</v>
      </c>
      <c r="F137" s="14">
        <v>45903</v>
      </c>
      <c r="G137" s="14">
        <v>45933</v>
      </c>
      <c r="H137" s="15">
        <v>18892.95</v>
      </c>
      <c r="I137" s="15">
        <v>2464.3000000000002</v>
      </c>
      <c r="J137" s="15">
        <v>16428.650000000001</v>
      </c>
      <c r="K137" t="s">
        <v>2727</v>
      </c>
      <c r="L137" t="s">
        <v>2728</v>
      </c>
      <c r="M137" t="s">
        <v>2729</v>
      </c>
      <c r="N137" s="14">
        <v>45945</v>
      </c>
      <c r="O137" t="s">
        <v>2209</v>
      </c>
      <c r="P137" t="s">
        <v>2231</v>
      </c>
      <c r="Q137" t="s">
        <v>151</v>
      </c>
      <c r="R137" t="s">
        <v>150</v>
      </c>
      <c r="S137" t="s">
        <v>130</v>
      </c>
      <c r="T137" t="s">
        <v>2224</v>
      </c>
      <c r="U137">
        <f t="shared" si="12"/>
        <v>15</v>
      </c>
      <c r="V137" t="b">
        <f t="shared" si="13"/>
        <v>0</v>
      </c>
      <c r="W137" t="b">
        <f t="shared" si="14"/>
        <v>0</v>
      </c>
      <c r="X137" t="b">
        <f t="shared" si="15"/>
        <v>0</v>
      </c>
      <c r="Y137" t="b">
        <f t="shared" si="16"/>
        <v>0</v>
      </c>
      <c r="Z137" t="b">
        <f t="shared" si="17"/>
        <v>0</v>
      </c>
    </row>
    <row r="138" spans="1:26" ht="15" customHeight="1">
      <c r="A138" t="s">
        <v>2730</v>
      </c>
      <c r="B138" t="s">
        <v>705</v>
      </c>
      <c r="C138" t="s">
        <v>2237</v>
      </c>
      <c r="D138" t="s">
        <v>2731</v>
      </c>
      <c r="E138" s="14">
        <v>45953</v>
      </c>
      <c r="F138" s="14">
        <v>45953</v>
      </c>
      <c r="G138" s="14">
        <v>45983</v>
      </c>
      <c r="H138" s="15">
        <v>39206.21</v>
      </c>
      <c r="I138" s="15">
        <v>5113.8500000000004</v>
      </c>
      <c r="J138" s="15">
        <v>34092.36</v>
      </c>
      <c r="K138" t="s">
        <v>2732</v>
      </c>
      <c r="L138" t="s">
        <v>2733</v>
      </c>
      <c r="M138" t="s">
        <v>2734</v>
      </c>
      <c r="N138" s="14">
        <v>45989</v>
      </c>
      <c r="O138" t="s">
        <v>2209</v>
      </c>
      <c r="P138" t="s">
        <v>2231</v>
      </c>
      <c r="Q138" t="s">
        <v>129</v>
      </c>
      <c r="R138" t="s">
        <v>175</v>
      </c>
      <c r="S138" t="s">
        <v>130</v>
      </c>
      <c r="T138" t="s">
        <v>2224</v>
      </c>
      <c r="U138">
        <f t="shared" si="12"/>
        <v>0</v>
      </c>
      <c r="V138" t="b">
        <f t="shared" si="13"/>
        <v>0</v>
      </c>
      <c r="W138" t="b">
        <f t="shared" si="14"/>
        <v>0</v>
      </c>
      <c r="X138" t="b">
        <f t="shared" si="15"/>
        <v>0</v>
      </c>
      <c r="Y138" t="b">
        <f t="shared" si="16"/>
        <v>0</v>
      </c>
      <c r="Z138" t="b">
        <f t="shared" si="17"/>
        <v>0</v>
      </c>
    </row>
    <row r="139" spans="1:26" ht="15" customHeight="1">
      <c r="A139" t="s">
        <v>2735</v>
      </c>
      <c r="B139" t="s">
        <v>212</v>
      </c>
      <c r="C139" t="s">
        <v>2226</v>
      </c>
      <c r="D139" t="s">
        <v>2736</v>
      </c>
      <c r="E139" s="14">
        <v>45743</v>
      </c>
      <c r="F139" s="14">
        <v>45744</v>
      </c>
      <c r="G139" s="14">
        <v>45774</v>
      </c>
      <c r="H139" s="15">
        <v>66859.41</v>
      </c>
      <c r="I139" s="15">
        <v>8720.7900000000009</v>
      </c>
      <c r="J139" s="15">
        <v>58138.62</v>
      </c>
      <c r="K139" t="s">
        <v>2737</v>
      </c>
      <c r="L139" t="s">
        <v>2738</v>
      </c>
      <c r="M139" t="s">
        <v>2739</v>
      </c>
      <c r="N139" s="14">
        <v>45749</v>
      </c>
      <c r="O139" t="s">
        <v>2209</v>
      </c>
      <c r="P139" t="s">
        <v>2231</v>
      </c>
      <c r="Q139" t="s">
        <v>151</v>
      </c>
      <c r="R139" t="s">
        <v>129</v>
      </c>
      <c r="S139" t="s">
        <v>130</v>
      </c>
      <c r="T139" t="s">
        <v>2224</v>
      </c>
      <c r="U139">
        <f t="shared" si="12"/>
        <v>1</v>
      </c>
      <c r="V139" t="b">
        <f t="shared" si="13"/>
        <v>0</v>
      </c>
      <c r="W139" t="b">
        <f t="shared" si="14"/>
        <v>0</v>
      </c>
      <c r="X139" t="b">
        <f t="shared" si="15"/>
        <v>0</v>
      </c>
      <c r="Y139" t="b">
        <f t="shared" si="16"/>
        <v>0</v>
      </c>
      <c r="Z139" t="b">
        <f t="shared" si="17"/>
        <v>0</v>
      </c>
    </row>
    <row r="140" spans="1:26" ht="15" customHeight="1">
      <c r="A140" t="s">
        <v>2740</v>
      </c>
      <c r="B140" t="s">
        <v>887</v>
      </c>
      <c r="C140" t="s">
        <v>2347</v>
      </c>
      <c r="D140" t="s">
        <v>2741</v>
      </c>
      <c r="E140" s="14">
        <v>45906</v>
      </c>
      <c r="F140" s="14">
        <v>45921</v>
      </c>
      <c r="G140" s="14">
        <v>45951</v>
      </c>
      <c r="H140" s="15">
        <v>28698.54</v>
      </c>
      <c r="I140" s="15">
        <v>3743.29</v>
      </c>
      <c r="J140" s="15">
        <v>24955.25</v>
      </c>
      <c r="K140" t="s">
        <v>2742</v>
      </c>
      <c r="L140" t="s">
        <v>2743</v>
      </c>
      <c r="N140" s="14"/>
      <c r="O140" t="s">
        <v>288</v>
      </c>
      <c r="P140" t="s">
        <v>2293</v>
      </c>
      <c r="Q140" t="s">
        <v>175</v>
      </c>
      <c r="R140" t="s">
        <v>128</v>
      </c>
      <c r="S140" t="s">
        <v>130</v>
      </c>
      <c r="T140" t="s">
        <v>2224</v>
      </c>
      <c r="U140">
        <f t="shared" si="12"/>
        <v>15</v>
      </c>
      <c r="V140" t="b">
        <f t="shared" si="13"/>
        <v>0</v>
      </c>
      <c r="W140" t="b">
        <f t="shared" si="14"/>
        <v>0</v>
      </c>
      <c r="X140" t="b">
        <f t="shared" si="15"/>
        <v>0</v>
      </c>
      <c r="Y140" t="b">
        <f t="shared" si="16"/>
        <v>0</v>
      </c>
      <c r="Z140" t="b">
        <f t="shared" si="17"/>
        <v>0</v>
      </c>
    </row>
    <row r="141" spans="1:26" ht="15" customHeight="1">
      <c r="A141" t="s">
        <v>2744</v>
      </c>
      <c r="B141" t="s">
        <v>229</v>
      </c>
      <c r="C141" t="s">
        <v>2263</v>
      </c>
      <c r="D141" t="s">
        <v>2745</v>
      </c>
      <c r="E141" s="14">
        <v>45798</v>
      </c>
      <c r="F141" s="14">
        <v>45798</v>
      </c>
      <c r="G141" s="14">
        <v>45828</v>
      </c>
      <c r="H141" s="15">
        <v>73530.2</v>
      </c>
      <c r="I141" s="15">
        <v>9590.9</v>
      </c>
      <c r="J141" s="15">
        <v>63939.3</v>
      </c>
      <c r="K141" t="s">
        <v>2746</v>
      </c>
      <c r="M141" t="s">
        <v>2747</v>
      </c>
      <c r="N141" s="14">
        <v>45814</v>
      </c>
      <c r="O141" t="s">
        <v>2209</v>
      </c>
      <c r="P141" t="s">
        <v>2217</v>
      </c>
      <c r="Q141" t="s">
        <v>128</v>
      </c>
      <c r="R141" t="s">
        <v>150</v>
      </c>
      <c r="S141" t="s">
        <v>130</v>
      </c>
      <c r="T141" t="s">
        <v>2211</v>
      </c>
      <c r="U141">
        <f t="shared" si="12"/>
        <v>0</v>
      </c>
      <c r="V141" t="b">
        <f t="shared" si="13"/>
        <v>0</v>
      </c>
      <c r="W141" t="b">
        <f t="shared" si="14"/>
        <v>0</v>
      </c>
      <c r="X141" t="b">
        <f t="shared" si="15"/>
        <v>0</v>
      </c>
      <c r="Y141" t="b">
        <f t="shared" si="16"/>
        <v>0</v>
      </c>
      <c r="Z141" t="b">
        <f t="shared" si="17"/>
        <v>0</v>
      </c>
    </row>
    <row r="142" spans="1:26" ht="15" customHeight="1">
      <c r="A142" t="s">
        <v>733</v>
      </c>
      <c r="B142" t="s">
        <v>705</v>
      </c>
      <c r="C142" t="s">
        <v>2237</v>
      </c>
      <c r="D142" t="s">
        <v>2748</v>
      </c>
      <c r="E142" s="14">
        <v>45980</v>
      </c>
      <c r="F142" s="14">
        <v>45985</v>
      </c>
      <c r="G142" s="14">
        <v>46015</v>
      </c>
      <c r="H142" s="15">
        <v>52852.42</v>
      </c>
      <c r="I142" s="15">
        <v>6893.79</v>
      </c>
      <c r="J142" s="15">
        <v>45958.63</v>
      </c>
      <c r="K142" t="s">
        <v>2749</v>
      </c>
      <c r="L142" t="s">
        <v>2750</v>
      </c>
      <c r="M142" t="s">
        <v>2751</v>
      </c>
      <c r="N142" s="14">
        <v>45991</v>
      </c>
      <c r="O142" t="s">
        <v>2209</v>
      </c>
      <c r="P142" t="s">
        <v>2231</v>
      </c>
      <c r="Q142" t="s">
        <v>175</v>
      </c>
      <c r="R142" t="s">
        <v>129</v>
      </c>
      <c r="S142" t="s">
        <v>130</v>
      </c>
      <c r="T142" t="s">
        <v>2224</v>
      </c>
      <c r="U142">
        <f t="shared" si="12"/>
        <v>5</v>
      </c>
      <c r="V142" t="b">
        <f t="shared" si="13"/>
        <v>0</v>
      </c>
      <c r="W142" t="b">
        <f t="shared" si="14"/>
        <v>0</v>
      </c>
      <c r="X142" t="b">
        <f t="shared" si="15"/>
        <v>0</v>
      </c>
      <c r="Y142" t="b">
        <f t="shared" si="16"/>
        <v>0</v>
      </c>
      <c r="Z142" t="b">
        <f t="shared" si="17"/>
        <v>0</v>
      </c>
    </row>
    <row r="143" spans="1:26" ht="15" customHeight="1">
      <c r="A143" t="s">
        <v>2752</v>
      </c>
      <c r="B143" t="s">
        <v>349</v>
      </c>
      <c r="C143" t="s">
        <v>2245</v>
      </c>
      <c r="D143" t="s">
        <v>2753</v>
      </c>
      <c r="E143" s="14">
        <v>45933</v>
      </c>
      <c r="F143" s="14">
        <v>45934</v>
      </c>
      <c r="G143" s="14">
        <v>45964</v>
      </c>
      <c r="H143" s="15">
        <v>33858.07</v>
      </c>
      <c r="I143" s="15">
        <v>4416.2700000000004</v>
      </c>
      <c r="J143" s="15">
        <v>29441.8</v>
      </c>
      <c r="K143" t="s">
        <v>2754</v>
      </c>
      <c r="M143" t="s">
        <v>2755</v>
      </c>
      <c r="N143" s="14">
        <v>45952</v>
      </c>
      <c r="O143" t="s">
        <v>2209</v>
      </c>
      <c r="P143" t="s">
        <v>2217</v>
      </c>
      <c r="Q143" t="s">
        <v>140</v>
      </c>
      <c r="R143" t="s">
        <v>150</v>
      </c>
      <c r="S143" t="s">
        <v>130</v>
      </c>
      <c r="T143" t="s">
        <v>2211</v>
      </c>
      <c r="U143">
        <f t="shared" si="12"/>
        <v>1</v>
      </c>
      <c r="V143" t="b">
        <f t="shared" si="13"/>
        <v>0</v>
      </c>
      <c r="W143" t="b">
        <f t="shared" si="14"/>
        <v>0</v>
      </c>
      <c r="X143" t="b">
        <f t="shared" si="15"/>
        <v>0</v>
      </c>
      <c r="Y143" t="b">
        <f t="shared" si="16"/>
        <v>0</v>
      </c>
      <c r="Z143" t="b">
        <f t="shared" si="17"/>
        <v>0</v>
      </c>
    </row>
    <row r="144" spans="1:26" ht="15" customHeight="1">
      <c r="A144" t="s">
        <v>1941</v>
      </c>
      <c r="B144" t="s">
        <v>887</v>
      </c>
      <c r="C144" t="s">
        <v>2347</v>
      </c>
      <c r="D144" t="s">
        <v>2756</v>
      </c>
      <c r="E144" s="14">
        <v>45751</v>
      </c>
      <c r="F144" s="14">
        <v>45761</v>
      </c>
      <c r="G144" s="14">
        <v>45791</v>
      </c>
      <c r="H144" s="15">
        <v>69478.789999999994</v>
      </c>
      <c r="I144" s="15">
        <v>9062.4500000000007</v>
      </c>
      <c r="J144" s="15">
        <v>60416.34</v>
      </c>
      <c r="K144" t="s">
        <v>2757</v>
      </c>
      <c r="M144" t="s">
        <v>2758</v>
      </c>
      <c r="N144" s="14">
        <v>45797</v>
      </c>
      <c r="O144" t="s">
        <v>2209</v>
      </c>
      <c r="P144" t="s">
        <v>2217</v>
      </c>
      <c r="Q144" t="s">
        <v>151</v>
      </c>
      <c r="R144" t="s">
        <v>175</v>
      </c>
      <c r="S144" t="s">
        <v>288</v>
      </c>
      <c r="T144" t="s">
        <v>2211</v>
      </c>
      <c r="U144">
        <f t="shared" si="12"/>
        <v>10</v>
      </c>
      <c r="V144" t="b">
        <f t="shared" si="13"/>
        <v>0</v>
      </c>
      <c r="W144" t="b">
        <f t="shared" si="14"/>
        <v>0</v>
      </c>
      <c r="X144" t="b">
        <f t="shared" si="15"/>
        <v>0</v>
      </c>
      <c r="Y144" t="b">
        <f t="shared" si="16"/>
        <v>0</v>
      </c>
      <c r="Z144" t="b">
        <f t="shared" si="17"/>
        <v>0</v>
      </c>
    </row>
    <row r="145" spans="1:26" ht="15" customHeight="1">
      <c r="A145" t="s">
        <v>2759</v>
      </c>
      <c r="B145" t="s">
        <v>705</v>
      </c>
      <c r="C145" t="s">
        <v>2237</v>
      </c>
      <c r="D145" t="s">
        <v>2760</v>
      </c>
      <c r="E145" s="14">
        <v>45673</v>
      </c>
      <c r="F145" s="14">
        <v>45683</v>
      </c>
      <c r="G145" s="14">
        <v>45713</v>
      </c>
      <c r="H145" s="15">
        <v>16026.63</v>
      </c>
      <c r="I145" s="15">
        <v>2090.4299999999998</v>
      </c>
      <c r="J145" s="15">
        <v>13936.2</v>
      </c>
      <c r="K145" t="s">
        <v>2761</v>
      </c>
      <c r="L145" t="s">
        <v>2762</v>
      </c>
      <c r="M145" t="s">
        <v>2763</v>
      </c>
      <c r="N145" s="14">
        <v>45707</v>
      </c>
      <c r="O145" t="s">
        <v>2209</v>
      </c>
      <c r="P145" t="s">
        <v>2223</v>
      </c>
      <c r="Q145" t="s">
        <v>129</v>
      </c>
      <c r="R145" t="s">
        <v>151</v>
      </c>
      <c r="S145" t="s">
        <v>130</v>
      </c>
      <c r="T145" t="s">
        <v>2224</v>
      </c>
      <c r="U145">
        <f t="shared" si="12"/>
        <v>10</v>
      </c>
      <c r="V145" t="b">
        <f t="shared" si="13"/>
        <v>0</v>
      </c>
      <c r="W145" t="b">
        <f t="shared" si="14"/>
        <v>0</v>
      </c>
      <c r="X145" t="b">
        <f t="shared" si="15"/>
        <v>0</v>
      </c>
      <c r="Y145" t="b">
        <f t="shared" si="16"/>
        <v>0</v>
      </c>
      <c r="Z145" t="b">
        <f t="shared" si="17"/>
        <v>0</v>
      </c>
    </row>
    <row r="146" spans="1:26" ht="15" customHeight="1">
      <c r="A146" t="s">
        <v>2764</v>
      </c>
      <c r="B146" t="s">
        <v>212</v>
      </c>
      <c r="C146" t="s">
        <v>2226</v>
      </c>
      <c r="D146" t="s">
        <v>2765</v>
      </c>
      <c r="E146" s="14">
        <v>45986</v>
      </c>
      <c r="F146" s="14">
        <v>45996</v>
      </c>
      <c r="G146" s="14">
        <v>46026</v>
      </c>
      <c r="H146" s="15">
        <v>35413.120000000003</v>
      </c>
      <c r="I146" s="15">
        <v>4619.1000000000004</v>
      </c>
      <c r="J146" s="15">
        <v>30794.02</v>
      </c>
      <c r="K146" t="s">
        <v>2766</v>
      </c>
      <c r="M146" t="s">
        <v>2767</v>
      </c>
      <c r="N146" s="14">
        <v>46022</v>
      </c>
      <c r="O146" t="s">
        <v>2209</v>
      </c>
      <c r="P146" t="s">
        <v>2217</v>
      </c>
      <c r="Q146" t="s">
        <v>129</v>
      </c>
      <c r="R146" t="s">
        <v>175</v>
      </c>
      <c r="S146" t="s">
        <v>288</v>
      </c>
      <c r="T146" t="s">
        <v>2211</v>
      </c>
      <c r="U146">
        <f t="shared" si="12"/>
        <v>10</v>
      </c>
      <c r="V146" t="b">
        <f t="shared" si="13"/>
        <v>0</v>
      </c>
      <c r="W146" t="b">
        <f t="shared" si="14"/>
        <v>0</v>
      </c>
      <c r="X146" t="b">
        <f t="shared" si="15"/>
        <v>0</v>
      </c>
      <c r="Y146" t="b">
        <f t="shared" si="16"/>
        <v>0</v>
      </c>
      <c r="Z146" t="b">
        <f t="shared" si="17"/>
        <v>0</v>
      </c>
    </row>
    <row r="147" spans="1:26" ht="15" customHeight="1">
      <c r="A147" t="s">
        <v>2768</v>
      </c>
      <c r="B147" t="s">
        <v>229</v>
      </c>
      <c r="C147" t="s">
        <v>2263</v>
      </c>
      <c r="D147" t="s">
        <v>2769</v>
      </c>
      <c r="E147" s="14">
        <v>45730</v>
      </c>
      <c r="F147" s="14">
        <v>45740</v>
      </c>
      <c r="G147" s="14">
        <v>45770</v>
      </c>
      <c r="H147" s="15">
        <v>65232</v>
      </c>
      <c r="I147" s="15">
        <v>8508.52</v>
      </c>
      <c r="J147" s="15">
        <v>56723.48</v>
      </c>
      <c r="K147" t="s">
        <v>2770</v>
      </c>
      <c r="M147" t="s">
        <v>2771</v>
      </c>
      <c r="N147" s="14">
        <v>45751</v>
      </c>
      <c r="O147" t="s">
        <v>2209</v>
      </c>
      <c r="P147" t="s">
        <v>2243</v>
      </c>
      <c r="Q147" t="s">
        <v>128</v>
      </c>
      <c r="R147" t="s">
        <v>151</v>
      </c>
      <c r="S147" t="s">
        <v>130</v>
      </c>
      <c r="T147" t="s">
        <v>2211</v>
      </c>
      <c r="U147">
        <f t="shared" si="12"/>
        <v>10</v>
      </c>
      <c r="V147" t="b">
        <f t="shared" si="13"/>
        <v>0</v>
      </c>
      <c r="W147" t="b">
        <f t="shared" si="14"/>
        <v>0</v>
      </c>
      <c r="X147" t="b">
        <f t="shared" si="15"/>
        <v>0</v>
      </c>
      <c r="Y147" t="b">
        <f t="shared" si="16"/>
        <v>0</v>
      </c>
      <c r="Z147" t="b">
        <f t="shared" si="17"/>
        <v>0</v>
      </c>
    </row>
    <row r="148" spans="1:26" ht="15" customHeight="1">
      <c r="A148" t="s">
        <v>1957</v>
      </c>
      <c r="B148" t="s">
        <v>782</v>
      </c>
      <c r="C148" t="s">
        <v>2205</v>
      </c>
      <c r="D148" t="s">
        <v>2772</v>
      </c>
      <c r="E148" s="14">
        <v>45784</v>
      </c>
      <c r="F148" s="14">
        <v>45799</v>
      </c>
      <c r="G148" s="14">
        <v>45829</v>
      </c>
      <c r="H148" s="15">
        <v>15113.35</v>
      </c>
      <c r="I148" s="15">
        <v>1971.31</v>
      </c>
      <c r="J148" s="15">
        <v>13142.04</v>
      </c>
      <c r="K148" t="s">
        <v>2773</v>
      </c>
      <c r="M148" t="s">
        <v>2774</v>
      </c>
      <c r="N148" s="14">
        <v>45807</v>
      </c>
      <c r="O148" t="s">
        <v>2209</v>
      </c>
      <c r="P148" t="s">
        <v>2243</v>
      </c>
      <c r="Q148" t="s">
        <v>151</v>
      </c>
      <c r="R148" t="s">
        <v>175</v>
      </c>
      <c r="S148" t="s">
        <v>130</v>
      </c>
      <c r="T148" t="s">
        <v>2211</v>
      </c>
      <c r="U148">
        <f t="shared" si="12"/>
        <v>15</v>
      </c>
      <c r="V148" t="b">
        <f t="shared" si="13"/>
        <v>0</v>
      </c>
      <c r="W148" t="b">
        <f t="shared" si="14"/>
        <v>0</v>
      </c>
      <c r="X148" t="b">
        <f t="shared" si="15"/>
        <v>0</v>
      </c>
      <c r="Y148" t="b">
        <f t="shared" si="16"/>
        <v>0</v>
      </c>
      <c r="Z148" t="b">
        <f t="shared" si="17"/>
        <v>0</v>
      </c>
    </row>
    <row r="149" spans="1:26" ht="15" customHeight="1">
      <c r="A149" t="s">
        <v>2775</v>
      </c>
      <c r="B149" t="s">
        <v>440</v>
      </c>
      <c r="C149" t="s">
        <v>2307</v>
      </c>
      <c r="D149" t="s">
        <v>2776</v>
      </c>
      <c r="E149" s="14">
        <v>45901</v>
      </c>
      <c r="F149" s="14">
        <v>45906</v>
      </c>
      <c r="G149" s="14">
        <v>45936</v>
      </c>
      <c r="H149" s="15">
        <v>18792.509999999998</v>
      </c>
      <c r="I149" s="15">
        <v>2451.1999999999998</v>
      </c>
      <c r="J149" s="15">
        <v>16341.31</v>
      </c>
      <c r="K149" t="s">
        <v>2777</v>
      </c>
      <c r="L149" t="s">
        <v>2778</v>
      </c>
      <c r="N149" s="14"/>
      <c r="O149" t="s">
        <v>288</v>
      </c>
      <c r="P149" t="s">
        <v>2293</v>
      </c>
      <c r="Q149" t="s">
        <v>175</v>
      </c>
      <c r="R149" t="s">
        <v>128</v>
      </c>
      <c r="S149" t="s">
        <v>130</v>
      </c>
      <c r="T149" t="s">
        <v>2224</v>
      </c>
      <c r="U149">
        <f t="shared" si="12"/>
        <v>5</v>
      </c>
      <c r="V149" t="b">
        <f t="shared" si="13"/>
        <v>0</v>
      </c>
      <c r="W149" t="b">
        <f t="shared" si="14"/>
        <v>0</v>
      </c>
      <c r="X149" t="b">
        <f t="shared" si="15"/>
        <v>0</v>
      </c>
      <c r="Y149" t="b">
        <f t="shared" si="16"/>
        <v>0</v>
      </c>
      <c r="Z149" t="b">
        <f t="shared" si="17"/>
        <v>0</v>
      </c>
    </row>
    <row r="150" spans="1:26" ht="15" customHeight="1">
      <c r="A150" t="s">
        <v>2779</v>
      </c>
      <c r="B150" t="s">
        <v>229</v>
      </c>
      <c r="C150" t="s">
        <v>2263</v>
      </c>
      <c r="D150" t="s">
        <v>2780</v>
      </c>
      <c r="E150" s="14">
        <v>45861</v>
      </c>
      <c r="F150" s="14">
        <v>45868</v>
      </c>
      <c r="G150" s="14">
        <v>45898</v>
      </c>
      <c r="H150" s="15">
        <v>10593.96</v>
      </c>
      <c r="I150" s="15">
        <v>1381.82</v>
      </c>
      <c r="J150" s="15">
        <v>9212.14</v>
      </c>
      <c r="K150" t="s">
        <v>2781</v>
      </c>
      <c r="N150" s="14"/>
      <c r="O150" t="s">
        <v>288</v>
      </c>
      <c r="P150" t="s">
        <v>2257</v>
      </c>
      <c r="Q150" t="s">
        <v>140</v>
      </c>
      <c r="R150" t="s">
        <v>175</v>
      </c>
      <c r="S150" t="s">
        <v>130</v>
      </c>
      <c r="T150" t="s">
        <v>2211</v>
      </c>
      <c r="U150">
        <f t="shared" si="12"/>
        <v>7</v>
      </c>
      <c r="V150" t="b">
        <f t="shared" si="13"/>
        <v>0</v>
      </c>
      <c r="W150" t="b">
        <f t="shared" si="14"/>
        <v>0</v>
      </c>
      <c r="X150" t="b">
        <f t="shared" si="15"/>
        <v>0</v>
      </c>
      <c r="Y150" t="b">
        <f t="shared" si="16"/>
        <v>0</v>
      </c>
      <c r="Z150" t="b">
        <f t="shared" si="17"/>
        <v>0</v>
      </c>
    </row>
    <row r="151" spans="1:26" ht="15" customHeight="1">
      <c r="A151" t="s">
        <v>2782</v>
      </c>
      <c r="B151" t="s">
        <v>887</v>
      </c>
      <c r="C151" t="s">
        <v>2347</v>
      </c>
      <c r="D151" t="s">
        <v>2783</v>
      </c>
      <c r="E151" s="14">
        <v>45933</v>
      </c>
      <c r="F151" s="14">
        <v>45934</v>
      </c>
      <c r="G151" s="14">
        <v>45964</v>
      </c>
      <c r="H151" s="15">
        <v>71401.070000000007</v>
      </c>
      <c r="I151" s="15">
        <v>9313.18</v>
      </c>
      <c r="J151" s="15">
        <v>62087.89</v>
      </c>
      <c r="K151" t="s">
        <v>2784</v>
      </c>
      <c r="L151" t="s">
        <v>2785</v>
      </c>
      <c r="M151" t="s">
        <v>2786</v>
      </c>
      <c r="N151" s="14">
        <v>45946</v>
      </c>
      <c r="O151" t="s">
        <v>2209</v>
      </c>
      <c r="P151" t="s">
        <v>2231</v>
      </c>
      <c r="Q151" t="s">
        <v>175</v>
      </c>
      <c r="R151" t="s">
        <v>150</v>
      </c>
      <c r="S151" t="s">
        <v>130</v>
      </c>
      <c r="T151" t="s">
        <v>2224</v>
      </c>
      <c r="U151">
        <f t="shared" si="12"/>
        <v>1</v>
      </c>
      <c r="V151" t="b">
        <f t="shared" si="13"/>
        <v>0</v>
      </c>
      <c r="W151" t="b">
        <f t="shared" si="14"/>
        <v>0</v>
      </c>
      <c r="X151" t="b">
        <f t="shared" si="15"/>
        <v>0</v>
      </c>
      <c r="Y151" t="b">
        <f t="shared" si="16"/>
        <v>0</v>
      </c>
      <c r="Z151" t="b">
        <f t="shared" si="17"/>
        <v>0</v>
      </c>
    </row>
    <row r="152" spans="1:26" ht="15" customHeight="1">
      <c r="A152" t="s">
        <v>2787</v>
      </c>
      <c r="B152" t="s">
        <v>705</v>
      </c>
      <c r="C152" t="s">
        <v>2237</v>
      </c>
      <c r="D152" t="s">
        <v>2788</v>
      </c>
      <c r="E152" s="14">
        <v>45884</v>
      </c>
      <c r="F152" s="14">
        <v>45884</v>
      </c>
      <c r="G152" s="14">
        <v>45914</v>
      </c>
      <c r="H152" s="15">
        <v>31822.880000000001</v>
      </c>
      <c r="I152" s="15">
        <v>4150.8100000000004</v>
      </c>
      <c r="J152" s="15">
        <v>27672.07</v>
      </c>
      <c r="K152" t="s">
        <v>2789</v>
      </c>
      <c r="L152" t="s">
        <v>2790</v>
      </c>
      <c r="M152" t="s">
        <v>2791</v>
      </c>
      <c r="N152" s="14">
        <v>45916</v>
      </c>
      <c r="O152" t="s">
        <v>2209</v>
      </c>
      <c r="P152" t="s">
        <v>2231</v>
      </c>
      <c r="Q152" t="s">
        <v>140</v>
      </c>
      <c r="R152" t="s">
        <v>150</v>
      </c>
      <c r="S152" t="s">
        <v>130</v>
      </c>
      <c r="T152" t="s">
        <v>2224</v>
      </c>
      <c r="U152">
        <f t="shared" si="12"/>
        <v>0</v>
      </c>
      <c r="V152" t="b">
        <f t="shared" si="13"/>
        <v>0</v>
      </c>
      <c r="W152" t="b">
        <f t="shared" si="14"/>
        <v>0</v>
      </c>
      <c r="X152" t="b">
        <f t="shared" si="15"/>
        <v>0</v>
      </c>
      <c r="Y152" t="b">
        <f t="shared" si="16"/>
        <v>0</v>
      </c>
      <c r="Z152" t="b">
        <f t="shared" si="17"/>
        <v>0</v>
      </c>
    </row>
    <row r="153" spans="1:26" ht="15" customHeight="1">
      <c r="A153" t="s">
        <v>1977</v>
      </c>
      <c r="B153" t="s">
        <v>251</v>
      </c>
      <c r="C153" t="s">
        <v>2218</v>
      </c>
      <c r="D153" t="s">
        <v>2792</v>
      </c>
      <c r="E153" s="14">
        <v>45740</v>
      </c>
      <c r="F153" s="14">
        <v>45745</v>
      </c>
      <c r="G153" s="14">
        <v>45775</v>
      </c>
      <c r="H153" s="15">
        <v>70610.97</v>
      </c>
      <c r="I153" s="15">
        <v>9210.1299999999992</v>
      </c>
      <c r="J153" s="15">
        <v>61400.84</v>
      </c>
      <c r="K153" t="s">
        <v>2793</v>
      </c>
      <c r="L153" t="s">
        <v>2794</v>
      </c>
      <c r="M153" t="s">
        <v>2795</v>
      </c>
      <c r="N153" s="14">
        <v>45773</v>
      </c>
      <c r="O153" t="s">
        <v>2209</v>
      </c>
      <c r="P153" t="s">
        <v>2231</v>
      </c>
      <c r="Q153" t="s">
        <v>151</v>
      </c>
      <c r="R153" t="s">
        <v>129</v>
      </c>
      <c r="S153" t="s">
        <v>130</v>
      </c>
      <c r="T153" t="s">
        <v>2224</v>
      </c>
      <c r="U153">
        <f t="shared" si="12"/>
        <v>5</v>
      </c>
      <c r="V153" t="b">
        <f t="shared" si="13"/>
        <v>0</v>
      </c>
      <c r="W153" t="b">
        <f t="shared" si="14"/>
        <v>0</v>
      </c>
      <c r="X153" t="b">
        <f t="shared" si="15"/>
        <v>0</v>
      </c>
      <c r="Y153" t="b">
        <f t="shared" si="16"/>
        <v>0</v>
      </c>
      <c r="Z153" t="b">
        <f t="shared" si="17"/>
        <v>0</v>
      </c>
    </row>
    <row r="154" spans="1:26" ht="15" customHeight="1">
      <c r="A154" t="s">
        <v>781</v>
      </c>
      <c r="B154" t="s">
        <v>782</v>
      </c>
      <c r="C154" t="s">
        <v>2205</v>
      </c>
      <c r="D154" t="s">
        <v>2796</v>
      </c>
      <c r="E154" s="14">
        <v>45934</v>
      </c>
      <c r="F154" s="14">
        <v>45935</v>
      </c>
      <c r="G154" s="14">
        <v>45965</v>
      </c>
      <c r="H154" s="15">
        <v>103500</v>
      </c>
      <c r="I154" s="15">
        <v>13500</v>
      </c>
      <c r="J154" s="15">
        <v>90000</v>
      </c>
      <c r="K154" t="s">
        <v>2797</v>
      </c>
      <c r="M154" t="s">
        <v>2798</v>
      </c>
      <c r="N154" s="14">
        <v>45941</v>
      </c>
      <c r="O154" t="s">
        <v>2209</v>
      </c>
      <c r="P154" t="s">
        <v>2210</v>
      </c>
      <c r="Q154" t="s">
        <v>151</v>
      </c>
      <c r="R154" t="s">
        <v>151</v>
      </c>
      <c r="S154" t="s">
        <v>130</v>
      </c>
      <c r="T154" t="s">
        <v>2211</v>
      </c>
      <c r="U154">
        <f t="shared" si="12"/>
        <v>1</v>
      </c>
      <c r="V154" t="b">
        <f t="shared" si="13"/>
        <v>1</v>
      </c>
      <c r="W154" t="b">
        <f t="shared" si="14"/>
        <v>0</v>
      </c>
      <c r="X154" t="b">
        <f t="shared" si="15"/>
        <v>0</v>
      </c>
      <c r="Y154" t="b">
        <f t="shared" si="16"/>
        <v>0</v>
      </c>
      <c r="Z154" t="b">
        <f t="shared" si="17"/>
        <v>0</v>
      </c>
    </row>
    <row r="155" spans="1:26" ht="15" customHeight="1">
      <c r="A155" t="s">
        <v>786</v>
      </c>
      <c r="B155" t="s">
        <v>349</v>
      </c>
      <c r="C155" t="s">
        <v>2245</v>
      </c>
      <c r="D155" t="s">
        <v>2799</v>
      </c>
      <c r="E155" s="14">
        <v>45799</v>
      </c>
      <c r="F155" s="14">
        <v>45809</v>
      </c>
      <c r="G155" s="14">
        <v>45839</v>
      </c>
      <c r="H155" s="15">
        <v>3505.33</v>
      </c>
      <c r="I155" s="15">
        <v>457.22</v>
      </c>
      <c r="J155" s="15">
        <v>3048.11</v>
      </c>
      <c r="K155" t="s">
        <v>2800</v>
      </c>
      <c r="N155" s="14"/>
      <c r="O155" t="s">
        <v>288</v>
      </c>
      <c r="P155" t="s">
        <v>2210</v>
      </c>
      <c r="Q155" t="s">
        <v>151</v>
      </c>
      <c r="R155" t="s">
        <v>151</v>
      </c>
      <c r="S155" t="s">
        <v>130</v>
      </c>
      <c r="T155" t="s">
        <v>2211</v>
      </c>
      <c r="U155">
        <f t="shared" si="12"/>
        <v>10</v>
      </c>
      <c r="V155" t="b">
        <f t="shared" si="13"/>
        <v>0</v>
      </c>
      <c r="W155" t="b">
        <f t="shared" si="14"/>
        <v>0</v>
      </c>
      <c r="X155" t="b">
        <f t="shared" si="15"/>
        <v>0</v>
      </c>
      <c r="Y155" t="b">
        <f t="shared" si="16"/>
        <v>0</v>
      </c>
      <c r="Z155" t="b">
        <f t="shared" si="17"/>
        <v>0</v>
      </c>
    </row>
    <row r="156" spans="1:26" ht="15" customHeight="1">
      <c r="A156" t="s">
        <v>790</v>
      </c>
      <c r="B156" t="s">
        <v>212</v>
      </c>
      <c r="C156" t="s">
        <v>2226</v>
      </c>
      <c r="D156" t="s">
        <v>2801</v>
      </c>
      <c r="E156" s="14">
        <v>45990</v>
      </c>
      <c r="F156" s="14">
        <v>46005</v>
      </c>
      <c r="G156" s="14">
        <v>46035</v>
      </c>
      <c r="H156" s="15">
        <v>23604.14</v>
      </c>
      <c r="I156" s="15">
        <v>3078.8</v>
      </c>
      <c r="J156" s="15">
        <v>20525.34</v>
      </c>
      <c r="K156" t="s">
        <v>2802</v>
      </c>
      <c r="L156" t="s">
        <v>2803</v>
      </c>
      <c r="M156" t="s">
        <v>2804</v>
      </c>
      <c r="N156" s="14">
        <v>46020</v>
      </c>
      <c r="O156" t="s">
        <v>2209</v>
      </c>
      <c r="P156" t="s">
        <v>2223</v>
      </c>
      <c r="Q156" t="s">
        <v>151</v>
      </c>
      <c r="R156" t="s">
        <v>128</v>
      </c>
      <c r="S156" t="s">
        <v>130</v>
      </c>
      <c r="T156" t="s">
        <v>2224</v>
      </c>
      <c r="U156">
        <f t="shared" si="12"/>
        <v>15</v>
      </c>
      <c r="V156" t="b">
        <f t="shared" si="13"/>
        <v>0</v>
      </c>
      <c r="W156" t="b">
        <f t="shared" si="14"/>
        <v>0</v>
      </c>
      <c r="X156" t="b">
        <f t="shared" si="15"/>
        <v>0</v>
      </c>
      <c r="Y156" t="b">
        <f t="shared" si="16"/>
        <v>0</v>
      </c>
      <c r="Z156" t="b">
        <f t="shared" si="17"/>
        <v>0</v>
      </c>
    </row>
    <row r="157" spans="1:26" ht="15" customHeight="1">
      <c r="A157" t="s">
        <v>2805</v>
      </c>
      <c r="B157" t="s">
        <v>229</v>
      </c>
      <c r="C157" t="s">
        <v>2263</v>
      </c>
      <c r="D157" t="s">
        <v>2806</v>
      </c>
      <c r="E157" s="14">
        <v>45800</v>
      </c>
      <c r="F157" s="14">
        <v>45807</v>
      </c>
      <c r="G157" s="14">
        <v>45837</v>
      </c>
      <c r="H157" s="15">
        <v>32728.74</v>
      </c>
      <c r="I157" s="15">
        <v>4268.97</v>
      </c>
      <c r="J157" s="15">
        <v>28459.77</v>
      </c>
      <c r="K157" t="s">
        <v>2807</v>
      </c>
      <c r="L157" t="s">
        <v>2808</v>
      </c>
      <c r="N157" s="14"/>
      <c r="O157" t="s">
        <v>288</v>
      </c>
      <c r="P157" t="s">
        <v>2231</v>
      </c>
      <c r="Q157" t="s">
        <v>175</v>
      </c>
      <c r="R157" t="s">
        <v>175</v>
      </c>
      <c r="S157" t="s">
        <v>130</v>
      </c>
      <c r="T157" t="s">
        <v>2224</v>
      </c>
      <c r="U157">
        <f t="shared" si="12"/>
        <v>7</v>
      </c>
      <c r="V157" t="b">
        <f t="shared" si="13"/>
        <v>0</v>
      </c>
      <c r="W157" t="b">
        <f t="shared" si="14"/>
        <v>0</v>
      </c>
      <c r="X157" t="b">
        <f t="shared" si="15"/>
        <v>0</v>
      </c>
      <c r="Y157" t="b">
        <f t="shared" si="16"/>
        <v>0</v>
      </c>
      <c r="Z157" t="b">
        <f t="shared" si="17"/>
        <v>0</v>
      </c>
    </row>
    <row r="158" spans="1:26" ht="15" customHeight="1">
      <c r="A158" t="s">
        <v>2809</v>
      </c>
      <c r="B158" t="s">
        <v>782</v>
      </c>
      <c r="C158" t="s">
        <v>2205</v>
      </c>
      <c r="D158" t="s">
        <v>2810</v>
      </c>
      <c r="E158" s="14">
        <v>45738</v>
      </c>
      <c r="F158" s="14">
        <v>45740</v>
      </c>
      <c r="G158" s="14">
        <v>45770</v>
      </c>
      <c r="H158" s="15">
        <v>6272.76</v>
      </c>
      <c r="I158" s="15">
        <v>818.19</v>
      </c>
      <c r="J158" s="15">
        <v>5454.57</v>
      </c>
      <c r="K158" t="s">
        <v>2811</v>
      </c>
      <c r="L158" t="s">
        <v>2812</v>
      </c>
      <c r="M158" t="s">
        <v>2813</v>
      </c>
      <c r="N158" s="14">
        <v>45780</v>
      </c>
      <c r="O158" t="s">
        <v>2209</v>
      </c>
      <c r="P158" t="s">
        <v>2293</v>
      </c>
      <c r="Q158" t="s">
        <v>151</v>
      </c>
      <c r="R158" t="s">
        <v>151</v>
      </c>
      <c r="S158" t="s">
        <v>130</v>
      </c>
      <c r="T158" t="s">
        <v>2224</v>
      </c>
      <c r="U158">
        <f t="shared" si="12"/>
        <v>2</v>
      </c>
      <c r="V158" t="b">
        <f t="shared" si="13"/>
        <v>0</v>
      </c>
      <c r="W158" t="b">
        <f t="shared" si="14"/>
        <v>0</v>
      </c>
      <c r="X158" t="b">
        <f t="shared" si="15"/>
        <v>0</v>
      </c>
      <c r="Y158" t="b">
        <f t="shared" si="16"/>
        <v>0</v>
      </c>
      <c r="Z158" t="b">
        <f t="shared" si="17"/>
        <v>0</v>
      </c>
    </row>
    <row r="159" spans="1:26" ht="15" customHeight="1">
      <c r="A159" t="s">
        <v>2000</v>
      </c>
      <c r="B159" t="s">
        <v>887</v>
      </c>
      <c r="C159" t="s">
        <v>2347</v>
      </c>
      <c r="D159" t="s">
        <v>2814</v>
      </c>
      <c r="E159" s="14">
        <v>45725</v>
      </c>
      <c r="F159" s="14">
        <v>45730</v>
      </c>
      <c r="G159" s="14">
        <v>45760</v>
      </c>
      <c r="H159" s="15">
        <v>59219.69</v>
      </c>
      <c r="I159" s="15">
        <v>7724.31</v>
      </c>
      <c r="J159" s="15">
        <v>51495.38</v>
      </c>
      <c r="K159" t="s">
        <v>2815</v>
      </c>
      <c r="M159" t="s">
        <v>2816</v>
      </c>
      <c r="N159" s="14">
        <v>45763</v>
      </c>
      <c r="O159" t="s">
        <v>2209</v>
      </c>
      <c r="P159" t="s">
        <v>2210</v>
      </c>
      <c r="Q159" t="s">
        <v>151</v>
      </c>
      <c r="R159" t="s">
        <v>151</v>
      </c>
      <c r="S159" t="s">
        <v>130</v>
      </c>
      <c r="T159" t="s">
        <v>2211</v>
      </c>
      <c r="U159">
        <f t="shared" si="12"/>
        <v>5</v>
      </c>
      <c r="V159" t="b">
        <f t="shared" si="13"/>
        <v>0</v>
      </c>
      <c r="W159" t="b">
        <f t="shared" si="14"/>
        <v>0</v>
      </c>
      <c r="X159" t="b">
        <f t="shared" si="15"/>
        <v>0</v>
      </c>
      <c r="Y159" t="b">
        <f t="shared" si="16"/>
        <v>0</v>
      </c>
      <c r="Z159" t="b">
        <f t="shared" si="17"/>
        <v>0</v>
      </c>
    </row>
    <row r="160" spans="1:26" ht="15" customHeight="1">
      <c r="A160" t="s">
        <v>2817</v>
      </c>
      <c r="B160" t="s">
        <v>322</v>
      </c>
      <c r="C160" t="s">
        <v>2213</v>
      </c>
      <c r="D160" t="s">
        <v>2818</v>
      </c>
      <c r="E160" s="14">
        <v>45820</v>
      </c>
      <c r="F160" s="14">
        <v>45822</v>
      </c>
      <c r="G160" s="14">
        <v>45852</v>
      </c>
      <c r="H160" s="15">
        <v>39764.9</v>
      </c>
      <c r="I160" s="15">
        <v>5186.7299999999996</v>
      </c>
      <c r="J160" s="15">
        <v>34578.17</v>
      </c>
      <c r="K160" t="s">
        <v>2819</v>
      </c>
      <c r="L160" t="s">
        <v>2820</v>
      </c>
      <c r="M160" t="s">
        <v>2821</v>
      </c>
      <c r="N160" s="14">
        <v>45864</v>
      </c>
      <c r="O160" t="s">
        <v>2209</v>
      </c>
      <c r="P160" t="s">
        <v>2231</v>
      </c>
      <c r="Q160" t="s">
        <v>175</v>
      </c>
      <c r="R160" t="s">
        <v>128</v>
      </c>
      <c r="S160" t="s">
        <v>130</v>
      </c>
      <c r="T160" t="s">
        <v>2224</v>
      </c>
      <c r="U160">
        <f t="shared" si="12"/>
        <v>2</v>
      </c>
      <c r="V160" t="b">
        <f t="shared" si="13"/>
        <v>0</v>
      </c>
      <c r="W160" t="b">
        <f t="shared" si="14"/>
        <v>0</v>
      </c>
      <c r="X160" t="b">
        <f t="shared" si="15"/>
        <v>0</v>
      </c>
      <c r="Y160" t="b">
        <f t="shared" si="16"/>
        <v>0</v>
      </c>
      <c r="Z160" t="b">
        <f t="shared" si="17"/>
        <v>0</v>
      </c>
    </row>
    <row r="161" spans="1:26" ht="15" customHeight="1">
      <c r="A161" t="s">
        <v>2822</v>
      </c>
      <c r="B161" t="s">
        <v>251</v>
      </c>
      <c r="C161" t="s">
        <v>2218</v>
      </c>
      <c r="D161" t="s">
        <v>2823</v>
      </c>
      <c r="E161" s="14">
        <v>45848</v>
      </c>
      <c r="F161" s="14">
        <v>45851</v>
      </c>
      <c r="G161" s="14">
        <v>45881</v>
      </c>
      <c r="H161" s="15">
        <v>65140.19</v>
      </c>
      <c r="I161" s="15">
        <v>8496.5499999999993</v>
      </c>
      <c r="J161" s="15">
        <v>56643.64</v>
      </c>
      <c r="K161" t="s">
        <v>2824</v>
      </c>
      <c r="M161" t="s">
        <v>2825</v>
      </c>
      <c r="N161" s="14">
        <v>45880</v>
      </c>
      <c r="O161" t="s">
        <v>2209</v>
      </c>
      <c r="P161" t="s">
        <v>2243</v>
      </c>
      <c r="Q161" t="s">
        <v>150</v>
      </c>
      <c r="R161" t="s">
        <v>175</v>
      </c>
      <c r="S161" t="s">
        <v>130</v>
      </c>
      <c r="T161" t="s">
        <v>2211</v>
      </c>
      <c r="U161">
        <f t="shared" si="12"/>
        <v>3</v>
      </c>
      <c r="V161" t="b">
        <f t="shared" si="13"/>
        <v>0</v>
      </c>
      <c r="W161" t="b">
        <f t="shared" si="14"/>
        <v>0</v>
      </c>
      <c r="X161" t="b">
        <f t="shared" si="15"/>
        <v>0</v>
      </c>
      <c r="Y161" t="b">
        <f t="shared" si="16"/>
        <v>0</v>
      </c>
      <c r="Z161" t="b">
        <f t="shared" si="17"/>
        <v>0</v>
      </c>
    </row>
    <row r="162" spans="1:26" ht="15" customHeight="1">
      <c r="A162" t="s">
        <v>2012</v>
      </c>
      <c r="B162" t="s">
        <v>313</v>
      </c>
      <c r="C162" t="s">
        <v>2253</v>
      </c>
      <c r="D162" t="s">
        <v>2826</v>
      </c>
      <c r="E162" s="14">
        <v>46017</v>
      </c>
      <c r="F162" s="14">
        <v>46019</v>
      </c>
      <c r="G162" s="14">
        <v>46049</v>
      </c>
      <c r="H162" s="15">
        <v>21159.9</v>
      </c>
      <c r="I162" s="15">
        <v>2759.99</v>
      </c>
      <c r="J162" s="15">
        <v>18399.91</v>
      </c>
      <c r="K162" t="s">
        <v>2827</v>
      </c>
      <c r="L162" t="s">
        <v>2828</v>
      </c>
      <c r="N162" s="14"/>
      <c r="O162" t="s">
        <v>288</v>
      </c>
      <c r="P162" t="s">
        <v>2231</v>
      </c>
      <c r="Q162" t="s">
        <v>128</v>
      </c>
      <c r="R162" t="s">
        <v>150</v>
      </c>
      <c r="S162" t="s">
        <v>130</v>
      </c>
      <c r="T162" t="s">
        <v>2224</v>
      </c>
      <c r="U162">
        <f t="shared" si="12"/>
        <v>2</v>
      </c>
      <c r="V162" t="b">
        <f t="shared" si="13"/>
        <v>0</v>
      </c>
      <c r="W162" t="b">
        <f t="shared" si="14"/>
        <v>0</v>
      </c>
      <c r="X162" t="b">
        <f t="shared" si="15"/>
        <v>0</v>
      </c>
      <c r="Y162" t="b">
        <f t="shared" si="16"/>
        <v>0</v>
      </c>
      <c r="Z162" t="b">
        <f t="shared" si="17"/>
        <v>1</v>
      </c>
    </row>
    <row r="163" spans="1:26" ht="15" customHeight="1">
      <c r="A163" t="s">
        <v>2829</v>
      </c>
      <c r="B163" t="s">
        <v>212</v>
      </c>
      <c r="C163" t="s">
        <v>2226</v>
      </c>
      <c r="D163" t="s">
        <v>2830</v>
      </c>
      <c r="E163" s="14">
        <v>45676</v>
      </c>
      <c r="F163" s="14">
        <v>45677</v>
      </c>
      <c r="G163" s="14">
        <v>45707</v>
      </c>
      <c r="H163" s="15">
        <v>4542.7299999999996</v>
      </c>
      <c r="I163" s="15">
        <v>592.53</v>
      </c>
      <c r="J163" s="15">
        <v>3950.2</v>
      </c>
      <c r="K163" t="s">
        <v>2831</v>
      </c>
      <c r="M163" t="s">
        <v>2832</v>
      </c>
      <c r="N163" s="14">
        <v>45709</v>
      </c>
      <c r="O163" t="s">
        <v>2209</v>
      </c>
      <c r="P163" t="s">
        <v>2257</v>
      </c>
      <c r="Q163" t="s">
        <v>128</v>
      </c>
      <c r="R163" t="s">
        <v>151</v>
      </c>
      <c r="S163" t="s">
        <v>130</v>
      </c>
      <c r="T163" t="s">
        <v>2211</v>
      </c>
      <c r="U163">
        <f t="shared" si="12"/>
        <v>1</v>
      </c>
      <c r="V163" t="b">
        <f t="shared" si="13"/>
        <v>0</v>
      </c>
      <c r="W163" t="b">
        <f t="shared" si="14"/>
        <v>0</v>
      </c>
      <c r="X163" t="b">
        <f t="shared" si="15"/>
        <v>0</v>
      </c>
      <c r="Y163" t="b">
        <f t="shared" si="16"/>
        <v>0</v>
      </c>
      <c r="Z163" t="b">
        <f t="shared" si="17"/>
        <v>0</v>
      </c>
    </row>
    <row r="164" spans="1:26" ht="15" customHeight="1">
      <c r="A164" t="s">
        <v>2833</v>
      </c>
      <c r="B164" t="s">
        <v>440</v>
      </c>
      <c r="C164" t="s">
        <v>2307</v>
      </c>
      <c r="D164" t="s">
        <v>2834</v>
      </c>
      <c r="E164" s="14">
        <v>45692</v>
      </c>
      <c r="F164" s="14">
        <v>45707</v>
      </c>
      <c r="G164" s="14">
        <v>45737</v>
      </c>
      <c r="H164" s="15">
        <v>15479.49</v>
      </c>
      <c r="I164" s="15">
        <v>2019.06</v>
      </c>
      <c r="J164" s="15">
        <v>13460.43</v>
      </c>
      <c r="K164" t="s">
        <v>2835</v>
      </c>
      <c r="L164" t="s">
        <v>2836</v>
      </c>
      <c r="N164" s="14"/>
      <c r="O164" t="s">
        <v>288</v>
      </c>
      <c r="P164" t="s">
        <v>2293</v>
      </c>
      <c r="Q164" t="s">
        <v>151</v>
      </c>
      <c r="R164" t="s">
        <v>151</v>
      </c>
      <c r="S164" t="s">
        <v>130</v>
      </c>
      <c r="T164" t="s">
        <v>2224</v>
      </c>
      <c r="U164">
        <f t="shared" si="12"/>
        <v>15</v>
      </c>
      <c r="V164" t="b">
        <f t="shared" si="13"/>
        <v>0</v>
      </c>
      <c r="W164" t="b">
        <f t="shared" si="14"/>
        <v>0</v>
      </c>
      <c r="X164" t="b">
        <f t="shared" si="15"/>
        <v>0</v>
      </c>
      <c r="Y164" t="b">
        <f t="shared" si="16"/>
        <v>0</v>
      </c>
      <c r="Z164" t="b">
        <f t="shared" si="17"/>
        <v>0</v>
      </c>
    </row>
    <row r="165" spans="1:26" ht="15" customHeight="1">
      <c r="A165" t="s">
        <v>2837</v>
      </c>
      <c r="B165" t="s">
        <v>349</v>
      </c>
      <c r="C165" t="s">
        <v>2245</v>
      </c>
      <c r="D165" t="s">
        <v>2838</v>
      </c>
      <c r="E165" s="14">
        <v>45918</v>
      </c>
      <c r="F165" s="14">
        <v>45918</v>
      </c>
      <c r="G165" s="14">
        <v>45948</v>
      </c>
      <c r="H165" s="15">
        <v>4569.3900000000003</v>
      </c>
      <c r="I165" s="15">
        <v>596.01</v>
      </c>
      <c r="J165" s="15">
        <v>3973.38</v>
      </c>
      <c r="K165" t="s">
        <v>2839</v>
      </c>
      <c r="L165" t="s">
        <v>2840</v>
      </c>
      <c r="M165" t="s">
        <v>2841</v>
      </c>
      <c r="N165" s="14">
        <v>45931</v>
      </c>
      <c r="O165" t="s">
        <v>2209</v>
      </c>
      <c r="P165" t="s">
        <v>2231</v>
      </c>
      <c r="Q165" t="s">
        <v>129</v>
      </c>
      <c r="R165" t="s">
        <v>150</v>
      </c>
      <c r="S165" t="s">
        <v>130</v>
      </c>
      <c r="T165" t="s">
        <v>2224</v>
      </c>
      <c r="U165">
        <f t="shared" si="12"/>
        <v>0</v>
      </c>
      <c r="V165" t="b">
        <f t="shared" si="13"/>
        <v>0</v>
      </c>
      <c r="W165" t="b">
        <f t="shared" si="14"/>
        <v>0</v>
      </c>
      <c r="X165" t="b">
        <f t="shared" si="15"/>
        <v>0</v>
      </c>
      <c r="Y165" t="b">
        <f t="shared" si="16"/>
        <v>0</v>
      </c>
      <c r="Z165" t="b">
        <f t="shared" si="17"/>
        <v>0</v>
      </c>
    </row>
    <row r="166" spans="1:26" ht="15" customHeight="1">
      <c r="A166" t="s">
        <v>2842</v>
      </c>
      <c r="B166" t="s">
        <v>782</v>
      </c>
      <c r="C166" t="s">
        <v>2205</v>
      </c>
      <c r="D166" t="s">
        <v>2843</v>
      </c>
      <c r="E166" s="14">
        <v>45759</v>
      </c>
      <c r="F166" s="14">
        <v>45789</v>
      </c>
      <c r="G166" s="14">
        <v>45819</v>
      </c>
      <c r="H166" s="15">
        <v>5965.98</v>
      </c>
      <c r="I166" s="15">
        <v>778.17</v>
      </c>
      <c r="J166" s="15">
        <v>5187.8100000000004</v>
      </c>
      <c r="K166" t="s">
        <v>2844</v>
      </c>
      <c r="L166" t="s">
        <v>2845</v>
      </c>
      <c r="M166" t="s">
        <v>2846</v>
      </c>
      <c r="N166" s="14">
        <v>45803</v>
      </c>
      <c r="O166" t="s">
        <v>2209</v>
      </c>
      <c r="P166" t="s">
        <v>2293</v>
      </c>
      <c r="Q166" t="s">
        <v>128</v>
      </c>
      <c r="R166" t="s">
        <v>129</v>
      </c>
      <c r="S166" t="s">
        <v>288</v>
      </c>
      <c r="T166" t="s">
        <v>2224</v>
      </c>
      <c r="U166">
        <f t="shared" si="12"/>
        <v>30</v>
      </c>
      <c r="V166" t="b">
        <f t="shared" si="13"/>
        <v>0</v>
      </c>
      <c r="W166" t="b">
        <f t="shared" si="14"/>
        <v>0</v>
      </c>
      <c r="X166" t="b">
        <f t="shared" si="15"/>
        <v>0</v>
      </c>
      <c r="Y166" t="b">
        <f t="shared" si="16"/>
        <v>0</v>
      </c>
      <c r="Z166" t="b">
        <f t="shared" si="17"/>
        <v>0</v>
      </c>
    </row>
    <row r="167" spans="1:26" ht="15" customHeight="1">
      <c r="A167" t="s">
        <v>2847</v>
      </c>
      <c r="B167" t="s">
        <v>887</v>
      </c>
      <c r="C167" t="s">
        <v>2347</v>
      </c>
      <c r="D167" t="s">
        <v>2848</v>
      </c>
      <c r="E167" s="14">
        <v>45803</v>
      </c>
      <c r="F167" s="14">
        <v>45813</v>
      </c>
      <c r="G167" s="14">
        <v>45843</v>
      </c>
      <c r="H167" s="15">
        <v>55294.04</v>
      </c>
      <c r="I167" s="15">
        <v>7212.27</v>
      </c>
      <c r="J167" s="15">
        <v>48081.77</v>
      </c>
      <c r="K167" t="s">
        <v>2849</v>
      </c>
      <c r="N167" s="14"/>
      <c r="O167" t="s">
        <v>288</v>
      </c>
      <c r="P167" t="s">
        <v>2243</v>
      </c>
      <c r="Q167" t="s">
        <v>151</v>
      </c>
      <c r="R167" t="s">
        <v>151</v>
      </c>
      <c r="S167" t="s">
        <v>130</v>
      </c>
      <c r="T167" t="s">
        <v>2211</v>
      </c>
      <c r="U167">
        <f t="shared" si="12"/>
        <v>10</v>
      </c>
      <c r="V167" t="b">
        <f t="shared" si="13"/>
        <v>0</v>
      </c>
      <c r="W167" t="b">
        <f t="shared" si="14"/>
        <v>0</v>
      </c>
      <c r="X167" t="b">
        <f t="shared" si="15"/>
        <v>0</v>
      </c>
      <c r="Y167" t="b">
        <f t="shared" si="16"/>
        <v>0</v>
      </c>
      <c r="Z167" t="b">
        <f t="shared" si="17"/>
        <v>0</v>
      </c>
    </row>
    <row r="168" spans="1:26" ht="15" customHeight="1">
      <c r="A168" t="s">
        <v>2036</v>
      </c>
      <c r="B168" t="s">
        <v>887</v>
      </c>
      <c r="C168" t="s">
        <v>2347</v>
      </c>
      <c r="D168" t="s">
        <v>2850</v>
      </c>
      <c r="E168" s="14">
        <v>45929</v>
      </c>
      <c r="F168" s="14">
        <v>45936</v>
      </c>
      <c r="G168" s="14">
        <v>45966</v>
      </c>
      <c r="H168" s="15">
        <v>21900.92</v>
      </c>
      <c r="I168" s="15">
        <v>2856.64</v>
      </c>
      <c r="J168" s="15">
        <v>19044.28</v>
      </c>
      <c r="K168" t="s">
        <v>2851</v>
      </c>
      <c r="L168" t="s">
        <v>2852</v>
      </c>
      <c r="M168" t="s">
        <v>2853</v>
      </c>
      <c r="N168" s="14">
        <v>45967</v>
      </c>
      <c r="O168" t="s">
        <v>2209</v>
      </c>
      <c r="P168" t="s">
        <v>2293</v>
      </c>
      <c r="Q168" t="s">
        <v>128</v>
      </c>
      <c r="R168" t="s">
        <v>129</v>
      </c>
      <c r="S168" t="s">
        <v>130</v>
      </c>
      <c r="T168" t="s">
        <v>2224</v>
      </c>
      <c r="U168">
        <f t="shared" si="12"/>
        <v>7</v>
      </c>
      <c r="V168" t="b">
        <f t="shared" si="13"/>
        <v>0</v>
      </c>
      <c r="W168" t="b">
        <f t="shared" si="14"/>
        <v>0</v>
      </c>
      <c r="X168" t="b">
        <f t="shared" si="15"/>
        <v>0</v>
      </c>
      <c r="Y168" t="b">
        <f t="shared" si="16"/>
        <v>0</v>
      </c>
      <c r="Z168" t="b">
        <f t="shared" si="17"/>
        <v>0</v>
      </c>
    </row>
    <row r="169" spans="1:26" ht="15" customHeight="1">
      <c r="A169" t="s">
        <v>2854</v>
      </c>
      <c r="B169" t="s">
        <v>349</v>
      </c>
      <c r="C169" t="s">
        <v>2245</v>
      </c>
      <c r="D169" t="s">
        <v>2855</v>
      </c>
      <c r="E169" s="14">
        <v>45782</v>
      </c>
      <c r="F169" s="14">
        <v>45797</v>
      </c>
      <c r="G169" s="14">
        <v>45827</v>
      </c>
      <c r="H169" s="15">
        <v>38249.410000000003</v>
      </c>
      <c r="I169" s="15">
        <v>4989.05</v>
      </c>
      <c r="J169" s="15">
        <v>33260.36</v>
      </c>
      <c r="K169" t="s">
        <v>2856</v>
      </c>
      <c r="L169" t="s">
        <v>2857</v>
      </c>
      <c r="M169" t="s">
        <v>2858</v>
      </c>
      <c r="N169" s="14">
        <v>45827</v>
      </c>
      <c r="O169" t="s">
        <v>2209</v>
      </c>
      <c r="P169" t="s">
        <v>2223</v>
      </c>
      <c r="Q169" t="s">
        <v>128</v>
      </c>
      <c r="R169" t="s">
        <v>175</v>
      </c>
      <c r="S169" t="s">
        <v>130</v>
      </c>
      <c r="T169" t="s">
        <v>2224</v>
      </c>
      <c r="U169">
        <f t="shared" si="12"/>
        <v>15</v>
      </c>
      <c r="V169" t="b">
        <f t="shared" si="13"/>
        <v>0</v>
      </c>
      <c r="W169" t="b">
        <f t="shared" si="14"/>
        <v>0</v>
      </c>
      <c r="X169" t="b">
        <f t="shared" si="15"/>
        <v>0</v>
      </c>
      <c r="Y169" t="b">
        <f t="shared" si="16"/>
        <v>0</v>
      </c>
      <c r="Z169" t="b">
        <f t="shared" si="17"/>
        <v>0</v>
      </c>
    </row>
    <row r="170" spans="1:26" ht="15" customHeight="1">
      <c r="A170" t="s">
        <v>2859</v>
      </c>
      <c r="B170" t="s">
        <v>251</v>
      </c>
      <c r="C170" t="s">
        <v>2218</v>
      </c>
      <c r="D170" t="s">
        <v>2860</v>
      </c>
      <c r="E170" s="14">
        <v>45913</v>
      </c>
      <c r="F170" s="14">
        <v>45923</v>
      </c>
      <c r="G170" s="14">
        <v>45953</v>
      </c>
      <c r="H170" s="15">
        <v>54403.67</v>
      </c>
      <c r="I170" s="15">
        <v>7096.13</v>
      </c>
      <c r="J170" s="15">
        <v>47307.54</v>
      </c>
      <c r="K170" t="s">
        <v>2861</v>
      </c>
      <c r="L170" t="s">
        <v>2862</v>
      </c>
      <c r="N170" s="14"/>
      <c r="O170" t="s">
        <v>288</v>
      </c>
      <c r="P170" t="s">
        <v>2231</v>
      </c>
      <c r="Q170" t="s">
        <v>140</v>
      </c>
      <c r="R170" t="s">
        <v>151</v>
      </c>
      <c r="S170" t="s">
        <v>130</v>
      </c>
      <c r="T170" t="s">
        <v>2224</v>
      </c>
      <c r="U170">
        <f t="shared" si="12"/>
        <v>10</v>
      </c>
      <c r="V170" t="b">
        <f t="shared" si="13"/>
        <v>0</v>
      </c>
      <c r="W170" t="b">
        <f t="shared" si="14"/>
        <v>0</v>
      </c>
      <c r="X170" t="b">
        <f t="shared" si="15"/>
        <v>0</v>
      </c>
      <c r="Y170" t="b">
        <f t="shared" si="16"/>
        <v>0</v>
      </c>
      <c r="Z170" t="b">
        <f t="shared" si="17"/>
        <v>0</v>
      </c>
    </row>
    <row r="171" spans="1:26" ht="15" customHeight="1">
      <c r="A171" t="s">
        <v>2863</v>
      </c>
      <c r="B171" t="s">
        <v>440</v>
      </c>
      <c r="C171" t="s">
        <v>2307</v>
      </c>
      <c r="D171" t="s">
        <v>2864</v>
      </c>
      <c r="E171" s="14">
        <v>45893</v>
      </c>
      <c r="F171" s="14">
        <v>45896</v>
      </c>
      <c r="G171" s="14">
        <v>45926</v>
      </c>
      <c r="H171" s="15">
        <v>20273.41</v>
      </c>
      <c r="I171" s="15">
        <v>2644.36</v>
      </c>
      <c r="J171" s="15">
        <v>17629.05</v>
      </c>
      <c r="K171" t="s">
        <v>2865</v>
      </c>
      <c r="N171" s="14"/>
      <c r="O171" t="s">
        <v>288</v>
      </c>
      <c r="P171" t="s">
        <v>2217</v>
      </c>
      <c r="Q171" t="s">
        <v>151</v>
      </c>
      <c r="R171" t="s">
        <v>150</v>
      </c>
      <c r="S171" t="s">
        <v>130</v>
      </c>
      <c r="T171" t="s">
        <v>2211</v>
      </c>
      <c r="U171">
        <f t="shared" si="12"/>
        <v>3</v>
      </c>
      <c r="V171" t="b">
        <f t="shared" si="13"/>
        <v>0</v>
      </c>
      <c r="W171" t="b">
        <f t="shared" si="14"/>
        <v>0</v>
      </c>
      <c r="X171" t="b">
        <f t="shared" si="15"/>
        <v>0</v>
      </c>
      <c r="Y171" t="b">
        <f t="shared" si="16"/>
        <v>0</v>
      </c>
      <c r="Z171" t="b">
        <f t="shared" si="17"/>
        <v>0</v>
      </c>
    </row>
    <row r="172" spans="1:26" ht="15" customHeight="1">
      <c r="A172" t="s">
        <v>2866</v>
      </c>
      <c r="B172" t="s">
        <v>440</v>
      </c>
      <c r="C172" t="s">
        <v>2307</v>
      </c>
      <c r="D172" t="s">
        <v>2867</v>
      </c>
      <c r="E172" s="14">
        <v>45836</v>
      </c>
      <c r="F172" s="14">
        <v>45846</v>
      </c>
      <c r="G172" s="14">
        <v>45876</v>
      </c>
      <c r="H172" s="15">
        <v>27254.38</v>
      </c>
      <c r="I172" s="15">
        <v>3554.92</v>
      </c>
      <c r="J172" s="15">
        <v>23699.46</v>
      </c>
      <c r="K172" t="s">
        <v>2868</v>
      </c>
      <c r="M172" t="s">
        <v>2869</v>
      </c>
      <c r="N172" s="14">
        <v>45881</v>
      </c>
      <c r="O172" t="s">
        <v>2209</v>
      </c>
      <c r="P172" t="s">
        <v>2217</v>
      </c>
      <c r="Q172" t="s">
        <v>128</v>
      </c>
      <c r="R172" t="s">
        <v>150</v>
      </c>
      <c r="S172" t="s">
        <v>130</v>
      </c>
      <c r="T172" t="s">
        <v>2211</v>
      </c>
      <c r="U172">
        <f t="shared" si="12"/>
        <v>10</v>
      </c>
      <c r="V172" t="b">
        <f t="shared" si="13"/>
        <v>0</v>
      </c>
      <c r="W172" t="b">
        <f t="shared" si="14"/>
        <v>0</v>
      </c>
      <c r="X172" t="b">
        <f t="shared" si="15"/>
        <v>0</v>
      </c>
      <c r="Y172" t="b">
        <f t="shared" si="16"/>
        <v>0</v>
      </c>
      <c r="Z172" t="b">
        <f t="shared" si="17"/>
        <v>0</v>
      </c>
    </row>
    <row r="173" spans="1:26" ht="15" customHeight="1">
      <c r="A173" t="s">
        <v>858</v>
      </c>
      <c r="B173" t="s">
        <v>251</v>
      </c>
      <c r="C173" t="s">
        <v>2218</v>
      </c>
      <c r="D173" t="s">
        <v>2870</v>
      </c>
      <c r="E173" s="14">
        <v>45991</v>
      </c>
      <c r="F173" s="14">
        <v>46006</v>
      </c>
      <c r="G173" s="14">
        <v>46036</v>
      </c>
      <c r="H173" s="15">
        <v>7293.73</v>
      </c>
      <c r="I173" s="15">
        <v>951.36</v>
      </c>
      <c r="J173" s="15">
        <v>6342.37</v>
      </c>
      <c r="K173" t="s">
        <v>2871</v>
      </c>
      <c r="L173" t="s">
        <v>2872</v>
      </c>
      <c r="M173" t="s">
        <v>2873</v>
      </c>
      <c r="N173" s="14">
        <v>46021</v>
      </c>
      <c r="O173" t="s">
        <v>2209</v>
      </c>
      <c r="P173" t="s">
        <v>2293</v>
      </c>
      <c r="Q173" t="s">
        <v>151</v>
      </c>
      <c r="R173" t="s">
        <v>128</v>
      </c>
      <c r="S173" t="s">
        <v>130</v>
      </c>
      <c r="T173" t="s">
        <v>2224</v>
      </c>
      <c r="U173">
        <f t="shared" si="12"/>
        <v>15</v>
      </c>
      <c r="V173" t="b">
        <f t="shared" si="13"/>
        <v>0</v>
      </c>
      <c r="W173" t="b">
        <f t="shared" si="14"/>
        <v>0</v>
      </c>
      <c r="X173" t="b">
        <f t="shared" si="15"/>
        <v>0</v>
      </c>
      <c r="Y173" t="b">
        <f t="shared" si="16"/>
        <v>0</v>
      </c>
      <c r="Z173" t="b">
        <f t="shared" si="17"/>
        <v>0</v>
      </c>
    </row>
    <row r="174" spans="1:26" ht="15" customHeight="1">
      <c r="A174" t="s">
        <v>2874</v>
      </c>
      <c r="B174" t="s">
        <v>440</v>
      </c>
      <c r="C174" t="s">
        <v>2307</v>
      </c>
      <c r="D174" t="s">
        <v>2875</v>
      </c>
      <c r="E174" s="14">
        <v>45719</v>
      </c>
      <c r="F174" s="14">
        <v>45726</v>
      </c>
      <c r="G174" s="14">
        <v>45756</v>
      </c>
      <c r="H174" s="15">
        <v>66024.5</v>
      </c>
      <c r="I174" s="15">
        <v>8611.89</v>
      </c>
      <c r="J174" s="15">
        <v>57412.61</v>
      </c>
      <c r="K174" t="s">
        <v>2876</v>
      </c>
      <c r="M174" t="s">
        <v>2877</v>
      </c>
      <c r="N174" s="14">
        <v>45771</v>
      </c>
      <c r="O174" t="s">
        <v>2209</v>
      </c>
      <c r="P174" t="s">
        <v>2217</v>
      </c>
      <c r="Q174" t="s">
        <v>128</v>
      </c>
      <c r="R174" t="s">
        <v>150</v>
      </c>
      <c r="S174" t="s">
        <v>130</v>
      </c>
      <c r="T174" t="s">
        <v>2211</v>
      </c>
      <c r="U174">
        <f t="shared" si="12"/>
        <v>7</v>
      </c>
      <c r="V174" t="b">
        <f t="shared" si="13"/>
        <v>0</v>
      </c>
      <c r="W174" t="b">
        <f t="shared" si="14"/>
        <v>0</v>
      </c>
      <c r="X174" t="b">
        <f t="shared" si="15"/>
        <v>0</v>
      </c>
      <c r="Y174" t="b">
        <f t="shared" si="16"/>
        <v>0</v>
      </c>
      <c r="Z174" t="b">
        <f t="shared" si="17"/>
        <v>0</v>
      </c>
    </row>
    <row r="175" spans="1:26" ht="15" customHeight="1">
      <c r="A175" t="s">
        <v>2064</v>
      </c>
      <c r="B175" t="s">
        <v>313</v>
      </c>
      <c r="C175" t="s">
        <v>2253</v>
      </c>
      <c r="D175" t="s">
        <v>2878</v>
      </c>
      <c r="E175" s="14">
        <v>45864</v>
      </c>
      <c r="F175" s="14">
        <v>45879</v>
      </c>
      <c r="G175" s="14">
        <v>45909</v>
      </c>
      <c r="H175" s="15">
        <v>18095.05</v>
      </c>
      <c r="I175" s="15">
        <v>2360.2199999999998</v>
      </c>
      <c r="J175" s="15">
        <v>15734.83</v>
      </c>
      <c r="K175" t="s">
        <v>2879</v>
      </c>
      <c r="N175" s="14"/>
      <c r="O175" t="s">
        <v>288</v>
      </c>
      <c r="P175" t="s">
        <v>2243</v>
      </c>
      <c r="Q175" t="s">
        <v>175</v>
      </c>
      <c r="R175" t="s">
        <v>151</v>
      </c>
      <c r="S175" t="s">
        <v>130</v>
      </c>
      <c r="T175" t="s">
        <v>2211</v>
      </c>
      <c r="U175">
        <f t="shared" si="12"/>
        <v>15</v>
      </c>
      <c r="V175" t="b">
        <f t="shared" si="13"/>
        <v>0</v>
      </c>
      <c r="W175" t="b">
        <f t="shared" si="14"/>
        <v>0</v>
      </c>
      <c r="X175" t="b">
        <f t="shared" si="15"/>
        <v>0</v>
      </c>
      <c r="Y175" t="b">
        <f t="shared" si="16"/>
        <v>0</v>
      </c>
      <c r="Z175" t="b">
        <f t="shared" si="17"/>
        <v>0</v>
      </c>
    </row>
    <row r="176" spans="1:26" ht="15" customHeight="1">
      <c r="A176" t="s">
        <v>870</v>
      </c>
      <c r="B176" t="s">
        <v>440</v>
      </c>
      <c r="C176" t="s">
        <v>2307</v>
      </c>
      <c r="D176" t="s">
        <v>2880</v>
      </c>
      <c r="E176" s="14">
        <v>45721</v>
      </c>
      <c r="F176" s="14">
        <v>45723</v>
      </c>
      <c r="G176" s="14">
        <v>45753</v>
      </c>
      <c r="H176" s="15">
        <v>4171.6099999999997</v>
      </c>
      <c r="I176" s="15">
        <v>544.12</v>
      </c>
      <c r="J176" s="15">
        <v>3627.49</v>
      </c>
      <c r="K176" t="s">
        <v>2881</v>
      </c>
      <c r="M176" t="s">
        <v>2882</v>
      </c>
      <c r="N176" s="14">
        <v>45729</v>
      </c>
      <c r="O176" t="s">
        <v>2209</v>
      </c>
      <c r="P176" t="s">
        <v>2217</v>
      </c>
      <c r="Q176" t="s">
        <v>128</v>
      </c>
      <c r="R176" t="s">
        <v>175</v>
      </c>
      <c r="S176" t="s">
        <v>130</v>
      </c>
      <c r="T176" t="s">
        <v>2211</v>
      </c>
      <c r="U176">
        <f t="shared" si="12"/>
        <v>2</v>
      </c>
      <c r="V176" t="b">
        <f t="shared" si="13"/>
        <v>0</v>
      </c>
      <c r="W176" t="b">
        <f t="shared" si="14"/>
        <v>0</v>
      </c>
      <c r="X176" t="b">
        <f t="shared" si="15"/>
        <v>0</v>
      </c>
      <c r="Y176" t="b">
        <f t="shared" si="16"/>
        <v>0</v>
      </c>
      <c r="Z176" t="b">
        <f t="shared" si="17"/>
        <v>0</v>
      </c>
    </row>
    <row r="177" spans="1:26" ht="15" customHeight="1">
      <c r="A177" t="s">
        <v>2883</v>
      </c>
      <c r="B177" t="s">
        <v>251</v>
      </c>
      <c r="C177" t="s">
        <v>2218</v>
      </c>
      <c r="D177" t="s">
        <v>2884</v>
      </c>
      <c r="E177" s="14">
        <v>46010</v>
      </c>
      <c r="F177" s="14">
        <v>46013</v>
      </c>
      <c r="G177" s="14">
        <v>46043</v>
      </c>
      <c r="H177" s="15">
        <v>65880.36</v>
      </c>
      <c r="I177" s="15">
        <v>8593.09</v>
      </c>
      <c r="J177" s="15">
        <v>57287.27</v>
      </c>
      <c r="K177" t="s">
        <v>2885</v>
      </c>
      <c r="M177" t="s">
        <v>2886</v>
      </c>
      <c r="N177" s="14">
        <v>46049</v>
      </c>
      <c r="O177" t="s">
        <v>2209</v>
      </c>
      <c r="P177" t="s">
        <v>2223</v>
      </c>
      <c r="Q177" t="s">
        <v>129</v>
      </c>
      <c r="R177" t="s">
        <v>128</v>
      </c>
      <c r="S177" t="s">
        <v>130</v>
      </c>
      <c r="T177" t="s">
        <v>2211</v>
      </c>
      <c r="U177">
        <f t="shared" si="12"/>
        <v>3</v>
      </c>
      <c r="V177" t="b">
        <f t="shared" si="13"/>
        <v>0</v>
      </c>
      <c r="W177" t="b">
        <f t="shared" si="14"/>
        <v>0</v>
      </c>
      <c r="X177" t="b">
        <f t="shared" si="15"/>
        <v>0</v>
      </c>
      <c r="Y177" t="b">
        <f t="shared" si="16"/>
        <v>1</v>
      </c>
      <c r="Z177" t="b">
        <f t="shared" si="17"/>
        <v>1</v>
      </c>
    </row>
    <row r="178" spans="1:26" ht="15" customHeight="1">
      <c r="A178" t="s">
        <v>2887</v>
      </c>
      <c r="B178" t="s">
        <v>212</v>
      </c>
      <c r="C178" t="s">
        <v>2226</v>
      </c>
      <c r="D178" t="s">
        <v>2888</v>
      </c>
      <c r="E178" s="14">
        <v>45870</v>
      </c>
      <c r="F178" s="14">
        <v>45871</v>
      </c>
      <c r="G178" s="14">
        <v>45901</v>
      </c>
      <c r="H178" s="15">
        <v>6479.19</v>
      </c>
      <c r="I178" s="15">
        <v>845.11</v>
      </c>
      <c r="J178" s="15">
        <v>5634.08</v>
      </c>
      <c r="K178" t="s">
        <v>2889</v>
      </c>
      <c r="L178" t="s">
        <v>2890</v>
      </c>
      <c r="N178" s="14"/>
      <c r="O178" t="s">
        <v>288</v>
      </c>
      <c r="P178" t="s">
        <v>2231</v>
      </c>
      <c r="Q178" t="s">
        <v>140</v>
      </c>
      <c r="R178" t="s">
        <v>128</v>
      </c>
      <c r="S178" t="s">
        <v>130</v>
      </c>
      <c r="T178" t="s">
        <v>2224</v>
      </c>
      <c r="U178">
        <f t="shared" si="12"/>
        <v>1</v>
      </c>
      <c r="V178" t="b">
        <f t="shared" si="13"/>
        <v>0</v>
      </c>
      <c r="W178" t="b">
        <f t="shared" si="14"/>
        <v>0</v>
      </c>
      <c r="X178" t="b">
        <f t="shared" si="15"/>
        <v>0</v>
      </c>
      <c r="Y178" t="b">
        <f t="shared" si="16"/>
        <v>0</v>
      </c>
      <c r="Z178" t="b">
        <f t="shared" si="17"/>
        <v>0</v>
      </c>
    </row>
    <row r="179" spans="1:26" ht="15" customHeight="1">
      <c r="A179" t="s">
        <v>2891</v>
      </c>
      <c r="B179" t="s">
        <v>440</v>
      </c>
      <c r="C179" t="s">
        <v>2307</v>
      </c>
      <c r="D179" t="s">
        <v>2892</v>
      </c>
      <c r="E179" s="14">
        <v>45916</v>
      </c>
      <c r="F179" s="14">
        <v>45921</v>
      </c>
      <c r="G179" s="14">
        <v>45951</v>
      </c>
      <c r="H179" s="15">
        <v>30666.69</v>
      </c>
      <c r="I179" s="15">
        <v>4000</v>
      </c>
      <c r="J179" s="15">
        <v>26666.69</v>
      </c>
      <c r="K179" t="s">
        <v>2893</v>
      </c>
      <c r="N179" s="14"/>
      <c r="O179" t="s">
        <v>288</v>
      </c>
      <c r="P179" t="s">
        <v>2243</v>
      </c>
      <c r="Q179" t="s">
        <v>128</v>
      </c>
      <c r="R179" t="s">
        <v>150</v>
      </c>
      <c r="S179" t="s">
        <v>130</v>
      </c>
      <c r="T179" t="s">
        <v>2211</v>
      </c>
      <c r="U179">
        <f t="shared" si="12"/>
        <v>5</v>
      </c>
      <c r="V179" t="b">
        <f t="shared" si="13"/>
        <v>0</v>
      </c>
      <c r="W179" t="b">
        <f t="shared" si="14"/>
        <v>0</v>
      </c>
      <c r="X179" t="b">
        <f t="shared" si="15"/>
        <v>0</v>
      </c>
      <c r="Y179" t="b">
        <f t="shared" si="16"/>
        <v>0</v>
      </c>
      <c r="Z179" t="b">
        <f t="shared" si="17"/>
        <v>0</v>
      </c>
    </row>
    <row r="180" spans="1:26" ht="15" customHeight="1">
      <c r="A180" t="s">
        <v>886</v>
      </c>
      <c r="B180" t="s">
        <v>887</v>
      </c>
      <c r="C180" t="s">
        <v>2347</v>
      </c>
      <c r="D180" t="s">
        <v>2894</v>
      </c>
      <c r="E180" s="14">
        <v>45947</v>
      </c>
      <c r="F180" s="14">
        <v>45947</v>
      </c>
      <c r="G180" s="14">
        <v>45977</v>
      </c>
      <c r="H180" s="15">
        <v>66267.149999999994</v>
      </c>
      <c r="I180" s="15">
        <v>8643.5400000000009</v>
      </c>
      <c r="J180" s="15">
        <v>57623.61</v>
      </c>
      <c r="K180" t="s">
        <v>2895</v>
      </c>
      <c r="L180" t="s">
        <v>2896</v>
      </c>
      <c r="M180" t="s">
        <v>2897</v>
      </c>
      <c r="N180" s="14">
        <v>45955</v>
      </c>
      <c r="O180" t="s">
        <v>2209</v>
      </c>
      <c r="P180" t="s">
        <v>2223</v>
      </c>
      <c r="Q180" t="s">
        <v>128</v>
      </c>
      <c r="R180" t="s">
        <v>150</v>
      </c>
      <c r="S180" t="s">
        <v>130</v>
      </c>
      <c r="T180" t="s">
        <v>2224</v>
      </c>
      <c r="U180">
        <f t="shared" si="12"/>
        <v>0</v>
      </c>
      <c r="V180" t="b">
        <f t="shared" si="13"/>
        <v>0</v>
      </c>
      <c r="W180" t="b">
        <f t="shared" si="14"/>
        <v>0</v>
      </c>
      <c r="X180" t="b">
        <f t="shared" si="15"/>
        <v>0</v>
      </c>
      <c r="Y180" t="b">
        <f t="shared" si="16"/>
        <v>0</v>
      </c>
      <c r="Z180" t="b">
        <f t="shared" si="17"/>
        <v>0</v>
      </c>
    </row>
    <row r="181" spans="1:26" ht="15" customHeight="1">
      <c r="A181" t="s">
        <v>891</v>
      </c>
      <c r="B181" t="s">
        <v>887</v>
      </c>
      <c r="C181" t="s">
        <v>2347</v>
      </c>
      <c r="D181" t="s">
        <v>2898</v>
      </c>
      <c r="E181" s="14">
        <v>45660</v>
      </c>
      <c r="F181" s="14">
        <v>45663</v>
      </c>
      <c r="G181" s="14">
        <v>45693</v>
      </c>
      <c r="H181" s="15">
        <v>16871.47</v>
      </c>
      <c r="I181" s="15">
        <v>2200.63</v>
      </c>
      <c r="J181" s="15">
        <v>14670.84</v>
      </c>
      <c r="K181" t="s">
        <v>2899</v>
      </c>
      <c r="L181" t="s">
        <v>2900</v>
      </c>
      <c r="M181" t="s">
        <v>2901</v>
      </c>
      <c r="N181" s="14">
        <v>45707</v>
      </c>
      <c r="O181" t="s">
        <v>2209</v>
      </c>
      <c r="P181" t="s">
        <v>2223</v>
      </c>
      <c r="Q181" t="s">
        <v>151</v>
      </c>
      <c r="R181" t="s">
        <v>175</v>
      </c>
      <c r="S181" t="s">
        <v>130</v>
      </c>
      <c r="T181" t="s">
        <v>2224</v>
      </c>
      <c r="U181">
        <f t="shared" si="12"/>
        <v>3</v>
      </c>
      <c r="V181" t="b">
        <f t="shared" si="13"/>
        <v>0</v>
      </c>
      <c r="W181" t="b">
        <f t="shared" si="14"/>
        <v>0</v>
      </c>
      <c r="X181" t="b">
        <f t="shared" si="15"/>
        <v>0</v>
      </c>
      <c r="Y181" t="b">
        <f t="shared" si="16"/>
        <v>0</v>
      </c>
      <c r="Z181" t="b">
        <f t="shared" si="17"/>
        <v>0</v>
      </c>
    </row>
    <row r="182" spans="1:26" ht="15" customHeight="1">
      <c r="A182" t="s">
        <v>2902</v>
      </c>
      <c r="B182" t="s">
        <v>313</v>
      </c>
      <c r="C182" t="s">
        <v>2253</v>
      </c>
      <c r="D182" t="s">
        <v>2903</v>
      </c>
      <c r="E182" s="14">
        <v>46009</v>
      </c>
      <c r="F182" s="14">
        <v>46010</v>
      </c>
      <c r="G182" s="14">
        <v>46040</v>
      </c>
      <c r="H182" s="15">
        <v>21458.38</v>
      </c>
      <c r="I182" s="15">
        <v>2798.92</v>
      </c>
      <c r="J182" s="15">
        <v>18659.46</v>
      </c>
      <c r="K182" t="s">
        <v>2904</v>
      </c>
      <c r="M182" t="s">
        <v>2905</v>
      </c>
      <c r="N182" s="14">
        <v>46051</v>
      </c>
      <c r="O182" t="s">
        <v>2209</v>
      </c>
      <c r="P182" t="s">
        <v>2243</v>
      </c>
      <c r="Q182" t="s">
        <v>140</v>
      </c>
      <c r="R182" t="s">
        <v>128</v>
      </c>
      <c r="S182" t="s">
        <v>130</v>
      </c>
      <c r="T182" t="s">
        <v>2211</v>
      </c>
      <c r="U182">
        <f t="shared" si="12"/>
        <v>1</v>
      </c>
      <c r="V182" t="b">
        <f t="shared" si="13"/>
        <v>0</v>
      </c>
      <c r="W182" t="b">
        <f t="shared" si="14"/>
        <v>0</v>
      </c>
      <c r="X182" t="b">
        <f t="shared" si="15"/>
        <v>0</v>
      </c>
      <c r="Y182" t="b">
        <f t="shared" si="16"/>
        <v>0</v>
      </c>
      <c r="Z182" t="b">
        <f t="shared" si="17"/>
        <v>1</v>
      </c>
    </row>
    <row r="183" spans="1:26" ht="15" customHeight="1">
      <c r="A183" t="s">
        <v>899</v>
      </c>
      <c r="B183" t="s">
        <v>212</v>
      </c>
      <c r="C183" t="s">
        <v>2226</v>
      </c>
      <c r="D183" t="s">
        <v>2906</v>
      </c>
      <c r="E183" s="14">
        <v>45847</v>
      </c>
      <c r="F183" s="14">
        <v>45848</v>
      </c>
      <c r="G183" s="14">
        <v>45878</v>
      </c>
      <c r="H183" s="15">
        <v>1231.01</v>
      </c>
      <c r="I183" s="15">
        <v>160.57</v>
      </c>
      <c r="J183" s="15">
        <v>1070.44</v>
      </c>
      <c r="M183" t="s">
        <v>2907</v>
      </c>
      <c r="N183" s="14">
        <v>45877</v>
      </c>
      <c r="O183" t="s">
        <v>2209</v>
      </c>
      <c r="P183" t="s">
        <v>2243</v>
      </c>
      <c r="Q183" t="s">
        <v>150</v>
      </c>
      <c r="R183" t="s">
        <v>129</v>
      </c>
      <c r="S183" t="s">
        <v>130</v>
      </c>
      <c r="T183" t="s">
        <v>2211</v>
      </c>
      <c r="U183">
        <f t="shared" si="12"/>
        <v>1</v>
      </c>
      <c r="V183" t="b">
        <f t="shared" si="13"/>
        <v>0</v>
      </c>
      <c r="W183" t="b">
        <f t="shared" si="14"/>
        <v>0</v>
      </c>
      <c r="X183" t="b">
        <f t="shared" si="15"/>
        <v>1</v>
      </c>
      <c r="Y183" t="b">
        <f t="shared" si="16"/>
        <v>0</v>
      </c>
      <c r="Z183" t="b">
        <f t="shared" si="17"/>
        <v>0</v>
      </c>
    </row>
    <row r="184" spans="1:26" ht="15" customHeight="1">
      <c r="A184" t="s">
        <v>2908</v>
      </c>
      <c r="B184" t="s">
        <v>251</v>
      </c>
      <c r="C184" t="s">
        <v>2218</v>
      </c>
      <c r="D184" t="s">
        <v>2909</v>
      </c>
      <c r="E184" s="14">
        <v>45909</v>
      </c>
      <c r="F184" s="14">
        <v>45910</v>
      </c>
      <c r="G184" s="14">
        <v>45940</v>
      </c>
      <c r="H184" s="15">
        <v>10878.8</v>
      </c>
      <c r="I184" s="15">
        <v>1418.97</v>
      </c>
      <c r="J184" s="15">
        <v>9459.83</v>
      </c>
      <c r="K184" t="s">
        <v>2910</v>
      </c>
      <c r="M184" t="s">
        <v>2911</v>
      </c>
      <c r="N184" s="14">
        <v>45953</v>
      </c>
      <c r="O184" t="s">
        <v>2209</v>
      </c>
      <c r="P184" t="s">
        <v>2243</v>
      </c>
      <c r="Q184" t="s">
        <v>151</v>
      </c>
      <c r="R184" t="s">
        <v>129</v>
      </c>
      <c r="S184" t="s">
        <v>130</v>
      </c>
      <c r="T184" t="s">
        <v>2211</v>
      </c>
      <c r="U184">
        <f t="shared" si="12"/>
        <v>1</v>
      </c>
      <c r="V184" t="b">
        <f t="shared" si="13"/>
        <v>0</v>
      </c>
      <c r="W184" t="b">
        <f t="shared" si="14"/>
        <v>0</v>
      </c>
      <c r="X184" t="b">
        <f t="shared" si="15"/>
        <v>0</v>
      </c>
      <c r="Y184" t="b">
        <f t="shared" si="16"/>
        <v>0</v>
      </c>
      <c r="Z184" t="b">
        <f t="shared" si="17"/>
        <v>0</v>
      </c>
    </row>
    <row r="185" spans="1:26" ht="15" customHeight="1">
      <c r="A185" t="s">
        <v>907</v>
      </c>
      <c r="B185" t="s">
        <v>251</v>
      </c>
      <c r="C185" t="s">
        <v>2218</v>
      </c>
      <c r="D185" t="s">
        <v>2912</v>
      </c>
      <c r="E185" s="14">
        <v>45740</v>
      </c>
      <c r="F185" s="14">
        <v>45740</v>
      </c>
      <c r="G185" s="14">
        <v>45770</v>
      </c>
      <c r="H185" s="15">
        <v>49433.01</v>
      </c>
      <c r="I185" s="15">
        <v>6447.78</v>
      </c>
      <c r="J185" s="15">
        <v>42985.23</v>
      </c>
      <c r="K185" t="s">
        <v>2913</v>
      </c>
      <c r="M185" t="s">
        <v>2914</v>
      </c>
      <c r="N185" s="14">
        <v>45782</v>
      </c>
      <c r="O185" t="s">
        <v>2209</v>
      </c>
      <c r="P185" t="s">
        <v>2243</v>
      </c>
      <c r="Q185" t="s">
        <v>151</v>
      </c>
      <c r="R185" t="s">
        <v>150</v>
      </c>
      <c r="S185" t="s">
        <v>130</v>
      </c>
      <c r="T185" t="s">
        <v>2211</v>
      </c>
      <c r="U185">
        <f t="shared" si="12"/>
        <v>0</v>
      </c>
      <c r="V185" t="b">
        <f t="shared" si="13"/>
        <v>0</v>
      </c>
      <c r="W185" t="b">
        <f t="shared" si="14"/>
        <v>0</v>
      </c>
      <c r="X185" t="b">
        <f t="shared" si="15"/>
        <v>0</v>
      </c>
      <c r="Y185" t="b">
        <f t="shared" si="16"/>
        <v>0</v>
      </c>
      <c r="Z185" t="b">
        <f t="shared" si="17"/>
        <v>0</v>
      </c>
    </row>
    <row r="186" spans="1:26" ht="15" customHeight="1">
      <c r="A186" t="s">
        <v>2107</v>
      </c>
      <c r="B186" t="s">
        <v>313</v>
      </c>
      <c r="C186" t="s">
        <v>2253</v>
      </c>
      <c r="D186" t="s">
        <v>2915</v>
      </c>
      <c r="E186" s="14">
        <v>45817</v>
      </c>
      <c r="F186" s="14">
        <v>45832</v>
      </c>
      <c r="G186" s="14">
        <v>45862</v>
      </c>
      <c r="H186" s="15">
        <v>6553.17</v>
      </c>
      <c r="I186" s="15">
        <v>854.76</v>
      </c>
      <c r="J186" s="15">
        <v>5698.41</v>
      </c>
      <c r="K186" t="s">
        <v>2916</v>
      </c>
      <c r="M186" t="s">
        <v>2917</v>
      </c>
      <c r="N186" s="14">
        <v>45873</v>
      </c>
      <c r="O186" t="s">
        <v>2209</v>
      </c>
      <c r="P186" t="s">
        <v>2217</v>
      </c>
      <c r="Q186" t="s">
        <v>151</v>
      </c>
      <c r="R186" t="s">
        <v>175</v>
      </c>
      <c r="S186" t="s">
        <v>130</v>
      </c>
      <c r="T186" t="s">
        <v>2211</v>
      </c>
      <c r="U186">
        <f t="shared" si="12"/>
        <v>15</v>
      </c>
      <c r="V186" t="b">
        <f t="shared" si="13"/>
        <v>0</v>
      </c>
      <c r="W186" t="b">
        <f t="shared" si="14"/>
        <v>0</v>
      </c>
      <c r="X186" t="b">
        <f t="shared" si="15"/>
        <v>0</v>
      </c>
      <c r="Y186" t="b">
        <f t="shared" si="16"/>
        <v>0</v>
      </c>
      <c r="Z186" t="b">
        <f t="shared" si="17"/>
        <v>0</v>
      </c>
    </row>
    <row r="187" spans="1:26" ht="15" customHeight="1">
      <c r="A187" t="s">
        <v>2918</v>
      </c>
      <c r="B187" t="s">
        <v>782</v>
      </c>
      <c r="C187" t="s">
        <v>2205</v>
      </c>
      <c r="D187" t="s">
        <v>2919</v>
      </c>
      <c r="E187" s="14">
        <v>45858</v>
      </c>
      <c r="F187" s="14">
        <v>45860</v>
      </c>
      <c r="G187" s="14">
        <v>45890</v>
      </c>
      <c r="H187" s="15">
        <v>10285.84</v>
      </c>
      <c r="I187" s="15">
        <v>1341.63</v>
      </c>
      <c r="J187" s="15">
        <v>8944.2099999999991</v>
      </c>
      <c r="K187" t="s">
        <v>2920</v>
      </c>
      <c r="M187" t="s">
        <v>2921</v>
      </c>
      <c r="N187" s="14">
        <v>45904</v>
      </c>
      <c r="O187" t="s">
        <v>2209</v>
      </c>
      <c r="P187" t="s">
        <v>2210</v>
      </c>
      <c r="Q187" t="s">
        <v>129</v>
      </c>
      <c r="R187" t="s">
        <v>150</v>
      </c>
      <c r="S187" t="s">
        <v>130</v>
      </c>
      <c r="T187" t="s">
        <v>2211</v>
      </c>
      <c r="U187">
        <f t="shared" si="12"/>
        <v>2</v>
      </c>
      <c r="V187" t="b">
        <f t="shared" si="13"/>
        <v>0</v>
      </c>
      <c r="W187" t="b">
        <f t="shared" si="14"/>
        <v>0</v>
      </c>
      <c r="X187" t="b">
        <f t="shared" si="15"/>
        <v>0</v>
      </c>
      <c r="Y187" t="b">
        <f t="shared" si="16"/>
        <v>0</v>
      </c>
      <c r="Z187" t="b">
        <f t="shared" si="17"/>
        <v>0</v>
      </c>
    </row>
    <row r="188" spans="1:26" ht="15" customHeight="1">
      <c r="A188" t="s">
        <v>2922</v>
      </c>
      <c r="B188" t="s">
        <v>887</v>
      </c>
      <c r="C188" t="s">
        <v>2347</v>
      </c>
      <c r="D188" t="s">
        <v>2923</v>
      </c>
      <c r="E188" s="14">
        <v>45728</v>
      </c>
      <c r="F188" s="14">
        <v>45730</v>
      </c>
      <c r="G188" s="14">
        <v>45760</v>
      </c>
      <c r="H188" s="15">
        <v>48151.24</v>
      </c>
      <c r="I188" s="15">
        <v>6280.6</v>
      </c>
      <c r="J188" s="15">
        <v>41870.639999999999</v>
      </c>
      <c r="K188" t="s">
        <v>2924</v>
      </c>
      <c r="L188" t="s">
        <v>2925</v>
      </c>
      <c r="M188" t="s">
        <v>2926</v>
      </c>
      <c r="N188" s="14">
        <v>45753</v>
      </c>
      <c r="O188" t="s">
        <v>2209</v>
      </c>
      <c r="P188" t="s">
        <v>2223</v>
      </c>
      <c r="Q188" t="s">
        <v>150</v>
      </c>
      <c r="R188" t="s">
        <v>151</v>
      </c>
      <c r="S188" t="s">
        <v>130</v>
      </c>
      <c r="T188" t="s">
        <v>2224</v>
      </c>
      <c r="U188">
        <f t="shared" si="12"/>
        <v>2</v>
      </c>
      <c r="V188" t="b">
        <f t="shared" si="13"/>
        <v>0</v>
      </c>
      <c r="W188" t="b">
        <f t="shared" si="14"/>
        <v>0</v>
      </c>
      <c r="X188" t="b">
        <f t="shared" si="15"/>
        <v>0</v>
      </c>
      <c r="Y188" t="b">
        <f t="shared" si="16"/>
        <v>0</v>
      </c>
      <c r="Z188" t="b">
        <f t="shared" si="17"/>
        <v>0</v>
      </c>
    </row>
    <row r="189" spans="1:26" ht="15" customHeight="1">
      <c r="A189" t="s">
        <v>2927</v>
      </c>
      <c r="B189" t="s">
        <v>322</v>
      </c>
      <c r="C189" t="s">
        <v>2213</v>
      </c>
      <c r="D189" t="s">
        <v>2928</v>
      </c>
      <c r="E189" s="14">
        <v>45955</v>
      </c>
      <c r="F189" s="14">
        <v>45958</v>
      </c>
      <c r="G189" s="14">
        <v>45988</v>
      </c>
      <c r="H189" s="15">
        <v>50954.720000000001</v>
      </c>
      <c r="I189" s="15">
        <v>6646.27</v>
      </c>
      <c r="J189" s="15">
        <v>44308.45</v>
      </c>
      <c r="K189" t="s">
        <v>2929</v>
      </c>
      <c r="L189" t="s">
        <v>2930</v>
      </c>
      <c r="M189" t="s">
        <v>2931</v>
      </c>
      <c r="N189" s="14">
        <v>45974</v>
      </c>
      <c r="O189" t="s">
        <v>2209</v>
      </c>
      <c r="P189" t="s">
        <v>2223</v>
      </c>
      <c r="Q189" t="s">
        <v>140</v>
      </c>
      <c r="R189" t="s">
        <v>151</v>
      </c>
      <c r="S189" t="s">
        <v>130</v>
      </c>
      <c r="T189" t="s">
        <v>2224</v>
      </c>
      <c r="U189">
        <f t="shared" si="12"/>
        <v>3</v>
      </c>
      <c r="V189" t="b">
        <f t="shared" si="13"/>
        <v>0</v>
      </c>
      <c r="W189" t="b">
        <f t="shared" si="14"/>
        <v>0</v>
      </c>
      <c r="X189" t="b">
        <f t="shared" si="15"/>
        <v>0</v>
      </c>
      <c r="Y189" t="b">
        <f t="shared" si="16"/>
        <v>0</v>
      </c>
      <c r="Z189" t="b">
        <f t="shared" si="17"/>
        <v>0</v>
      </c>
    </row>
    <row r="190" spans="1:26" ht="15" customHeight="1">
      <c r="A190" t="s">
        <v>2932</v>
      </c>
      <c r="B190" t="s">
        <v>349</v>
      </c>
      <c r="C190" t="s">
        <v>2245</v>
      </c>
      <c r="D190" t="s">
        <v>2933</v>
      </c>
      <c r="E190" s="14">
        <v>45909</v>
      </c>
      <c r="F190" s="14">
        <v>45911</v>
      </c>
      <c r="G190" s="14">
        <v>45941</v>
      </c>
      <c r="H190" s="15">
        <v>61426.33</v>
      </c>
      <c r="I190" s="15">
        <v>8012.13</v>
      </c>
      <c r="J190" s="15">
        <v>53414.2</v>
      </c>
      <c r="K190" t="s">
        <v>2934</v>
      </c>
      <c r="L190" t="s">
        <v>2935</v>
      </c>
      <c r="N190" s="14"/>
      <c r="O190" t="s">
        <v>288</v>
      </c>
      <c r="P190" t="s">
        <v>2231</v>
      </c>
      <c r="Q190" t="s">
        <v>140</v>
      </c>
      <c r="R190" t="s">
        <v>128</v>
      </c>
      <c r="S190" t="s">
        <v>130</v>
      </c>
      <c r="T190" t="s">
        <v>2224</v>
      </c>
      <c r="U190">
        <f t="shared" si="12"/>
        <v>2</v>
      </c>
      <c r="V190" t="b">
        <f t="shared" si="13"/>
        <v>0</v>
      </c>
      <c r="W190" t="b">
        <f t="shared" si="14"/>
        <v>0</v>
      </c>
      <c r="X190" t="b">
        <f t="shared" si="15"/>
        <v>0</v>
      </c>
      <c r="Y190" t="b">
        <f t="shared" si="16"/>
        <v>0</v>
      </c>
      <c r="Z190" t="b">
        <f t="shared" si="17"/>
        <v>0</v>
      </c>
    </row>
    <row r="191" spans="1:26" ht="15" customHeight="1">
      <c r="A191" t="s">
        <v>2936</v>
      </c>
      <c r="B191" t="s">
        <v>322</v>
      </c>
      <c r="C191" t="s">
        <v>2213</v>
      </c>
      <c r="D191" t="s">
        <v>2937</v>
      </c>
      <c r="E191" s="14">
        <v>45971</v>
      </c>
      <c r="F191" s="14">
        <v>45986</v>
      </c>
      <c r="G191" s="14">
        <v>46016</v>
      </c>
      <c r="H191" s="15">
        <v>19980.71</v>
      </c>
      <c r="I191" s="15">
        <v>2606.1799999999998</v>
      </c>
      <c r="J191" s="15">
        <v>17374.53</v>
      </c>
      <c r="K191" t="s">
        <v>2938</v>
      </c>
      <c r="L191" t="s">
        <v>2939</v>
      </c>
      <c r="M191" t="s">
        <v>2940</v>
      </c>
      <c r="N191" s="14">
        <v>46017</v>
      </c>
      <c r="O191" t="s">
        <v>2209</v>
      </c>
      <c r="P191" t="s">
        <v>2223</v>
      </c>
      <c r="Q191" t="s">
        <v>151</v>
      </c>
      <c r="R191" t="s">
        <v>175</v>
      </c>
      <c r="S191" t="s">
        <v>130</v>
      </c>
      <c r="T191" t="s">
        <v>2224</v>
      </c>
      <c r="U191">
        <f t="shared" si="12"/>
        <v>15</v>
      </c>
      <c r="V191" t="b">
        <f t="shared" si="13"/>
        <v>0</v>
      </c>
      <c r="W191" t="b">
        <f t="shared" si="14"/>
        <v>0</v>
      </c>
      <c r="X191" t="b">
        <f t="shared" si="15"/>
        <v>0</v>
      </c>
      <c r="Y191" t="b">
        <f t="shared" si="16"/>
        <v>0</v>
      </c>
      <c r="Z191" t="b">
        <f t="shared" si="17"/>
        <v>0</v>
      </c>
    </row>
    <row r="192" spans="1:26" ht="15" customHeight="1">
      <c r="A192" t="s">
        <v>2941</v>
      </c>
      <c r="B192" t="s">
        <v>440</v>
      </c>
      <c r="C192" t="s">
        <v>2307</v>
      </c>
      <c r="D192" t="s">
        <v>2942</v>
      </c>
      <c r="E192" s="14">
        <v>45897</v>
      </c>
      <c r="F192" s="14">
        <v>45904</v>
      </c>
      <c r="G192" s="14">
        <v>45934</v>
      </c>
      <c r="H192" s="15">
        <v>34661.69</v>
      </c>
      <c r="I192" s="15">
        <v>4521.09</v>
      </c>
      <c r="J192" s="15">
        <v>30140.6</v>
      </c>
      <c r="K192" t="s">
        <v>2943</v>
      </c>
      <c r="N192" s="14"/>
      <c r="O192" t="s">
        <v>288</v>
      </c>
      <c r="P192" t="s">
        <v>2217</v>
      </c>
      <c r="Q192" t="s">
        <v>150</v>
      </c>
      <c r="R192" t="s">
        <v>151</v>
      </c>
      <c r="S192" t="s">
        <v>130</v>
      </c>
      <c r="T192" t="s">
        <v>2211</v>
      </c>
      <c r="U192">
        <f t="shared" si="12"/>
        <v>7</v>
      </c>
      <c r="V192" t="b">
        <f t="shared" si="13"/>
        <v>0</v>
      </c>
      <c r="W192" t="b">
        <f t="shared" si="14"/>
        <v>0</v>
      </c>
      <c r="X192" t="b">
        <f t="shared" si="15"/>
        <v>0</v>
      </c>
      <c r="Y192" t="b">
        <f t="shared" si="16"/>
        <v>0</v>
      </c>
      <c r="Z192" t="b">
        <f t="shared" si="17"/>
        <v>0</v>
      </c>
    </row>
    <row r="193" spans="1:26" ht="15" customHeight="1">
      <c r="A193" t="s">
        <v>2135</v>
      </c>
      <c r="B193" t="s">
        <v>229</v>
      </c>
      <c r="C193" t="s">
        <v>2263</v>
      </c>
      <c r="D193" t="s">
        <v>2944</v>
      </c>
      <c r="E193" s="14">
        <v>45820</v>
      </c>
      <c r="F193" s="14">
        <v>45850</v>
      </c>
      <c r="G193" s="14">
        <v>45880</v>
      </c>
      <c r="H193" s="15">
        <v>61439.92</v>
      </c>
      <c r="I193" s="15">
        <v>8013.9</v>
      </c>
      <c r="J193" s="15">
        <v>53426.02</v>
      </c>
      <c r="K193" t="s">
        <v>2945</v>
      </c>
      <c r="L193" t="s">
        <v>2946</v>
      </c>
      <c r="M193" t="s">
        <v>2947</v>
      </c>
      <c r="N193" s="14">
        <v>45885</v>
      </c>
      <c r="O193" t="s">
        <v>2209</v>
      </c>
      <c r="P193" t="s">
        <v>2223</v>
      </c>
      <c r="Q193" t="s">
        <v>128</v>
      </c>
      <c r="R193" t="s">
        <v>128</v>
      </c>
      <c r="S193" t="s">
        <v>130</v>
      </c>
      <c r="T193" t="s">
        <v>2224</v>
      </c>
      <c r="U193">
        <f t="shared" si="12"/>
        <v>30</v>
      </c>
      <c r="V193" t="b">
        <f t="shared" si="13"/>
        <v>0</v>
      </c>
      <c r="W193" t="b">
        <f t="shared" si="14"/>
        <v>0</v>
      </c>
      <c r="X193" t="b">
        <f t="shared" si="15"/>
        <v>0</v>
      </c>
      <c r="Y193" t="b">
        <f t="shared" si="16"/>
        <v>0</v>
      </c>
      <c r="Z193" t="b">
        <f t="shared" si="17"/>
        <v>0</v>
      </c>
    </row>
    <row r="194" spans="1:26" ht="15" customHeight="1">
      <c r="A194" t="s">
        <v>2948</v>
      </c>
      <c r="B194" t="s">
        <v>313</v>
      </c>
      <c r="C194" t="s">
        <v>2253</v>
      </c>
      <c r="D194" t="s">
        <v>2949</v>
      </c>
      <c r="E194" s="14">
        <v>45903</v>
      </c>
      <c r="F194" s="14">
        <v>45913</v>
      </c>
      <c r="G194" s="14">
        <v>45943</v>
      </c>
      <c r="H194" s="15">
        <v>48281.61</v>
      </c>
      <c r="I194" s="15">
        <v>6297.6</v>
      </c>
      <c r="J194" s="15">
        <v>41984.01</v>
      </c>
      <c r="K194" t="s">
        <v>2950</v>
      </c>
      <c r="M194" t="s">
        <v>2951</v>
      </c>
      <c r="N194" s="14">
        <v>45931</v>
      </c>
      <c r="O194" t="s">
        <v>2209</v>
      </c>
      <c r="P194" t="s">
        <v>2223</v>
      </c>
      <c r="Q194" t="s">
        <v>140</v>
      </c>
      <c r="R194" t="s">
        <v>175</v>
      </c>
      <c r="S194" t="s">
        <v>130</v>
      </c>
      <c r="T194" t="s">
        <v>2211</v>
      </c>
      <c r="U194">
        <f t="shared" si="12"/>
        <v>10</v>
      </c>
      <c r="V194" t="b">
        <f t="shared" si="13"/>
        <v>0</v>
      </c>
      <c r="W194" t="b">
        <f t="shared" si="14"/>
        <v>0</v>
      </c>
      <c r="X194" t="b">
        <f t="shared" si="15"/>
        <v>0</v>
      </c>
      <c r="Y194" t="b">
        <f t="shared" si="16"/>
        <v>1</v>
      </c>
      <c r="Z194" t="b">
        <f t="shared" si="17"/>
        <v>0</v>
      </c>
    </row>
    <row r="195" spans="1:26" ht="15" customHeight="1">
      <c r="A195" t="s">
        <v>2952</v>
      </c>
      <c r="B195" t="s">
        <v>212</v>
      </c>
      <c r="C195" t="s">
        <v>2226</v>
      </c>
      <c r="D195" t="s">
        <v>2953</v>
      </c>
      <c r="E195" s="14">
        <v>45895</v>
      </c>
      <c r="F195" s="14">
        <v>45905</v>
      </c>
      <c r="G195" s="14">
        <v>45935</v>
      </c>
      <c r="H195" s="15">
        <v>9069.76</v>
      </c>
      <c r="I195" s="15">
        <v>1183.01</v>
      </c>
      <c r="J195" s="15">
        <v>7886.75</v>
      </c>
      <c r="K195" t="s">
        <v>2954</v>
      </c>
      <c r="M195" t="s">
        <v>2955</v>
      </c>
      <c r="N195" s="14">
        <v>45919</v>
      </c>
      <c r="O195" t="s">
        <v>2209</v>
      </c>
      <c r="P195" t="s">
        <v>2217</v>
      </c>
      <c r="Q195" t="s">
        <v>150</v>
      </c>
      <c r="R195" t="s">
        <v>175</v>
      </c>
      <c r="S195" t="s">
        <v>130</v>
      </c>
      <c r="T195" t="s">
        <v>2211</v>
      </c>
      <c r="U195">
        <f t="shared" si="12"/>
        <v>10</v>
      </c>
      <c r="V195" t="b">
        <f t="shared" si="13"/>
        <v>0</v>
      </c>
      <c r="W195" t="b">
        <f t="shared" si="14"/>
        <v>0</v>
      </c>
      <c r="X195" t="b">
        <f t="shared" si="15"/>
        <v>0</v>
      </c>
      <c r="Y195" t="b">
        <f t="shared" si="16"/>
        <v>0</v>
      </c>
      <c r="Z195" t="b">
        <f t="shared" si="17"/>
        <v>0</v>
      </c>
    </row>
    <row r="196" spans="1:26" ht="15" customHeight="1">
      <c r="A196" t="s">
        <v>2147</v>
      </c>
      <c r="B196" t="s">
        <v>313</v>
      </c>
      <c r="C196" t="s">
        <v>2253</v>
      </c>
      <c r="D196" t="s">
        <v>2956</v>
      </c>
      <c r="E196" s="14">
        <v>46011</v>
      </c>
      <c r="F196" s="14">
        <v>46021</v>
      </c>
      <c r="G196" s="14">
        <v>46051</v>
      </c>
      <c r="H196" s="15">
        <v>48961.79</v>
      </c>
      <c r="I196" s="15">
        <v>6386.32</v>
      </c>
      <c r="J196" s="15">
        <v>42575.47</v>
      </c>
      <c r="K196" t="s">
        <v>2957</v>
      </c>
      <c r="L196" t="s">
        <v>2958</v>
      </c>
      <c r="N196" s="14"/>
      <c r="O196" t="s">
        <v>288</v>
      </c>
      <c r="P196" t="s">
        <v>2231</v>
      </c>
      <c r="Q196" t="s">
        <v>129</v>
      </c>
      <c r="R196" t="s">
        <v>129</v>
      </c>
      <c r="S196" t="s">
        <v>130</v>
      </c>
      <c r="T196" t="s">
        <v>2224</v>
      </c>
      <c r="U196">
        <f t="shared" si="12"/>
        <v>10</v>
      </c>
      <c r="V196" t="b">
        <f t="shared" si="13"/>
        <v>0</v>
      </c>
      <c r="W196" t="b">
        <f t="shared" si="14"/>
        <v>0</v>
      </c>
      <c r="X196" t="b">
        <f t="shared" si="15"/>
        <v>0</v>
      </c>
      <c r="Y196" t="b">
        <f t="shared" si="16"/>
        <v>0</v>
      </c>
      <c r="Z196" t="b">
        <f t="shared" si="17"/>
        <v>1</v>
      </c>
    </row>
    <row r="197" spans="1:26" ht="15" customHeight="1">
      <c r="A197" t="s">
        <v>2959</v>
      </c>
      <c r="B197" t="s">
        <v>782</v>
      </c>
      <c r="C197" t="s">
        <v>2205</v>
      </c>
      <c r="D197" t="s">
        <v>2960</v>
      </c>
      <c r="E197" s="14">
        <v>45906</v>
      </c>
      <c r="F197" s="14">
        <v>45936</v>
      </c>
      <c r="G197" s="14">
        <v>45966</v>
      </c>
      <c r="H197" s="15">
        <v>32229</v>
      </c>
      <c r="I197" s="15">
        <v>4203.78</v>
      </c>
      <c r="J197" s="15">
        <v>28025.22</v>
      </c>
      <c r="K197" t="s">
        <v>2961</v>
      </c>
      <c r="M197" t="s">
        <v>2962</v>
      </c>
      <c r="N197" s="14">
        <v>45975</v>
      </c>
      <c r="O197" t="s">
        <v>2209</v>
      </c>
      <c r="P197" t="s">
        <v>2210</v>
      </c>
      <c r="Q197" t="s">
        <v>128</v>
      </c>
      <c r="R197" t="s">
        <v>151</v>
      </c>
      <c r="S197" t="s">
        <v>130</v>
      </c>
      <c r="T197" t="s">
        <v>2211</v>
      </c>
      <c r="U197">
        <f t="shared" ref="U197:U260" si="18">F197-E197</f>
        <v>30</v>
      </c>
      <c r="V197" t="b">
        <f t="shared" ref="V197:V260" si="19">H197&gt;High_Value_AP_Threshold</f>
        <v>0</v>
      </c>
      <c r="W197" t="b">
        <f t="shared" ref="W197:W260" si="20">COUNTIFS($B$5:$B$304,B197,$D$5:$D$304,D197)&gt;1</f>
        <v>0</v>
      </c>
      <c r="X197" t="b">
        <f t="shared" ref="X197:X260" si="21">AND(K197="",P197&lt;&gt;"Utility service",P197&lt;&gt;"Campaign services")</f>
        <v>0</v>
      </c>
      <c r="Y197" t="b">
        <f t="shared" ref="Y197:Y260" si="22">AND(L197="",OR(P197="Merchandise replenishment",P197="Office supplies",P197="Transport and logistics"))</f>
        <v>0</v>
      </c>
      <c r="Z197" t="b">
        <f t="shared" ref="Z197:Z260" si="23">OR(F197&gt;Year_End_Window_End,AND(E197&gt;=Year_End_Window_Start,F197&gt;=Year_End_Window_Start))</f>
        <v>0</v>
      </c>
    </row>
    <row r="198" spans="1:26" ht="15" customHeight="1">
      <c r="A198" t="s">
        <v>959</v>
      </c>
      <c r="B198" t="s">
        <v>349</v>
      </c>
      <c r="C198" t="s">
        <v>2245</v>
      </c>
      <c r="D198" t="s">
        <v>2963</v>
      </c>
      <c r="E198" s="14">
        <v>46002</v>
      </c>
      <c r="F198" s="14">
        <v>46005</v>
      </c>
      <c r="G198" s="14">
        <v>46035</v>
      </c>
      <c r="H198" s="15">
        <v>38022.589999999997</v>
      </c>
      <c r="I198" s="15">
        <v>4959.47</v>
      </c>
      <c r="J198" s="15">
        <v>33063.120000000003</v>
      </c>
      <c r="K198" t="s">
        <v>2964</v>
      </c>
      <c r="L198" t="s">
        <v>2965</v>
      </c>
      <c r="M198" t="s">
        <v>2966</v>
      </c>
      <c r="N198" s="14">
        <v>46022</v>
      </c>
      <c r="O198" t="s">
        <v>2209</v>
      </c>
      <c r="P198" t="s">
        <v>2223</v>
      </c>
      <c r="Q198" t="s">
        <v>140</v>
      </c>
      <c r="R198" t="s">
        <v>151</v>
      </c>
      <c r="S198" t="s">
        <v>130</v>
      </c>
      <c r="T198" t="s">
        <v>2224</v>
      </c>
      <c r="U198">
        <f t="shared" si="18"/>
        <v>3</v>
      </c>
      <c r="V198" t="b">
        <f t="shared" si="19"/>
        <v>0</v>
      </c>
      <c r="W198" t="b">
        <f t="shared" si="20"/>
        <v>0</v>
      </c>
      <c r="X198" t="b">
        <f t="shared" si="21"/>
        <v>0</v>
      </c>
      <c r="Y198" t="b">
        <f t="shared" si="22"/>
        <v>0</v>
      </c>
      <c r="Z198" t="b">
        <f t="shared" si="23"/>
        <v>0</v>
      </c>
    </row>
    <row r="199" spans="1:26" ht="15" customHeight="1">
      <c r="A199" t="s">
        <v>963</v>
      </c>
      <c r="B199" t="s">
        <v>229</v>
      </c>
      <c r="C199" t="s">
        <v>2263</v>
      </c>
      <c r="D199" t="s">
        <v>2967</v>
      </c>
      <c r="E199" s="14">
        <v>45685</v>
      </c>
      <c r="F199" s="14">
        <v>45686</v>
      </c>
      <c r="G199" s="14">
        <v>45716</v>
      </c>
      <c r="H199" s="15">
        <v>29114.34</v>
      </c>
      <c r="I199" s="15">
        <v>3797.52</v>
      </c>
      <c r="J199" s="15">
        <v>25316.82</v>
      </c>
      <c r="K199" t="s">
        <v>2968</v>
      </c>
      <c r="L199" t="s">
        <v>2969</v>
      </c>
      <c r="N199" s="14"/>
      <c r="O199" t="s">
        <v>288</v>
      </c>
      <c r="P199" t="s">
        <v>2223</v>
      </c>
      <c r="Q199" t="s">
        <v>128</v>
      </c>
      <c r="R199" t="s">
        <v>151</v>
      </c>
      <c r="S199" t="s">
        <v>130</v>
      </c>
      <c r="T199" t="s">
        <v>2224</v>
      </c>
      <c r="U199">
        <f t="shared" si="18"/>
        <v>1</v>
      </c>
      <c r="V199" t="b">
        <f t="shared" si="19"/>
        <v>0</v>
      </c>
      <c r="W199" t="b">
        <f t="shared" si="20"/>
        <v>0</v>
      </c>
      <c r="X199" t="b">
        <f t="shared" si="21"/>
        <v>0</v>
      </c>
      <c r="Y199" t="b">
        <f t="shared" si="22"/>
        <v>0</v>
      </c>
      <c r="Z199" t="b">
        <f t="shared" si="23"/>
        <v>0</v>
      </c>
    </row>
    <row r="200" spans="1:26" ht="15" customHeight="1">
      <c r="A200" t="s">
        <v>2970</v>
      </c>
      <c r="B200" t="s">
        <v>212</v>
      </c>
      <c r="C200" t="s">
        <v>2226</v>
      </c>
      <c r="D200" t="s">
        <v>2971</v>
      </c>
      <c r="E200" s="14">
        <v>45843</v>
      </c>
      <c r="F200" s="14">
        <v>45845</v>
      </c>
      <c r="G200" s="14">
        <v>45875</v>
      </c>
      <c r="H200" s="15">
        <v>13331.42</v>
      </c>
      <c r="I200" s="15">
        <v>1738.88</v>
      </c>
      <c r="J200" s="15">
        <v>11592.54</v>
      </c>
      <c r="K200" t="s">
        <v>2972</v>
      </c>
      <c r="L200" t="s">
        <v>2973</v>
      </c>
      <c r="N200" s="14"/>
      <c r="O200" t="s">
        <v>288</v>
      </c>
      <c r="P200" t="s">
        <v>2223</v>
      </c>
      <c r="Q200" t="s">
        <v>151</v>
      </c>
      <c r="R200" t="s">
        <v>128</v>
      </c>
      <c r="S200" t="s">
        <v>130</v>
      </c>
      <c r="T200" t="s">
        <v>2224</v>
      </c>
      <c r="U200">
        <f t="shared" si="18"/>
        <v>2</v>
      </c>
      <c r="V200" t="b">
        <f t="shared" si="19"/>
        <v>0</v>
      </c>
      <c r="W200" t="b">
        <f t="shared" si="20"/>
        <v>0</v>
      </c>
      <c r="X200" t="b">
        <f t="shared" si="21"/>
        <v>0</v>
      </c>
      <c r="Y200" t="b">
        <f t="shared" si="22"/>
        <v>0</v>
      </c>
      <c r="Z200" t="b">
        <f t="shared" si="23"/>
        <v>0</v>
      </c>
    </row>
    <row r="201" spans="1:26" ht="15" customHeight="1">
      <c r="A201" t="s">
        <v>2167</v>
      </c>
      <c r="B201" t="s">
        <v>251</v>
      </c>
      <c r="C201" t="s">
        <v>2218</v>
      </c>
      <c r="D201" t="s">
        <v>2974</v>
      </c>
      <c r="E201" s="14">
        <v>45836</v>
      </c>
      <c r="F201" s="14">
        <v>45839</v>
      </c>
      <c r="G201" s="14">
        <v>45869</v>
      </c>
      <c r="H201" s="15">
        <v>74723.39</v>
      </c>
      <c r="I201" s="15">
        <v>9746.5300000000007</v>
      </c>
      <c r="J201" s="15">
        <v>64976.86</v>
      </c>
      <c r="K201" t="s">
        <v>2975</v>
      </c>
      <c r="M201" t="s">
        <v>2976</v>
      </c>
      <c r="N201" s="14">
        <v>45869</v>
      </c>
      <c r="O201" t="s">
        <v>2209</v>
      </c>
      <c r="P201" t="s">
        <v>2217</v>
      </c>
      <c r="Q201" t="s">
        <v>150</v>
      </c>
      <c r="R201" t="s">
        <v>151</v>
      </c>
      <c r="S201" t="s">
        <v>130</v>
      </c>
      <c r="T201" t="s">
        <v>2211</v>
      </c>
      <c r="U201">
        <f t="shared" si="18"/>
        <v>3</v>
      </c>
      <c r="V201" t="b">
        <f t="shared" si="19"/>
        <v>0</v>
      </c>
      <c r="W201" t="b">
        <f t="shared" si="20"/>
        <v>0</v>
      </c>
      <c r="X201" t="b">
        <f t="shared" si="21"/>
        <v>0</v>
      </c>
      <c r="Y201" t="b">
        <f t="shared" si="22"/>
        <v>0</v>
      </c>
      <c r="Z201" t="b">
        <f t="shared" si="23"/>
        <v>0</v>
      </c>
    </row>
    <row r="202" spans="1:26" ht="15" customHeight="1">
      <c r="A202" t="s">
        <v>975</v>
      </c>
      <c r="B202" t="s">
        <v>349</v>
      </c>
      <c r="C202" t="s">
        <v>2245</v>
      </c>
      <c r="D202" t="s">
        <v>2977</v>
      </c>
      <c r="E202" s="14">
        <v>45892</v>
      </c>
      <c r="F202" s="14">
        <v>45892</v>
      </c>
      <c r="G202" s="14">
        <v>45922</v>
      </c>
      <c r="H202" s="15">
        <v>71026.41</v>
      </c>
      <c r="I202" s="15">
        <v>9264.31</v>
      </c>
      <c r="J202" s="15">
        <v>61762.1</v>
      </c>
      <c r="K202" t="s">
        <v>2978</v>
      </c>
      <c r="L202" t="s">
        <v>2979</v>
      </c>
      <c r="M202" t="s">
        <v>2980</v>
      </c>
      <c r="N202" s="14">
        <v>45913</v>
      </c>
      <c r="O202" t="s">
        <v>2209</v>
      </c>
      <c r="P202" t="s">
        <v>2293</v>
      </c>
      <c r="Q202" t="s">
        <v>128</v>
      </c>
      <c r="R202" t="s">
        <v>175</v>
      </c>
      <c r="S202" t="s">
        <v>130</v>
      </c>
      <c r="T202" t="s">
        <v>2224</v>
      </c>
      <c r="U202">
        <f t="shared" si="18"/>
        <v>0</v>
      </c>
      <c r="V202" t="b">
        <f t="shared" si="19"/>
        <v>0</v>
      </c>
      <c r="W202" t="b">
        <f t="shared" si="20"/>
        <v>0</v>
      </c>
      <c r="X202" t="b">
        <f t="shared" si="21"/>
        <v>0</v>
      </c>
      <c r="Y202" t="b">
        <f t="shared" si="22"/>
        <v>0</v>
      </c>
      <c r="Z202" t="b">
        <f t="shared" si="23"/>
        <v>0</v>
      </c>
    </row>
    <row r="203" spans="1:26" ht="15" customHeight="1">
      <c r="A203" t="s">
        <v>2981</v>
      </c>
      <c r="B203" t="s">
        <v>705</v>
      </c>
      <c r="C203" t="s">
        <v>2237</v>
      </c>
      <c r="D203" t="s">
        <v>2982</v>
      </c>
      <c r="E203" s="14">
        <v>45744</v>
      </c>
      <c r="F203" s="14">
        <v>45744</v>
      </c>
      <c r="G203" s="14">
        <v>45774</v>
      </c>
      <c r="H203" s="15">
        <v>65889.5</v>
      </c>
      <c r="I203" s="15">
        <v>8594.2800000000007</v>
      </c>
      <c r="J203" s="15">
        <v>57295.22</v>
      </c>
      <c r="K203" t="s">
        <v>2983</v>
      </c>
      <c r="M203" t="s">
        <v>2984</v>
      </c>
      <c r="N203" s="14">
        <v>45758</v>
      </c>
      <c r="O203" t="s">
        <v>2209</v>
      </c>
      <c r="P203" t="s">
        <v>2243</v>
      </c>
      <c r="Q203" t="s">
        <v>129</v>
      </c>
      <c r="R203" t="s">
        <v>150</v>
      </c>
      <c r="S203" t="s">
        <v>130</v>
      </c>
      <c r="T203" t="s">
        <v>2211</v>
      </c>
      <c r="U203">
        <f t="shared" si="18"/>
        <v>0</v>
      </c>
      <c r="V203" t="b">
        <f t="shared" si="19"/>
        <v>0</v>
      </c>
      <c r="W203" t="b">
        <f t="shared" si="20"/>
        <v>0</v>
      </c>
      <c r="X203" t="b">
        <f t="shared" si="21"/>
        <v>0</v>
      </c>
      <c r="Y203" t="b">
        <f t="shared" si="22"/>
        <v>0</v>
      </c>
      <c r="Z203" t="b">
        <f t="shared" si="23"/>
        <v>0</v>
      </c>
    </row>
    <row r="204" spans="1:26" ht="15" customHeight="1">
      <c r="A204" t="s">
        <v>2985</v>
      </c>
      <c r="B204" t="s">
        <v>251</v>
      </c>
      <c r="C204" t="s">
        <v>2218</v>
      </c>
      <c r="D204" t="s">
        <v>2986</v>
      </c>
      <c r="E204" s="14">
        <v>45769</v>
      </c>
      <c r="F204" s="14">
        <v>45799</v>
      </c>
      <c r="G204" s="14">
        <v>45829</v>
      </c>
      <c r="H204" s="15">
        <v>55283.43</v>
      </c>
      <c r="I204" s="15">
        <v>7210.88</v>
      </c>
      <c r="J204" s="15">
        <v>48072.55</v>
      </c>
      <c r="M204" t="s">
        <v>2987</v>
      </c>
      <c r="N204" s="14">
        <v>45813</v>
      </c>
      <c r="O204" t="s">
        <v>2209</v>
      </c>
      <c r="P204" t="s">
        <v>2231</v>
      </c>
      <c r="Q204" t="s">
        <v>150</v>
      </c>
      <c r="R204" t="s">
        <v>129</v>
      </c>
      <c r="S204" t="s">
        <v>130</v>
      </c>
      <c r="T204" t="s">
        <v>2251</v>
      </c>
      <c r="U204">
        <f t="shared" si="18"/>
        <v>30</v>
      </c>
      <c r="V204" t="b">
        <f t="shared" si="19"/>
        <v>0</v>
      </c>
      <c r="W204" t="b">
        <f t="shared" si="20"/>
        <v>0</v>
      </c>
      <c r="X204" t="b">
        <f t="shared" si="21"/>
        <v>1</v>
      </c>
      <c r="Y204" t="b">
        <f t="shared" si="22"/>
        <v>1</v>
      </c>
      <c r="Z204" t="b">
        <f t="shared" si="23"/>
        <v>0</v>
      </c>
    </row>
    <row r="205" spans="1:26" ht="15" customHeight="1">
      <c r="A205" t="s">
        <v>2988</v>
      </c>
      <c r="B205" t="s">
        <v>705</v>
      </c>
      <c r="C205" t="s">
        <v>2237</v>
      </c>
      <c r="D205" t="s">
        <v>2989</v>
      </c>
      <c r="E205" s="14">
        <v>45714</v>
      </c>
      <c r="F205" s="14">
        <v>45744</v>
      </c>
      <c r="G205" s="14">
        <v>45774</v>
      </c>
      <c r="H205" s="15">
        <v>43908.46</v>
      </c>
      <c r="I205" s="15">
        <v>5727.19</v>
      </c>
      <c r="J205" s="15">
        <v>38181.269999999997</v>
      </c>
      <c r="K205" t="s">
        <v>2990</v>
      </c>
      <c r="M205" t="s">
        <v>2991</v>
      </c>
      <c r="N205" s="14">
        <v>45788</v>
      </c>
      <c r="O205" t="s">
        <v>2209</v>
      </c>
      <c r="P205" t="s">
        <v>2243</v>
      </c>
      <c r="Q205" t="s">
        <v>129</v>
      </c>
      <c r="R205" t="s">
        <v>150</v>
      </c>
      <c r="S205" t="s">
        <v>130</v>
      </c>
      <c r="T205" t="s">
        <v>2211</v>
      </c>
      <c r="U205">
        <f t="shared" si="18"/>
        <v>30</v>
      </c>
      <c r="V205" t="b">
        <f t="shared" si="19"/>
        <v>0</v>
      </c>
      <c r="W205" t="b">
        <f t="shared" si="20"/>
        <v>0</v>
      </c>
      <c r="X205" t="b">
        <f t="shared" si="21"/>
        <v>0</v>
      </c>
      <c r="Y205" t="b">
        <f t="shared" si="22"/>
        <v>0</v>
      </c>
      <c r="Z205" t="b">
        <f t="shared" si="23"/>
        <v>0</v>
      </c>
    </row>
    <row r="206" spans="1:26" ht="15" customHeight="1">
      <c r="A206" t="s">
        <v>2992</v>
      </c>
      <c r="B206" t="s">
        <v>212</v>
      </c>
      <c r="C206" t="s">
        <v>2226</v>
      </c>
      <c r="D206" t="s">
        <v>2993</v>
      </c>
      <c r="E206" s="14">
        <v>45864</v>
      </c>
      <c r="F206" s="14">
        <v>45871</v>
      </c>
      <c r="G206" s="14">
        <v>45901</v>
      </c>
      <c r="H206" s="15">
        <v>47182.86</v>
      </c>
      <c r="I206" s="15">
        <v>6154.29</v>
      </c>
      <c r="J206" s="15">
        <v>41028.57</v>
      </c>
      <c r="K206" t="s">
        <v>2994</v>
      </c>
      <c r="M206" t="s">
        <v>2995</v>
      </c>
      <c r="N206" s="14">
        <v>45902</v>
      </c>
      <c r="O206" t="s">
        <v>2209</v>
      </c>
      <c r="P206" t="s">
        <v>2243</v>
      </c>
      <c r="Q206" t="s">
        <v>175</v>
      </c>
      <c r="R206" t="s">
        <v>175</v>
      </c>
      <c r="S206" t="s">
        <v>130</v>
      </c>
      <c r="T206" t="s">
        <v>2211</v>
      </c>
      <c r="U206">
        <f t="shared" si="18"/>
        <v>7</v>
      </c>
      <c r="V206" t="b">
        <f t="shared" si="19"/>
        <v>0</v>
      </c>
      <c r="W206" t="b">
        <f t="shared" si="20"/>
        <v>0</v>
      </c>
      <c r="X206" t="b">
        <f t="shared" si="21"/>
        <v>0</v>
      </c>
      <c r="Y206" t="b">
        <f t="shared" si="22"/>
        <v>0</v>
      </c>
      <c r="Z206" t="b">
        <f t="shared" si="23"/>
        <v>0</v>
      </c>
    </row>
    <row r="207" spans="1:26" ht="15" customHeight="1">
      <c r="A207" t="s">
        <v>995</v>
      </c>
      <c r="B207" t="s">
        <v>313</v>
      </c>
      <c r="C207" t="s">
        <v>2253</v>
      </c>
      <c r="D207" t="s">
        <v>2996</v>
      </c>
      <c r="E207" s="14">
        <v>45893</v>
      </c>
      <c r="F207" s="14">
        <v>45898</v>
      </c>
      <c r="G207" s="14">
        <v>45928</v>
      </c>
      <c r="H207" s="15">
        <v>22110.54</v>
      </c>
      <c r="I207" s="15">
        <v>2883.98</v>
      </c>
      <c r="J207" s="15">
        <v>19226.560000000001</v>
      </c>
      <c r="K207" t="s">
        <v>2997</v>
      </c>
      <c r="L207" t="s">
        <v>2998</v>
      </c>
      <c r="M207" t="s">
        <v>2999</v>
      </c>
      <c r="N207" s="14">
        <v>45913</v>
      </c>
      <c r="O207" t="s">
        <v>2209</v>
      </c>
      <c r="P207" t="s">
        <v>2293</v>
      </c>
      <c r="Q207" t="s">
        <v>129</v>
      </c>
      <c r="R207" t="s">
        <v>175</v>
      </c>
      <c r="S207" t="s">
        <v>130</v>
      </c>
      <c r="T207" t="s">
        <v>2224</v>
      </c>
      <c r="U207">
        <f t="shared" si="18"/>
        <v>5</v>
      </c>
      <c r="V207" t="b">
        <f t="shared" si="19"/>
        <v>0</v>
      </c>
      <c r="W207" t="b">
        <f t="shared" si="20"/>
        <v>0</v>
      </c>
      <c r="X207" t="b">
        <f t="shared" si="21"/>
        <v>0</v>
      </c>
      <c r="Y207" t="b">
        <f t="shared" si="22"/>
        <v>0</v>
      </c>
      <c r="Z207" t="b">
        <f t="shared" si="23"/>
        <v>0</v>
      </c>
    </row>
    <row r="208" spans="1:26" ht="15" customHeight="1">
      <c r="A208" t="s">
        <v>3000</v>
      </c>
      <c r="B208" t="s">
        <v>440</v>
      </c>
      <c r="C208" t="s">
        <v>2307</v>
      </c>
      <c r="D208" t="s">
        <v>3001</v>
      </c>
      <c r="E208" s="14">
        <v>45915</v>
      </c>
      <c r="F208" s="14">
        <v>45916</v>
      </c>
      <c r="G208" s="14">
        <v>45946</v>
      </c>
      <c r="H208" s="15">
        <v>61397.48</v>
      </c>
      <c r="I208" s="15">
        <v>8008.37</v>
      </c>
      <c r="J208" s="15">
        <v>53389.11</v>
      </c>
      <c r="K208" t="s">
        <v>3002</v>
      </c>
      <c r="L208" t="s">
        <v>3003</v>
      </c>
      <c r="M208" t="s">
        <v>3004</v>
      </c>
      <c r="N208" s="14">
        <v>45929</v>
      </c>
      <c r="O208" t="s">
        <v>2209</v>
      </c>
      <c r="P208" t="s">
        <v>2231</v>
      </c>
      <c r="Q208" t="s">
        <v>175</v>
      </c>
      <c r="R208" t="s">
        <v>128</v>
      </c>
      <c r="S208" t="s">
        <v>288</v>
      </c>
      <c r="T208" t="s">
        <v>2224</v>
      </c>
      <c r="U208">
        <f t="shared" si="18"/>
        <v>1</v>
      </c>
      <c r="V208" t="b">
        <f t="shared" si="19"/>
        <v>0</v>
      </c>
      <c r="W208" t="b">
        <f t="shared" si="20"/>
        <v>0</v>
      </c>
      <c r="X208" t="b">
        <f t="shared" si="21"/>
        <v>0</v>
      </c>
      <c r="Y208" t="b">
        <f t="shared" si="22"/>
        <v>0</v>
      </c>
      <c r="Z208" t="b">
        <f t="shared" si="23"/>
        <v>0</v>
      </c>
    </row>
    <row r="209" spans="1:26" ht="15" customHeight="1">
      <c r="A209" t="s">
        <v>1003</v>
      </c>
      <c r="B209" t="s">
        <v>705</v>
      </c>
      <c r="C209" t="s">
        <v>2237</v>
      </c>
      <c r="D209" t="s">
        <v>3005</v>
      </c>
      <c r="E209" s="14">
        <v>45688</v>
      </c>
      <c r="F209" s="14">
        <v>45695</v>
      </c>
      <c r="G209" s="14">
        <v>45725</v>
      </c>
      <c r="H209" s="15">
        <v>16897.78</v>
      </c>
      <c r="I209" s="15">
        <v>2204.06</v>
      </c>
      <c r="J209" s="15">
        <v>14693.72</v>
      </c>
      <c r="K209" t="s">
        <v>3006</v>
      </c>
      <c r="L209" t="s">
        <v>3007</v>
      </c>
      <c r="M209" t="s">
        <v>3008</v>
      </c>
      <c r="N209" s="14">
        <v>45728</v>
      </c>
      <c r="O209" t="s">
        <v>2209</v>
      </c>
      <c r="P209" t="s">
        <v>2231</v>
      </c>
      <c r="Q209" t="s">
        <v>128</v>
      </c>
      <c r="R209" t="s">
        <v>150</v>
      </c>
      <c r="S209" t="s">
        <v>130</v>
      </c>
      <c r="T209" t="s">
        <v>2224</v>
      </c>
      <c r="U209">
        <f t="shared" si="18"/>
        <v>7</v>
      </c>
      <c r="V209" t="b">
        <f t="shared" si="19"/>
        <v>0</v>
      </c>
      <c r="W209" t="b">
        <f t="shared" si="20"/>
        <v>0</v>
      </c>
      <c r="X209" t="b">
        <f t="shared" si="21"/>
        <v>0</v>
      </c>
      <c r="Y209" t="b">
        <f t="shared" si="22"/>
        <v>0</v>
      </c>
      <c r="Z209" t="b">
        <f t="shared" si="23"/>
        <v>0</v>
      </c>
    </row>
    <row r="210" spans="1:26" ht="15" customHeight="1">
      <c r="A210" t="s">
        <v>3009</v>
      </c>
      <c r="B210" t="s">
        <v>313</v>
      </c>
      <c r="C210" t="s">
        <v>2253</v>
      </c>
      <c r="D210" t="s">
        <v>3010</v>
      </c>
      <c r="E210" s="14">
        <v>45716</v>
      </c>
      <c r="F210" s="14">
        <v>45746</v>
      </c>
      <c r="G210" s="14">
        <v>45776</v>
      </c>
      <c r="H210" s="15">
        <v>5192.6400000000003</v>
      </c>
      <c r="I210" s="15">
        <v>677.3</v>
      </c>
      <c r="J210" s="15">
        <v>4515.34</v>
      </c>
      <c r="N210" s="14"/>
      <c r="O210" t="s">
        <v>288</v>
      </c>
      <c r="P210" t="s">
        <v>2210</v>
      </c>
      <c r="Q210" t="s">
        <v>140</v>
      </c>
      <c r="R210" t="s">
        <v>175</v>
      </c>
      <c r="S210" t="s">
        <v>130</v>
      </c>
      <c r="T210" t="s">
        <v>2251</v>
      </c>
      <c r="U210">
        <f t="shared" si="18"/>
        <v>30</v>
      </c>
      <c r="V210" t="b">
        <f t="shared" si="19"/>
        <v>0</v>
      </c>
      <c r="W210" t="b">
        <f t="shared" si="20"/>
        <v>0</v>
      </c>
      <c r="X210" t="b">
        <f t="shared" si="21"/>
        <v>0</v>
      </c>
      <c r="Y210" t="b">
        <f t="shared" si="22"/>
        <v>0</v>
      </c>
      <c r="Z210" t="b">
        <f t="shared" si="23"/>
        <v>0</v>
      </c>
    </row>
    <row r="211" spans="1:26" ht="15" customHeight="1">
      <c r="A211" t="s">
        <v>3011</v>
      </c>
      <c r="B211" t="s">
        <v>349</v>
      </c>
      <c r="C211" t="s">
        <v>2245</v>
      </c>
      <c r="D211" t="s">
        <v>3012</v>
      </c>
      <c r="E211" s="14">
        <v>45876</v>
      </c>
      <c r="F211" s="14">
        <v>45886</v>
      </c>
      <c r="G211" s="14">
        <v>45916</v>
      </c>
      <c r="H211" s="15">
        <v>28619.23</v>
      </c>
      <c r="I211" s="15">
        <v>3732.94</v>
      </c>
      <c r="J211" s="15">
        <v>24886.29</v>
      </c>
      <c r="K211" t="s">
        <v>3013</v>
      </c>
      <c r="M211" t="s">
        <v>3014</v>
      </c>
      <c r="N211" s="14">
        <v>45929</v>
      </c>
      <c r="O211" t="s">
        <v>2209</v>
      </c>
      <c r="P211" t="s">
        <v>2210</v>
      </c>
      <c r="Q211" t="s">
        <v>151</v>
      </c>
      <c r="R211" t="s">
        <v>150</v>
      </c>
      <c r="S211" t="s">
        <v>130</v>
      </c>
      <c r="T211" t="s">
        <v>2211</v>
      </c>
      <c r="U211">
        <f t="shared" si="18"/>
        <v>10</v>
      </c>
      <c r="V211" t="b">
        <f t="shared" si="19"/>
        <v>0</v>
      </c>
      <c r="W211" t="b">
        <f t="shared" si="20"/>
        <v>0</v>
      </c>
      <c r="X211" t="b">
        <f t="shared" si="21"/>
        <v>0</v>
      </c>
      <c r="Y211" t="b">
        <f t="shared" si="22"/>
        <v>0</v>
      </c>
      <c r="Z211" t="b">
        <f t="shared" si="23"/>
        <v>0</v>
      </c>
    </row>
    <row r="212" spans="1:26" ht="15" customHeight="1">
      <c r="A212" t="s">
        <v>1015</v>
      </c>
      <c r="B212" t="s">
        <v>229</v>
      </c>
      <c r="C212" t="s">
        <v>2263</v>
      </c>
      <c r="D212" t="s">
        <v>3015</v>
      </c>
      <c r="E212" s="14">
        <v>45777</v>
      </c>
      <c r="F212" s="14">
        <v>45782</v>
      </c>
      <c r="G212" s="14">
        <v>45812</v>
      </c>
      <c r="H212" s="15">
        <v>12725.52</v>
      </c>
      <c r="I212" s="15">
        <v>1659.85</v>
      </c>
      <c r="J212" s="15">
        <v>11065.67</v>
      </c>
      <c r="M212" t="s">
        <v>3016</v>
      </c>
      <c r="N212" s="14">
        <v>45816</v>
      </c>
      <c r="O212" t="s">
        <v>2209</v>
      </c>
      <c r="P212" t="s">
        <v>2217</v>
      </c>
      <c r="Q212" t="s">
        <v>175</v>
      </c>
      <c r="R212" t="s">
        <v>128</v>
      </c>
      <c r="S212" t="s">
        <v>130</v>
      </c>
      <c r="T212" t="s">
        <v>2251</v>
      </c>
      <c r="U212">
        <f t="shared" si="18"/>
        <v>5</v>
      </c>
      <c r="V212" t="b">
        <f t="shared" si="19"/>
        <v>0</v>
      </c>
      <c r="W212" t="b">
        <f t="shared" si="20"/>
        <v>0</v>
      </c>
      <c r="X212" t="b">
        <f t="shared" si="21"/>
        <v>0</v>
      </c>
      <c r="Y212" t="b">
        <f t="shared" si="22"/>
        <v>0</v>
      </c>
      <c r="Z212" t="b">
        <f t="shared" si="23"/>
        <v>0</v>
      </c>
    </row>
    <row r="213" spans="1:26" ht="15" customHeight="1">
      <c r="A213" t="s">
        <v>3017</v>
      </c>
      <c r="B213" t="s">
        <v>349</v>
      </c>
      <c r="C213" t="s">
        <v>2245</v>
      </c>
      <c r="D213" t="s">
        <v>3018</v>
      </c>
      <c r="E213" s="14">
        <v>45718</v>
      </c>
      <c r="F213" s="14">
        <v>45720</v>
      </c>
      <c r="G213" s="14">
        <v>45750</v>
      </c>
      <c r="H213" s="15">
        <v>7419.55</v>
      </c>
      <c r="I213" s="15">
        <v>967.77</v>
      </c>
      <c r="J213" s="15">
        <v>6451.78</v>
      </c>
      <c r="K213" t="s">
        <v>3019</v>
      </c>
      <c r="L213" t="s">
        <v>3020</v>
      </c>
      <c r="N213" s="14"/>
      <c r="O213" t="s">
        <v>288</v>
      </c>
      <c r="P213" t="s">
        <v>2223</v>
      </c>
      <c r="Q213" t="s">
        <v>151</v>
      </c>
      <c r="R213" t="s">
        <v>128</v>
      </c>
      <c r="S213" t="s">
        <v>130</v>
      </c>
      <c r="T213" t="s">
        <v>2224</v>
      </c>
      <c r="U213">
        <f t="shared" si="18"/>
        <v>2</v>
      </c>
      <c r="V213" t="b">
        <f t="shared" si="19"/>
        <v>0</v>
      </c>
      <c r="W213" t="b">
        <f t="shared" si="20"/>
        <v>0</v>
      </c>
      <c r="X213" t="b">
        <f t="shared" si="21"/>
        <v>0</v>
      </c>
      <c r="Y213" t="b">
        <f t="shared" si="22"/>
        <v>0</v>
      </c>
      <c r="Z213" t="b">
        <f t="shared" si="23"/>
        <v>0</v>
      </c>
    </row>
    <row r="214" spans="1:26" ht="15" customHeight="1">
      <c r="A214" t="s">
        <v>3021</v>
      </c>
      <c r="B214" t="s">
        <v>229</v>
      </c>
      <c r="C214" t="s">
        <v>2263</v>
      </c>
      <c r="D214" t="s">
        <v>3022</v>
      </c>
      <c r="E214" s="14">
        <v>45949</v>
      </c>
      <c r="F214" s="14">
        <v>45979</v>
      </c>
      <c r="G214" s="14">
        <v>46009</v>
      </c>
      <c r="H214" s="15">
        <v>16497.509999999998</v>
      </c>
      <c r="I214" s="15">
        <v>2151.85</v>
      </c>
      <c r="J214" s="15">
        <v>14345.66</v>
      </c>
      <c r="K214" t="s">
        <v>3023</v>
      </c>
      <c r="M214" t="s">
        <v>3024</v>
      </c>
      <c r="N214" s="14">
        <v>46003</v>
      </c>
      <c r="O214" t="s">
        <v>2209</v>
      </c>
      <c r="P214" t="s">
        <v>2243</v>
      </c>
      <c r="Q214" t="s">
        <v>151</v>
      </c>
      <c r="R214" t="s">
        <v>151</v>
      </c>
      <c r="S214" t="s">
        <v>130</v>
      </c>
      <c r="T214" t="s">
        <v>2211</v>
      </c>
      <c r="U214">
        <f t="shared" si="18"/>
        <v>30</v>
      </c>
      <c r="V214" t="b">
        <f t="shared" si="19"/>
        <v>0</v>
      </c>
      <c r="W214" t="b">
        <f t="shared" si="20"/>
        <v>0</v>
      </c>
      <c r="X214" t="b">
        <f t="shared" si="21"/>
        <v>0</v>
      </c>
      <c r="Y214" t="b">
        <f t="shared" si="22"/>
        <v>0</v>
      </c>
      <c r="Z214" t="b">
        <f t="shared" si="23"/>
        <v>0</v>
      </c>
    </row>
    <row r="215" spans="1:26" ht="15" customHeight="1">
      <c r="A215" t="s">
        <v>1027</v>
      </c>
      <c r="B215" t="s">
        <v>887</v>
      </c>
      <c r="C215" t="s">
        <v>2347</v>
      </c>
      <c r="D215" t="s">
        <v>3025</v>
      </c>
      <c r="E215" s="14">
        <v>45862</v>
      </c>
      <c r="F215" s="14">
        <v>45863</v>
      </c>
      <c r="G215" s="14">
        <v>45893</v>
      </c>
      <c r="H215" s="15">
        <v>18029.060000000001</v>
      </c>
      <c r="I215" s="15">
        <v>2351.62</v>
      </c>
      <c r="J215" s="15">
        <v>15677.44</v>
      </c>
      <c r="K215" t="s">
        <v>3026</v>
      </c>
      <c r="L215" t="s">
        <v>3027</v>
      </c>
      <c r="M215" t="s">
        <v>3028</v>
      </c>
      <c r="N215" s="14">
        <v>45873</v>
      </c>
      <c r="O215" t="s">
        <v>2209</v>
      </c>
      <c r="P215" t="s">
        <v>2293</v>
      </c>
      <c r="Q215" t="s">
        <v>128</v>
      </c>
      <c r="R215" t="s">
        <v>151</v>
      </c>
      <c r="S215" t="s">
        <v>288</v>
      </c>
      <c r="T215" t="s">
        <v>2224</v>
      </c>
      <c r="U215">
        <f t="shared" si="18"/>
        <v>1</v>
      </c>
      <c r="V215" t="b">
        <f t="shared" si="19"/>
        <v>0</v>
      </c>
      <c r="W215" t="b">
        <f t="shared" si="20"/>
        <v>0</v>
      </c>
      <c r="X215" t="b">
        <f t="shared" si="21"/>
        <v>0</v>
      </c>
      <c r="Y215" t="b">
        <f t="shared" si="22"/>
        <v>0</v>
      </c>
      <c r="Z215" t="b">
        <f t="shared" si="23"/>
        <v>0</v>
      </c>
    </row>
    <row r="216" spans="1:26" ht="15" customHeight="1">
      <c r="A216" t="s">
        <v>3029</v>
      </c>
      <c r="B216" t="s">
        <v>212</v>
      </c>
      <c r="C216" t="s">
        <v>2226</v>
      </c>
      <c r="D216" t="s">
        <v>3030</v>
      </c>
      <c r="E216" s="14">
        <v>45780</v>
      </c>
      <c r="F216" s="14">
        <v>45781</v>
      </c>
      <c r="G216" s="14">
        <v>45811</v>
      </c>
      <c r="H216" s="15">
        <v>29741.67</v>
      </c>
      <c r="I216" s="15">
        <v>3879.35</v>
      </c>
      <c r="J216" s="15">
        <v>25862.32</v>
      </c>
      <c r="K216" t="s">
        <v>3031</v>
      </c>
      <c r="L216" t="s">
        <v>3032</v>
      </c>
      <c r="M216" t="s">
        <v>3033</v>
      </c>
      <c r="N216" s="14">
        <v>45805</v>
      </c>
      <c r="O216" t="s">
        <v>2209</v>
      </c>
      <c r="P216" t="s">
        <v>2223</v>
      </c>
      <c r="Q216" t="s">
        <v>175</v>
      </c>
      <c r="R216" t="s">
        <v>175</v>
      </c>
      <c r="S216" t="s">
        <v>130</v>
      </c>
      <c r="T216" t="s">
        <v>2224</v>
      </c>
      <c r="U216">
        <f t="shared" si="18"/>
        <v>1</v>
      </c>
      <c r="V216" t="b">
        <f t="shared" si="19"/>
        <v>0</v>
      </c>
      <c r="W216" t="b">
        <f t="shared" si="20"/>
        <v>0</v>
      </c>
      <c r="X216" t="b">
        <f t="shared" si="21"/>
        <v>0</v>
      </c>
      <c r="Y216" t="b">
        <f t="shared" si="22"/>
        <v>0</v>
      </c>
      <c r="Z216" t="b">
        <f t="shared" si="23"/>
        <v>0</v>
      </c>
    </row>
    <row r="217" spans="1:26" ht="15" customHeight="1">
      <c r="A217" t="s">
        <v>3034</v>
      </c>
      <c r="B217" t="s">
        <v>705</v>
      </c>
      <c r="C217" t="s">
        <v>2237</v>
      </c>
      <c r="D217" t="s">
        <v>3035</v>
      </c>
      <c r="E217" s="14">
        <v>45904</v>
      </c>
      <c r="F217" s="14">
        <v>45914</v>
      </c>
      <c r="G217" s="14">
        <v>45944</v>
      </c>
      <c r="H217" s="15">
        <v>30083.94</v>
      </c>
      <c r="I217" s="15">
        <v>3923.99</v>
      </c>
      <c r="J217" s="15">
        <v>26159.95</v>
      </c>
      <c r="K217" t="s">
        <v>3036</v>
      </c>
      <c r="M217" t="s">
        <v>3037</v>
      </c>
      <c r="N217" s="14">
        <v>45934</v>
      </c>
      <c r="O217" t="s">
        <v>2209</v>
      </c>
      <c r="P217" t="s">
        <v>2257</v>
      </c>
      <c r="Q217" t="s">
        <v>140</v>
      </c>
      <c r="R217" t="s">
        <v>128</v>
      </c>
      <c r="S217" t="s">
        <v>130</v>
      </c>
      <c r="T217" t="s">
        <v>2211</v>
      </c>
      <c r="U217">
        <f t="shared" si="18"/>
        <v>10</v>
      </c>
      <c r="V217" t="b">
        <f t="shared" si="19"/>
        <v>0</v>
      </c>
      <c r="W217" t="b">
        <f t="shared" si="20"/>
        <v>0</v>
      </c>
      <c r="X217" t="b">
        <f t="shared" si="21"/>
        <v>0</v>
      </c>
      <c r="Y217" t="b">
        <f t="shared" si="22"/>
        <v>0</v>
      </c>
      <c r="Z217" t="b">
        <f t="shared" si="23"/>
        <v>0</v>
      </c>
    </row>
    <row r="218" spans="1:26" ht="15" customHeight="1">
      <c r="A218" t="s">
        <v>3038</v>
      </c>
      <c r="B218" t="s">
        <v>440</v>
      </c>
      <c r="C218" t="s">
        <v>2307</v>
      </c>
      <c r="D218" t="s">
        <v>3039</v>
      </c>
      <c r="E218" s="14">
        <v>45736</v>
      </c>
      <c r="F218" s="14">
        <v>45746</v>
      </c>
      <c r="G218" s="14">
        <v>45776</v>
      </c>
      <c r="H218" s="15">
        <v>38745.49</v>
      </c>
      <c r="I218" s="15">
        <v>5053.76</v>
      </c>
      <c r="J218" s="15">
        <v>33691.730000000003</v>
      </c>
      <c r="K218" t="s">
        <v>3040</v>
      </c>
      <c r="M218" t="s">
        <v>3041</v>
      </c>
      <c r="N218" s="14">
        <v>45757</v>
      </c>
      <c r="O218" t="s">
        <v>2209</v>
      </c>
      <c r="P218" t="s">
        <v>2257</v>
      </c>
      <c r="Q218" t="s">
        <v>129</v>
      </c>
      <c r="R218" t="s">
        <v>151</v>
      </c>
      <c r="S218" t="s">
        <v>130</v>
      </c>
      <c r="T218" t="s">
        <v>2211</v>
      </c>
      <c r="U218">
        <f t="shared" si="18"/>
        <v>10</v>
      </c>
      <c r="V218" t="b">
        <f t="shared" si="19"/>
        <v>0</v>
      </c>
      <c r="W218" t="b">
        <f t="shared" si="20"/>
        <v>0</v>
      </c>
      <c r="X218" t="b">
        <f t="shared" si="21"/>
        <v>0</v>
      </c>
      <c r="Y218" t="b">
        <f t="shared" si="22"/>
        <v>0</v>
      </c>
      <c r="Z218" t="b">
        <f t="shared" si="23"/>
        <v>0</v>
      </c>
    </row>
    <row r="219" spans="1:26" ht="15" customHeight="1">
      <c r="A219" t="s">
        <v>3042</v>
      </c>
      <c r="B219" t="s">
        <v>440</v>
      </c>
      <c r="C219" t="s">
        <v>2307</v>
      </c>
      <c r="D219" t="s">
        <v>3043</v>
      </c>
      <c r="E219" s="14">
        <v>45883</v>
      </c>
      <c r="F219" s="14">
        <v>45890</v>
      </c>
      <c r="G219" s="14">
        <v>45920</v>
      </c>
      <c r="H219" s="15">
        <v>11004.91</v>
      </c>
      <c r="I219" s="15">
        <v>1435.42</v>
      </c>
      <c r="J219" s="15">
        <v>9569.49</v>
      </c>
      <c r="K219" t="s">
        <v>3044</v>
      </c>
      <c r="M219" t="s">
        <v>3045</v>
      </c>
      <c r="N219" s="14">
        <v>45933</v>
      </c>
      <c r="O219" t="s">
        <v>2209</v>
      </c>
      <c r="P219" t="s">
        <v>2243</v>
      </c>
      <c r="Q219" t="s">
        <v>151</v>
      </c>
      <c r="R219" t="s">
        <v>150</v>
      </c>
      <c r="S219" t="s">
        <v>130</v>
      </c>
      <c r="T219" t="s">
        <v>2211</v>
      </c>
      <c r="U219">
        <f t="shared" si="18"/>
        <v>7</v>
      </c>
      <c r="V219" t="b">
        <f t="shared" si="19"/>
        <v>0</v>
      </c>
      <c r="W219" t="b">
        <f t="shared" si="20"/>
        <v>0</v>
      </c>
      <c r="X219" t="b">
        <f t="shared" si="21"/>
        <v>0</v>
      </c>
      <c r="Y219" t="b">
        <f t="shared" si="22"/>
        <v>0</v>
      </c>
      <c r="Z219" t="b">
        <f t="shared" si="23"/>
        <v>0</v>
      </c>
    </row>
    <row r="220" spans="1:26" ht="15" customHeight="1">
      <c r="A220" t="s">
        <v>3046</v>
      </c>
      <c r="B220" t="s">
        <v>705</v>
      </c>
      <c r="C220" t="s">
        <v>2237</v>
      </c>
      <c r="D220" t="s">
        <v>3047</v>
      </c>
      <c r="E220" s="14">
        <v>45902</v>
      </c>
      <c r="F220" s="14">
        <v>45917</v>
      </c>
      <c r="G220" s="14">
        <v>45947</v>
      </c>
      <c r="H220" s="15">
        <v>25553.54</v>
      </c>
      <c r="I220" s="15">
        <v>3333.07</v>
      </c>
      <c r="J220" s="15">
        <v>22220.47</v>
      </c>
      <c r="K220" t="s">
        <v>3048</v>
      </c>
      <c r="M220" t="s">
        <v>3049</v>
      </c>
      <c r="N220" s="14">
        <v>45942</v>
      </c>
      <c r="O220" t="s">
        <v>2209</v>
      </c>
      <c r="P220" t="s">
        <v>2243</v>
      </c>
      <c r="Q220" t="s">
        <v>175</v>
      </c>
      <c r="R220" t="s">
        <v>128</v>
      </c>
      <c r="S220" t="s">
        <v>130</v>
      </c>
      <c r="T220" t="s">
        <v>2211</v>
      </c>
      <c r="U220">
        <f t="shared" si="18"/>
        <v>15</v>
      </c>
      <c r="V220" t="b">
        <f t="shared" si="19"/>
        <v>0</v>
      </c>
      <c r="W220" t="b">
        <f t="shared" si="20"/>
        <v>0</v>
      </c>
      <c r="X220" t="b">
        <f t="shared" si="21"/>
        <v>0</v>
      </c>
      <c r="Y220" t="b">
        <f t="shared" si="22"/>
        <v>0</v>
      </c>
      <c r="Z220" t="b">
        <f t="shared" si="23"/>
        <v>0</v>
      </c>
    </row>
    <row r="221" spans="1:26" ht="15" customHeight="1">
      <c r="A221" t="s">
        <v>3050</v>
      </c>
      <c r="B221" t="s">
        <v>705</v>
      </c>
      <c r="C221" t="s">
        <v>2237</v>
      </c>
      <c r="D221" t="s">
        <v>3051</v>
      </c>
      <c r="E221" s="14">
        <v>45740</v>
      </c>
      <c r="F221" s="14">
        <v>45745</v>
      </c>
      <c r="G221" s="14">
        <v>45775</v>
      </c>
      <c r="H221" s="15">
        <v>27528.85</v>
      </c>
      <c r="I221" s="15">
        <v>3590.72</v>
      </c>
      <c r="J221" s="15">
        <v>23938.13</v>
      </c>
      <c r="K221" t="s">
        <v>3052</v>
      </c>
      <c r="L221" t="s">
        <v>3053</v>
      </c>
      <c r="M221" t="s">
        <v>3054</v>
      </c>
      <c r="N221" s="14">
        <v>45781</v>
      </c>
      <c r="O221" t="s">
        <v>2209</v>
      </c>
      <c r="P221" t="s">
        <v>2223</v>
      </c>
      <c r="Q221" t="s">
        <v>151</v>
      </c>
      <c r="R221" t="s">
        <v>151</v>
      </c>
      <c r="S221" t="s">
        <v>130</v>
      </c>
      <c r="T221" t="s">
        <v>2224</v>
      </c>
      <c r="U221">
        <f t="shared" si="18"/>
        <v>5</v>
      </c>
      <c r="V221" t="b">
        <f t="shared" si="19"/>
        <v>0</v>
      </c>
      <c r="W221" t="b">
        <f t="shared" si="20"/>
        <v>0</v>
      </c>
      <c r="X221" t="b">
        <f t="shared" si="21"/>
        <v>0</v>
      </c>
      <c r="Y221" t="b">
        <f t="shared" si="22"/>
        <v>0</v>
      </c>
      <c r="Z221" t="b">
        <f t="shared" si="23"/>
        <v>0</v>
      </c>
    </row>
    <row r="222" spans="1:26" ht="15" customHeight="1">
      <c r="A222" t="s">
        <v>3055</v>
      </c>
      <c r="B222" t="s">
        <v>313</v>
      </c>
      <c r="C222" t="s">
        <v>2253</v>
      </c>
      <c r="D222" t="s">
        <v>3056</v>
      </c>
      <c r="E222" s="14">
        <v>45826</v>
      </c>
      <c r="F222" s="14">
        <v>45856</v>
      </c>
      <c r="G222" s="14">
        <v>45886</v>
      </c>
      <c r="H222" s="15">
        <v>49625.55</v>
      </c>
      <c r="I222" s="15">
        <v>6472.9</v>
      </c>
      <c r="J222" s="15">
        <v>43152.65</v>
      </c>
      <c r="K222" t="s">
        <v>3057</v>
      </c>
      <c r="L222" t="s">
        <v>3058</v>
      </c>
      <c r="M222" t="s">
        <v>3059</v>
      </c>
      <c r="N222" s="14">
        <v>45884</v>
      </c>
      <c r="O222" t="s">
        <v>2209</v>
      </c>
      <c r="P222" t="s">
        <v>2223</v>
      </c>
      <c r="Q222" t="s">
        <v>151</v>
      </c>
      <c r="R222" t="s">
        <v>129</v>
      </c>
      <c r="S222" t="s">
        <v>130</v>
      </c>
      <c r="T222" t="s">
        <v>2224</v>
      </c>
      <c r="U222">
        <f t="shared" si="18"/>
        <v>30</v>
      </c>
      <c r="V222" t="b">
        <f t="shared" si="19"/>
        <v>0</v>
      </c>
      <c r="W222" t="b">
        <f t="shared" si="20"/>
        <v>0</v>
      </c>
      <c r="X222" t="b">
        <f t="shared" si="21"/>
        <v>0</v>
      </c>
      <c r="Y222" t="b">
        <f t="shared" si="22"/>
        <v>0</v>
      </c>
      <c r="Z222" t="b">
        <f t="shared" si="23"/>
        <v>0</v>
      </c>
    </row>
    <row r="223" spans="1:26" ht="15" customHeight="1">
      <c r="A223" t="s">
        <v>3060</v>
      </c>
      <c r="B223" t="s">
        <v>440</v>
      </c>
      <c r="C223" t="s">
        <v>2307</v>
      </c>
      <c r="D223" t="s">
        <v>3061</v>
      </c>
      <c r="E223" s="14">
        <v>45930</v>
      </c>
      <c r="F223" s="14">
        <v>45937</v>
      </c>
      <c r="G223" s="14">
        <v>45967</v>
      </c>
      <c r="H223" s="15">
        <v>66489.25</v>
      </c>
      <c r="I223" s="15">
        <v>8672.51</v>
      </c>
      <c r="J223" s="15">
        <v>57816.74</v>
      </c>
      <c r="K223" t="s">
        <v>3062</v>
      </c>
      <c r="L223" t="s">
        <v>3063</v>
      </c>
      <c r="M223" t="s">
        <v>3064</v>
      </c>
      <c r="N223" s="14">
        <v>45948</v>
      </c>
      <c r="O223" t="s">
        <v>2209</v>
      </c>
      <c r="P223" t="s">
        <v>2231</v>
      </c>
      <c r="Q223" t="s">
        <v>140</v>
      </c>
      <c r="R223" t="s">
        <v>175</v>
      </c>
      <c r="S223" t="s">
        <v>130</v>
      </c>
      <c r="T223" t="s">
        <v>2224</v>
      </c>
      <c r="U223">
        <f t="shared" si="18"/>
        <v>7</v>
      </c>
      <c r="V223" t="b">
        <f t="shared" si="19"/>
        <v>0</v>
      </c>
      <c r="W223" t="b">
        <f t="shared" si="20"/>
        <v>0</v>
      </c>
      <c r="X223" t="b">
        <f t="shared" si="21"/>
        <v>0</v>
      </c>
      <c r="Y223" t="b">
        <f t="shared" si="22"/>
        <v>0</v>
      </c>
      <c r="Z223" t="b">
        <f t="shared" si="23"/>
        <v>0</v>
      </c>
    </row>
    <row r="224" spans="1:26" ht="15" customHeight="1">
      <c r="A224" t="s">
        <v>3065</v>
      </c>
      <c r="B224" t="s">
        <v>349</v>
      </c>
      <c r="C224" t="s">
        <v>2245</v>
      </c>
      <c r="D224" t="s">
        <v>3066</v>
      </c>
      <c r="E224" s="14">
        <v>45701</v>
      </c>
      <c r="F224" s="14">
        <v>45776</v>
      </c>
      <c r="G224" s="14">
        <v>45732</v>
      </c>
      <c r="H224" s="15">
        <v>61400.11</v>
      </c>
      <c r="I224" s="15">
        <v>8008.71</v>
      </c>
      <c r="J224" s="15">
        <v>53391.4</v>
      </c>
      <c r="K224" t="s">
        <v>3067</v>
      </c>
      <c r="N224" s="14"/>
      <c r="O224" t="s">
        <v>288</v>
      </c>
      <c r="P224" t="s">
        <v>2257</v>
      </c>
      <c r="Q224" t="s">
        <v>128</v>
      </c>
      <c r="R224" t="s">
        <v>129</v>
      </c>
      <c r="S224" t="s">
        <v>130</v>
      </c>
      <c r="T224" t="s">
        <v>2211</v>
      </c>
      <c r="U224">
        <f t="shared" si="18"/>
        <v>75</v>
      </c>
      <c r="V224" t="b">
        <f t="shared" si="19"/>
        <v>0</v>
      </c>
      <c r="W224" t="b">
        <f t="shared" si="20"/>
        <v>0</v>
      </c>
      <c r="X224" t="b">
        <f t="shared" si="21"/>
        <v>0</v>
      </c>
      <c r="Y224" t="b">
        <f t="shared" si="22"/>
        <v>0</v>
      </c>
      <c r="Z224" t="b">
        <f t="shared" si="23"/>
        <v>0</v>
      </c>
    </row>
    <row r="225" spans="1:26" ht="15" customHeight="1">
      <c r="A225" t="s">
        <v>1067</v>
      </c>
      <c r="B225" t="s">
        <v>440</v>
      </c>
      <c r="C225" t="s">
        <v>2307</v>
      </c>
      <c r="D225" t="s">
        <v>3068</v>
      </c>
      <c r="E225" s="14">
        <v>45786</v>
      </c>
      <c r="F225" s="14">
        <v>45816</v>
      </c>
      <c r="G225" s="14">
        <v>45846</v>
      </c>
      <c r="H225" s="15">
        <v>72300.490000000005</v>
      </c>
      <c r="I225" s="15">
        <v>9430.5</v>
      </c>
      <c r="J225" s="15">
        <v>62869.99</v>
      </c>
      <c r="K225" t="s">
        <v>3069</v>
      </c>
      <c r="M225" t="s">
        <v>3070</v>
      </c>
      <c r="N225" s="14">
        <v>45837</v>
      </c>
      <c r="O225" t="s">
        <v>2209</v>
      </c>
      <c r="P225" t="s">
        <v>2217</v>
      </c>
      <c r="Q225" t="s">
        <v>128</v>
      </c>
      <c r="R225" t="s">
        <v>129</v>
      </c>
      <c r="S225" t="s">
        <v>130</v>
      </c>
      <c r="T225" t="s">
        <v>2211</v>
      </c>
      <c r="U225">
        <f t="shared" si="18"/>
        <v>30</v>
      </c>
      <c r="V225" t="b">
        <f t="shared" si="19"/>
        <v>0</v>
      </c>
      <c r="W225" t="b">
        <f t="shared" si="20"/>
        <v>0</v>
      </c>
      <c r="X225" t="b">
        <f t="shared" si="21"/>
        <v>0</v>
      </c>
      <c r="Y225" t="b">
        <f t="shared" si="22"/>
        <v>0</v>
      </c>
      <c r="Z225" t="b">
        <f t="shared" si="23"/>
        <v>0</v>
      </c>
    </row>
    <row r="226" spans="1:26" ht="15" customHeight="1">
      <c r="A226" t="s">
        <v>3071</v>
      </c>
      <c r="B226" t="s">
        <v>212</v>
      </c>
      <c r="C226" t="s">
        <v>2226</v>
      </c>
      <c r="D226" t="s">
        <v>3072</v>
      </c>
      <c r="E226" s="14">
        <v>45729</v>
      </c>
      <c r="F226" s="14">
        <v>45734</v>
      </c>
      <c r="G226" s="14">
        <v>45764</v>
      </c>
      <c r="H226" s="15">
        <v>26839.919999999998</v>
      </c>
      <c r="I226" s="15">
        <v>3500.86</v>
      </c>
      <c r="J226" s="15">
        <v>23339.06</v>
      </c>
      <c r="K226" t="s">
        <v>3073</v>
      </c>
      <c r="M226" t="s">
        <v>3074</v>
      </c>
      <c r="N226" s="14">
        <v>45755</v>
      </c>
      <c r="O226" t="s">
        <v>2209</v>
      </c>
      <c r="P226" t="s">
        <v>2210</v>
      </c>
      <c r="Q226" t="s">
        <v>140</v>
      </c>
      <c r="R226" t="s">
        <v>129</v>
      </c>
      <c r="S226" t="s">
        <v>130</v>
      </c>
      <c r="T226" t="s">
        <v>2211</v>
      </c>
      <c r="U226">
        <f t="shared" si="18"/>
        <v>5</v>
      </c>
      <c r="V226" t="b">
        <f t="shared" si="19"/>
        <v>0</v>
      </c>
      <c r="W226" t="b">
        <f t="shared" si="20"/>
        <v>0</v>
      </c>
      <c r="X226" t="b">
        <f t="shared" si="21"/>
        <v>0</v>
      </c>
      <c r="Y226" t="b">
        <f t="shared" si="22"/>
        <v>0</v>
      </c>
      <c r="Z226" t="b">
        <f t="shared" si="23"/>
        <v>0</v>
      </c>
    </row>
    <row r="227" spans="1:26" ht="15" customHeight="1">
      <c r="A227" t="s">
        <v>3075</v>
      </c>
      <c r="B227" t="s">
        <v>349</v>
      </c>
      <c r="C227" t="s">
        <v>2245</v>
      </c>
      <c r="D227" t="s">
        <v>3076</v>
      </c>
      <c r="E227" s="14">
        <v>45948</v>
      </c>
      <c r="F227" s="14">
        <v>45949</v>
      </c>
      <c r="G227" s="14">
        <v>45979</v>
      </c>
      <c r="H227" s="15">
        <v>1572.25</v>
      </c>
      <c r="I227" s="15">
        <v>205.08</v>
      </c>
      <c r="J227" s="15">
        <v>1367.17</v>
      </c>
      <c r="K227" t="s">
        <v>3077</v>
      </c>
      <c r="M227" t="s">
        <v>3078</v>
      </c>
      <c r="N227" s="14">
        <v>45974</v>
      </c>
      <c r="O227" t="s">
        <v>2209</v>
      </c>
      <c r="P227" t="s">
        <v>2257</v>
      </c>
      <c r="Q227" t="s">
        <v>150</v>
      </c>
      <c r="R227" t="s">
        <v>128</v>
      </c>
      <c r="S227" t="s">
        <v>130</v>
      </c>
      <c r="T227" t="s">
        <v>2211</v>
      </c>
      <c r="U227">
        <f t="shared" si="18"/>
        <v>1</v>
      </c>
      <c r="V227" t="b">
        <f t="shared" si="19"/>
        <v>0</v>
      </c>
      <c r="W227" t="b">
        <f t="shared" si="20"/>
        <v>0</v>
      </c>
      <c r="X227" t="b">
        <f t="shared" si="21"/>
        <v>0</v>
      </c>
      <c r="Y227" t="b">
        <f t="shared" si="22"/>
        <v>0</v>
      </c>
      <c r="Z227" t="b">
        <f t="shared" si="23"/>
        <v>0</v>
      </c>
    </row>
    <row r="228" spans="1:26" ht="15" customHeight="1">
      <c r="A228" t="s">
        <v>3079</v>
      </c>
      <c r="B228" t="s">
        <v>705</v>
      </c>
      <c r="C228" t="s">
        <v>2237</v>
      </c>
      <c r="D228" t="s">
        <v>3080</v>
      </c>
      <c r="E228" s="14">
        <v>45918</v>
      </c>
      <c r="F228" s="14">
        <v>45920</v>
      </c>
      <c r="G228" s="14">
        <v>45950</v>
      </c>
      <c r="H228" s="15">
        <v>61887.61</v>
      </c>
      <c r="I228" s="15">
        <v>8072.3</v>
      </c>
      <c r="J228" s="15">
        <v>53815.31</v>
      </c>
      <c r="K228" t="s">
        <v>3081</v>
      </c>
      <c r="L228" t="s">
        <v>3082</v>
      </c>
      <c r="M228" t="s">
        <v>3083</v>
      </c>
      <c r="N228" s="14">
        <v>45947</v>
      </c>
      <c r="O228" t="s">
        <v>2209</v>
      </c>
      <c r="P228" t="s">
        <v>2293</v>
      </c>
      <c r="Q228" t="s">
        <v>129</v>
      </c>
      <c r="R228" t="s">
        <v>150</v>
      </c>
      <c r="S228" t="s">
        <v>288</v>
      </c>
      <c r="T228" t="s">
        <v>2224</v>
      </c>
      <c r="U228">
        <f t="shared" si="18"/>
        <v>2</v>
      </c>
      <c r="V228" t="b">
        <f t="shared" si="19"/>
        <v>0</v>
      </c>
      <c r="W228" t="b">
        <f t="shared" si="20"/>
        <v>0</v>
      </c>
      <c r="X228" t="b">
        <f t="shared" si="21"/>
        <v>0</v>
      </c>
      <c r="Y228" t="b">
        <f t="shared" si="22"/>
        <v>0</v>
      </c>
      <c r="Z228" t="b">
        <f t="shared" si="23"/>
        <v>0</v>
      </c>
    </row>
    <row r="229" spans="1:26" ht="15" customHeight="1">
      <c r="A229" t="s">
        <v>3084</v>
      </c>
      <c r="B229" t="s">
        <v>887</v>
      </c>
      <c r="C229" t="s">
        <v>2347</v>
      </c>
      <c r="D229" t="s">
        <v>3085</v>
      </c>
      <c r="E229" s="14">
        <v>46007</v>
      </c>
      <c r="F229" s="14">
        <v>46007</v>
      </c>
      <c r="G229" s="14">
        <v>46037</v>
      </c>
      <c r="H229" s="15">
        <v>16502.939999999999</v>
      </c>
      <c r="I229" s="15">
        <v>2152.56</v>
      </c>
      <c r="J229" s="15">
        <v>14350.38</v>
      </c>
      <c r="K229" t="s">
        <v>3086</v>
      </c>
      <c r="L229" t="s">
        <v>3087</v>
      </c>
      <c r="M229" t="s">
        <v>3088</v>
      </c>
      <c r="N229" s="14">
        <v>46023</v>
      </c>
      <c r="O229" t="s">
        <v>2209</v>
      </c>
      <c r="P229" t="s">
        <v>2223</v>
      </c>
      <c r="Q229" t="s">
        <v>150</v>
      </c>
      <c r="R229" t="s">
        <v>129</v>
      </c>
      <c r="S229" t="s">
        <v>130</v>
      </c>
      <c r="T229" t="s">
        <v>2224</v>
      </c>
      <c r="U229">
        <f t="shared" si="18"/>
        <v>0</v>
      </c>
      <c r="V229" t="b">
        <f t="shared" si="19"/>
        <v>0</v>
      </c>
      <c r="W229" t="b">
        <f t="shared" si="20"/>
        <v>0</v>
      </c>
      <c r="X229" t="b">
        <f t="shared" si="21"/>
        <v>0</v>
      </c>
      <c r="Y229" t="b">
        <f t="shared" si="22"/>
        <v>0</v>
      </c>
      <c r="Z229" t="b">
        <f t="shared" si="23"/>
        <v>1</v>
      </c>
    </row>
    <row r="230" spans="1:26" ht="15" customHeight="1">
      <c r="A230" t="s">
        <v>1087</v>
      </c>
      <c r="B230" t="s">
        <v>313</v>
      </c>
      <c r="C230" t="s">
        <v>2253</v>
      </c>
      <c r="D230" t="s">
        <v>3089</v>
      </c>
      <c r="E230" s="14">
        <v>45810</v>
      </c>
      <c r="F230" s="14">
        <v>45817</v>
      </c>
      <c r="G230" s="14">
        <v>45847</v>
      </c>
      <c r="H230" s="15">
        <v>59611.79</v>
      </c>
      <c r="I230" s="15">
        <v>7775.45</v>
      </c>
      <c r="J230" s="15">
        <v>51836.34</v>
      </c>
      <c r="K230" t="s">
        <v>3090</v>
      </c>
      <c r="N230" s="14"/>
      <c r="O230" t="s">
        <v>288</v>
      </c>
      <c r="P230" t="s">
        <v>2210</v>
      </c>
      <c r="Q230" t="s">
        <v>128</v>
      </c>
      <c r="R230" t="s">
        <v>129</v>
      </c>
      <c r="S230" t="s">
        <v>130</v>
      </c>
      <c r="T230" t="s">
        <v>2211</v>
      </c>
      <c r="U230">
        <f t="shared" si="18"/>
        <v>7</v>
      </c>
      <c r="V230" t="b">
        <f t="shared" si="19"/>
        <v>0</v>
      </c>
      <c r="W230" t="b">
        <f t="shared" si="20"/>
        <v>0</v>
      </c>
      <c r="X230" t="b">
        <f t="shared" si="21"/>
        <v>0</v>
      </c>
      <c r="Y230" t="b">
        <f t="shared" si="22"/>
        <v>0</v>
      </c>
      <c r="Z230" t="b">
        <f t="shared" si="23"/>
        <v>0</v>
      </c>
    </row>
    <row r="231" spans="1:26" ht="15" customHeight="1">
      <c r="A231" t="s">
        <v>3091</v>
      </c>
      <c r="B231" t="s">
        <v>313</v>
      </c>
      <c r="C231" t="s">
        <v>2253</v>
      </c>
      <c r="D231" t="s">
        <v>3092</v>
      </c>
      <c r="E231" s="14">
        <v>45888</v>
      </c>
      <c r="F231" s="14">
        <v>45895</v>
      </c>
      <c r="G231" s="14">
        <v>45925</v>
      </c>
      <c r="H231" s="15">
        <v>22825</v>
      </c>
      <c r="I231" s="15">
        <v>2977.17</v>
      </c>
      <c r="J231" s="15">
        <v>19847.830000000002</v>
      </c>
      <c r="K231" t="s">
        <v>3093</v>
      </c>
      <c r="M231" t="s">
        <v>3094</v>
      </c>
      <c r="N231" s="14">
        <v>45900</v>
      </c>
      <c r="O231" t="s">
        <v>2209</v>
      </c>
      <c r="P231" t="s">
        <v>2257</v>
      </c>
      <c r="Q231" t="s">
        <v>128</v>
      </c>
      <c r="R231" t="s">
        <v>129</v>
      </c>
      <c r="S231" t="s">
        <v>130</v>
      </c>
      <c r="T231" t="s">
        <v>2211</v>
      </c>
      <c r="U231">
        <f t="shared" si="18"/>
        <v>7</v>
      </c>
      <c r="V231" t="b">
        <f t="shared" si="19"/>
        <v>0</v>
      </c>
      <c r="W231" t="b">
        <f t="shared" si="20"/>
        <v>0</v>
      </c>
      <c r="X231" t="b">
        <f t="shared" si="21"/>
        <v>0</v>
      </c>
      <c r="Y231" t="b">
        <f t="shared" si="22"/>
        <v>0</v>
      </c>
      <c r="Z231" t="b">
        <f t="shared" si="23"/>
        <v>0</v>
      </c>
    </row>
    <row r="232" spans="1:26" ht="15" customHeight="1">
      <c r="A232" t="s">
        <v>1095</v>
      </c>
      <c r="B232" t="s">
        <v>440</v>
      </c>
      <c r="C232" t="s">
        <v>2307</v>
      </c>
      <c r="D232" t="s">
        <v>3095</v>
      </c>
      <c r="E232" s="14">
        <v>45753</v>
      </c>
      <c r="F232" s="14">
        <v>45754</v>
      </c>
      <c r="G232" s="14">
        <v>45784</v>
      </c>
      <c r="H232" s="15">
        <v>53387.59</v>
      </c>
      <c r="I232" s="15">
        <v>6963.6</v>
      </c>
      <c r="J232" s="15">
        <v>46423.99</v>
      </c>
      <c r="K232" t="s">
        <v>3096</v>
      </c>
      <c r="L232" t="s">
        <v>3097</v>
      </c>
      <c r="M232" t="s">
        <v>3098</v>
      </c>
      <c r="N232" s="14">
        <v>45762</v>
      </c>
      <c r="O232" t="s">
        <v>2209</v>
      </c>
      <c r="P232" t="s">
        <v>2223</v>
      </c>
      <c r="Q232" t="s">
        <v>150</v>
      </c>
      <c r="R232" t="s">
        <v>151</v>
      </c>
      <c r="S232" t="s">
        <v>130</v>
      </c>
      <c r="T232" t="s">
        <v>2224</v>
      </c>
      <c r="U232">
        <f t="shared" si="18"/>
        <v>1</v>
      </c>
      <c r="V232" t="b">
        <f t="shared" si="19"/>
        <v>0</v>
      </c>
      <c r="W232" t="b">
        <f t="shared" si="20"/>
        <v>0</v>
      </c>
      <c r="X232" t="b">
        <f t="shared" si="21"/>
        <v>0</v>
      </c>
      <c r="Y232" t="b">
        <f t="shared" si="22"/>
        <v>0</v>
      </c>
      <c r="Z232" t="b">
        <f t="shared" si="23"/>
        <v>0</v>
      </c>
    </row>
    <row r="233" spans="1:26" ht="15" customHeight="1">
      <c r="A233" t="s">
        <v>1099</v>
      </c>
      <c r="B233" t="s">
        <v>705</v>
      </c>
      <c r="C233" t="s">
        <v>2237</v>
      </c>
      <c r="D233" t="s">
        <v>3099</v>
      </c>
      <c r="E233" s="14">
        <v>45854</v>
      </c>
      <c r="F233" s="14">
        <v>45856</v>
      </c>
      <c r="G233" s="14">
        <v>45886</v>
      </c>
      <c r="H233" s="15">
        <v>11427.96</v>
      </c>
      <c r="I233" s="15">
        <v>1490.6</v>
      </c>
      <c r="J233" s="15">
        <v>9937.36</v>
      </c>
      <c r="K233" t="s">
        <v>3100</v>
      </c>
      <c r="L233" t="s">
        <v>3101</v>
      </c>
      <c r="N233" s="14"/>
      <c r="O233" t="s">
        <v>288</v>
      </c>
      <c r="P233" t="s">
        <v>2293</v>
      </c>
      <c r="Q233" t="s">
        <v>151</v>
      </c>
      <c r="R233" t="s">
        <v>175</v>
      </c>
      <c r="S233" t="s">
        <v>130</v>
      </c>
      <c r="T233" t="s">
        <v>2224</v>
      </c>
      <c r="U233">
        <f t="shared" si="18"/>
        <v>2</v>
      </c>
      <c r="V233" t="b">
        <f t="shared" si="19"/>
        <v>0</v>
      </c>
      <c r="W233" t="b">
        <f t="shared" si="20"/>
        <v>0</v>
      </c>
      <c r="X233" t="b">
        <f t="shared" si="21"/>
        <v>0</v>
      </c>
      <c r="Y233" t="b">
        <f t="shared" si="22"/>
        <v>0</v>
      </c>
      <c r="Z233" t="b">
        <f t="shared" si="23"/>
        <v>0</v>
      </c>
    </row>
    <row r="234" spans="1:26" ht="15" customHeight="1">
      <c r="A234" t="s">
        <v>3102</v>
      </c>
      <c r="B234" t="s">
        <v>782</v>
      </c>
      <c r="C234" t="s">
        <v>2205</v>
      </c>
      <c r="D234" t="s">
        <v>3103</v>
      </c>
      <c r="E234" s="14">
        <v>45999</v>
      </c>
      <c r="F234" s="14">
        <v>46002</v>
      </c>
      <c r="G234" s="14">
        <v>46032</v>
      </c>
      <c r="H234" s="15">
        <v>11841.42</v>
      </c>
      <c r="I234" s="15">
        <v>1544.53</v>
      </c>
      <c r="J234" s="15">
        <v>10296.89</v>
      </c>
      <c r="K234" t="s">
        <v>3104</v>
      </c>
      <c r="L234" t="s">
        <v>3105</v>
      </c>
      <c r="M234" t="s">
        <v>3106</v>
      </c>
      <c r="N234" s="14">
        <v>46017</v>
      </c>
      <c r="O234" t="s">
        <v>2209</v>
      </c>
      <c r="P234" t="s">
        <v>2293</v>
      </c>
      <c r="Q234" t="s">
        <v>129</v>
      </c>
      <c r="R234" t="s">
        <v>175</v>
      </c>
      <c r="S234" t="s">
        <v>130</v>
      </c>
      <c r="T234" t="s">
        <v>2224</v>
      </c>
      <c r="U234">
        <f t="shared" si="18"/>
        <v>3</v>
      </c>
      <c r="V234" t="b">
        <f t="shared" si="19"/>
        <v>0</v>
      </c>
      <c r="W234" t="b">
        <f t="shared" si="20"/>
        <v>0</v>
      </c>
      <c r="X234" t="b">
        <f t="shared" si="21"/>
        <v>0</v>
      </c>
      <c r="Y234" t="b">
        <f t="shared" si="22"/>
        <v>0</v>
      </c>
      <c r="Z234" t="b">
        <f t="shared" si="23"/>
        <v>0</v>
      </c>
    </row>
    <row r="235" spans="1:26" ht="15" customHeight="1">
      <c r="A235" t="s">
        <v>3107</v>
      </c>
      <c r="B235" t="s">
        <v>349</v>
      </c>
      <c r="C235" t="s">
        <v>2245</v>
      </c>
      <c r="D235" t="s">
        <v>3108</v>
      </c>
      <c r="E235" s="14">
        <v>45687</v>
      </c>
      <c r="F235" s="14">
        <v>45702</v>
      </c>
      <c r="G235" s="14">
        <v>45732</v>
      </c>
      <c r="H235" s="15">
        <v>62677.52</v>
      </c>
      <c r="I235" s="15">
        <v>8175.33</v>
      </c>
      <c r="J235" s="15">
        <v>54502.19</v>
      </c>
      <c r="K235" t="s">
        <v>3109</v>
      </c>
      <c r="M235" t="s">
        <v>3110</v>
      </c>
      <c r="N235" s="14">
        <v>45723</v>
      </c>
      <c r="O235" t="s">
        <v>2209</v>
      </c>
      <c r="P235" t="s">
        <v>2210</v>
      </c>
      <c r="Q235" t="s">
        <v>128</v>
      </c>
      <c r="R235" t="s">
        <v>150</v>
      </c>
      <c r="S235" t="s">
        <v>130</v>
      </c>
      <c r="T235" t="s">
        <v>2211</v>
      </c>
      <c r="U235">
        <f t="shared" si="18"/>
        <v>15</v>
      </c>
      <c r="V235" t="b">
        <f t="shared" si="19"/>
        <v>0</v>
      </c>
      <c r="W235" t="b">
        <f t="shared" si="20"/>
        <v>0</v>
      </c>
      <c r="X235" t="b">
        <f t="shared" si="21"/>
        <v>0</v>
      </c>
      <c r="Y235" t="b">
        <f t="shared" si="22"/>
        <v>0</v>
      </c>
      <c r="Z235" t="b">
        <f t="shared" si="23"/>
        <v>0</v>
      </c>
    </row>
    <row r="236" spans="1:26" ht="15" customHeight="1">
      <c r="A236" t="s">
        <v>3111</v>
      </c>
      <c r="B236" t="s">
        <v>887</v>
      </c>
      <c r="C236" t="s">
        <v>2347</v>
      </c>
      <c r="D236" t="s">
        <v>3112</v>
      </c>
      <c r="E236" s="14">
        <v>46004</v>
      </c>
      <c r="F236" s="14">
        <v>46007</v>
      </c>
      <c r="G236" s="14">
        <v>46037</v>
      </c>
      <c r="H236" s="15">
        <v>14057.08</v>
      </c>
      <c r="I236" s="15">
        <v>1833.53</v>
      </c>
      <c r="J236" s="15">
        <v>12223.55</v>
      </c>
      <c r="K236" t="s">
        <v>3113</v>
      </c>
      <c r="M236" t="s">
        <v>3114</v>
      </c>
      <c r="N236" s="14">
        <v>46021</v>
      </c>
      <c r="O236" t="s">
        <v>2209</v>
      </c>
      <c r="P236" t="s">
        <v>2243</v>
      </c>
      <c r="Q236" t="s">
        <v>151</v>
      </c>
      <c r="R236" t="s">
        <v>151</v>
      </c>
      <c r="S236" t="s">
        <v>130</v>
      </c>
      <c r="T236" t="s">
        <v>2211</v>
      </c>
      <c r="U236">
        <f t="shared" si="18"/>
        <v>3</v>
      </c>
      <c r="V236" t="b">
        <f t="shared" si="19"/>
        <v>0</v>
      </c>
      <c r="W236" t="b">
        <f t="shared" si="20"/>
        <v>0</v>
      </c>
      <c r="X236" t="b">
        <f t="shared" si="21"/>
        <v>0</v>
      </c>
      <c r="Y236" t="b">
        <f t="shared" si="22"/>
        <v>0</v>
      </c>
      <c r="Z236" t="b">
        <f t="shared" si="23"/>
        <v>0</v>
      </c>
    </row>
    <row r="237" spans="1:26" ht="15" customHeight="1">
      <c r="A237" t="s">
        <v>3115</v>
      </c>
      <c r="B237" t="s">
        <v>705</v>
      </c>
      <c r="C237" t="s">
        <v>2237</v>
      </c>
      <c r="D237" t="s">
        <v>3116</v>
      </c>
      <c r="E237" s="14">
        <v>45675</v>
      </c>
      <c r="F237" s="14">
        <v>45680</v>
      </c>
      <c r="G237" s="14">
        <v>45710</v>
      </c>
      <c r="H237" s="15">
        <v>36262.21</v>
      </c>
      <c r="I237" s="15">
        <v>4729.8500000000004</v>
      </c>
      <c r="J237" s="15">
        <v>31532.36</v>
      </c>
      <c r="K237" t="s">
        <v>3117</v>
      </c>
      <c r="L237" t="s">
        <v>3118</v>
      </c>
      <c r="N237" s="14"/>
      <c r="O237" t="s">
        <v>288</v>
      </c>
      <c r="P237" t="s">
        <v>2223</v>
      </c>
      <c r="Q237" t="s">
        <v>150</v>
      </c>
      <c r="R237" t="s">
        <v>150</v>
      </c>
      <c r="S237" t="s">
        <v>130</v>
      </c>
      <c r="T237" t="s">
        <v>2224</v>
      </c>
      <c r="U237">
        <f t="shared" si="18"/>
        <v>5</v>
      </c>
      <c r="V237" t="b">
        <f t="shared" si="19"/>
        <v>0</v>
      </c>
      <c r="W237" t="b">
        <f t="shared" si="20"/>
        <v>0</v>
      </c>
      <c r="X237" t="b">
        <f t="shared" si="21"/>
        <v>0</v>
      </c>
      <c r="Y237" t="b">
        <f t="shared" si="22"/>
        <v>0</v>
      </c>
      <c r="Z237" t="b">
        <f t="shared" si="23"/>
        <v>0</v>
      </c>
    </row>
    <row r="238" spans="1:26" ht="15" customHeight="1">
      <c r="A238" t="s">
        <v>3119</v>
      </c>
      <c r="B238" t="s">
        <v>887</v>
      </c>
      <c r="C238" t="s">
        <v>2347</v>
      </c>
      <c r="D238" t="s">
        <v>3120</v>
      </c>
      <c r="E238" s="14">
        <v>45761</v>
      </c>
      <c r="F238" s="14">
        <v>45764</v>
      </c>
      <c r="G238" s="14">
        <v>45794</v>
      </c>
      <c r="H238" s="15">
        <v>61147.16</v>
      </c>
      <c r="I238" s="15">
        <v>7975.72</v>
      </c>
      <c r="J238" s="15">
        <v>53171.44</v>
      </c>
      <c r="K238" t="s">
        <v>3121</v>
      </c>
      <c r="M238" t="s">
        <v>3122</v>
      </c>
      <c r="N238" s="14">
        <v>45775</v>
      </c>
      <c r="O238" t="s">
        <v>2209</v>
      </c>
      <c r="P238" t="s">
        <v>2257</v>
      </c>
      <c r="Q238" t="s">
        <v>140</v>
      </c>
      <c r="R238" t="s">
        <v>150</v>
      </c>
      <c r="S238" t="s">
        <v>130</v>
      </c>
      <c r="T238" t="s">
        <v>2211</v>
      </c>
      <c r="U238">
        <f t="shared" si="18"/>
        <v>3</v>
      </c>
      <c r="V238" t="b">
        <f t="shared" si="19"/>
        <v>0</v>
      </c>
      <c r="W238" t="b">
        <f t="shared" si="20"/>
        <v>0</v>
      </c>
      <c r="X238" t="b">
        <f t="shared" si="21"/>
        <v>0</v>
      </c>
      <c r="Y238" t="b">
        <f t="shared" si="22"/>
        <v>0</v>
      </c>
      <c r="Z238" t="b">
        <f t="shared" si="23"/>
        <v>0</v>
      </c>
    </row>
    <row r="239" spans="1:26" ht="15" customHeight="1">
      <c r="A239" t="s">
        <v>3123</v>
      </c>
      <c r="B239" t="s">
        <v>887</v>
      </c>
      <c r="C239" t="s">
        <v>2347</v>
      </c>
      <c r="D239" t="s">
        <v>3124</v>
      </c>
      <c r="E239" s="14">
        <v>45764</v>
      </c>
      <c r="F239" s="14">
        <v>45794</v>
      </c>
      <c r="G239" s="14">
        <v>45824</v>
      </c>
      <c r="H239" s="15">
        <v>72216.710000000006</v>
      </c>
      <c r="I239" s="15">
        <v>9419.57</v>
      </c>
      <c r="J239" s="15">
        <v>62797.14</v>
      </c>
      <c r="K239" t="s">
        <v>3125</v>
      </c>
      <c r="L239" t="s">
        <v>3126</v>
      </c>
      <c r="N239" s="14"/>
      <c r="O239" t="s">
        <v>288</v>
      </c>
      <c r="P239" t="s">
        <v>2231</v>
      </c>
      <c r="Q239" t="s">
        <v>128</v>
      </c>
      <c r="R239" t="s">
        <v>129</v>
      </c>
      <c r="S239" t="s">
        <v>130</v>
      </c>
      <c r="T239" t="s">
        <v>2224</v>
      </c>
      <c r="U239">
        <f t="shared" si="18"/>
        <v>30</v>
      </c>
      <c r="V239" t="b">
        <f t="shared" si="19"/>
        <v>0</v>
      </c>
      <c r="W239" t="b">
        <f t="shared" si="20"/>
        <v>0</v>
      </c>
      <c r="X239" t="b">
        <f t="shared" si="21"/>
        <v>0</v>
      </c>
      <c r="Y239" t="b">
        <f t="shared" si="22"/>
        <v>0</v>
      </c>
      <c r="Z239" t="b">
        <f t="shared" si="23"/>
        <v>0</v>
      </c>
    </row>
    <row r="240" spans="1:26" ht="15" customHeight="1">
      <c r="A240" t="s">
        <v>3127</v>
      </c>
      <c r="B240" t="s">
        <v>212</v>
      </c>
      <c r="C240" t="s">
        <v>2226</v>
      </c>
      <c r="D240" t="s">
        <v>3128</v>
      </c>
      <c r="E240" s="14">
        <v>45773</v>
      </c>
      <c r="F240" s="14">
        <v>45775</v>
      </c>
      <c r="G240" s="14">
        <v>45805</v>
      </c>
      <c r="H240" s="15">
        <v>63798.46</v>
      </c>
      <c r="I240" s="15">
        <v>8321.5400000000009</v>
      </c>
      <c r="J240" s="15">
        <v>55476.92</v>
      </c>
      <c r="K240" t="s">
        <v>3129</v>
      </c>
      <c r="N240" s="14"/>
      <c r="O240" t="s">
        <v>288</v>
      </c>
      <c r="P240" t="s">
        <v>2217</v>
      </c>
      <c r="Q240" t="s">
        <v>128</v>
      </c>
      <c r="R240" t="s">
        <v>175</v>
      </c>
      <c r="S240" t="s">
        <v>130</v>
      </c>
      <c r="T240" t="s">
        <v>2211</v>
      </c>
      <c r="U240">
        <f t="shared" si="18"/>
        <v>2</v>
      </c>
      <c r="V240" t="b">
        <f t="shared" si="19"/>
        <v>0</v>
      </c>
      <c r="W240" t="b">
        <f t="shared" si="20"/>
        <v>0</v>
      </c>
      <c r="X240" t="b">
        <f t="shared" si="21"/>
        <v>0</v>
      </c>
      <c r="Y240" t="b">
        <f t="shared" si="22"/>
        <v>0</v>
      </c>
      <c r="Z240" t="b">
        <f t="shared" si="23"/>
        <v>0</v>
      </c>
    </row>
    <row r="241" spans="1:26" ht="15" customHeight="1">
      <c r="A241" t="s">
        <v>3130</v>
      </c>
      <c r="B241" t="s">
        <v>313</v>
      </c>
      <c r="C241" t="s">
        <v>2253</v>
      </c>
      <c r="D241" t="s">
        <v>3131</v>
      </c>
      <c r="E241" s="14">
        <v>45958</v>
      </c>
      <c r="F241" s="14">
        <v>45963</v>
      </c>
      <c r="G241" s="14">
        <v>45993</v>
      </c>
      <c r="H241" s="15">
        <v>15865.61</v>
      </c>
      <c r="I241" s="15">
        <v>2069.4299999999998</v>
      </c>
      <c r="J241" s="15">
        <v>13796.18</v>
      </c>
      <c r="K241" t="s">
        <v>3132</v>
      </c>
      <c r="L241" t="s">
        <v>3133</v>
      </c>
      <c r="N241" s="14"/>
      <c r="O241" t="s">
        <v>288</v>
      </c>
      <c r="P241" t="s">
        <v>2223</v>
      </c>
      <c r="Q241" t="s">
        <v>128</v>
      </c>
      <c r="R241" t="s">
        <v>129</v>
      </c>
      <c r="S241" t="s">
        <v>288</v>
      </c>
      <c r="T241" t="s">
        <v>2224</v>
      </c>
      <c r="U241">
        <f t="shared" si="18"/>
        <v>5</v>
      </c>
      <c r="V241" t="b">
        <f t="shared" si="19"/>
        <v>0</v>
      </c>
      <c r="W241" t="b">
        <f t="shared" si="20"/>
        <v>0</v>
      </c>
      <c r="X241" t="b">
        <f t="shared" si="21"/>
        <v>0</v>
      </c>
      <c r="Y241" t="b">
        <f t="shared" si="22"/>
        <v>0</v>
      </c>
      <c r="Z241" t="b">
        <f t="shared" si="23"/>
        <v>0</v>
      </c>
    </row>
    <row r="242" spans="1:26" ht="15" customHeight="1">
      <c r="A242" t="s">
        <v>3134</v>
      </c>
      <c r="B242" t="s">
        <v>782</v>
      </c>
      <c r="C242" t="s">
        <v>2205</v>
      </c>
      <c r="D242" t="s">
        <v>3135</v>
      </c>
      <c r="E242" s="14">
        <v>45783</v>
      </c>
      <c r="F242" s="14">
        <v>45788</v>
      </c>
      <c r="G242" s="14">
        <v>45818</v>
      </c>
      <c r="H242" s="15">
        <v>43003.19</v>
      </c>
      <c r="I242" s="15">
        <v>5609.11</v>
      </c>
      <c r="J242" s="15">
        <v>37394.080000000002</v>
      </c>
      <c r="K242" t="s">
        <v>3136</v>
      </c>
      <c r="N242" s="14"/>
      <c r="O242" t="s">
        <v>288</v>
      </c>
      <c r="P242" t="s">
        <v>2243</v>
      </c>
      <c r="Q242" t="s">
        <v>151</v>
      </c>
      <c r="R242" t="s">
        <v>151</v>
      </c>
      <c r="S242" t="s">
        <v>130</v>
      </c>
      <c r="T242" t="s">
        <v>2211</v>
      </c>
      <c r="U242">
        <f t="shared" si="18"/>
        <v>5</v>
      </c>
      <c r="V242" t="b">
        <f t="shared" si="19"/>
        <v>0</v>
      </c>
      <c r="W242" t="b">
        <f t="shared" si="20"/>
        <v>0</v>
      </c>
      <c r="X242" t="b">
        <f t="shared" si="21"/>
        <v>0</v>
      </c>
      <c r="Y242" t="b">
        <f t="shared" si="22"/>
        <v>0</v>
      </c>
      <c r="Z242" t="b">
        <f t="shared" si="23"/>
        <v>0</v>
      </c>
    </row>
    <row r="243" spans="1:26" ht="15" customHeight="1">
      <c r="A243" t="s">
        <v>3137</v>
      </c>
      <c r="B243" t="s">
        <v>251</v>
      </c>
      <c r="C243" t="s">
        <v>2218</v>
      </c>
      <c r="D243" t="s">
        <v>3138</v>
      </c>
      <c r="E243" s="14">
        <v>45800</v>
      </c>
      <c r="F243" s="14">
        <v>45815</v>
      </c>
      <c r="G243" s="14">
        <v>45845</v>
      </c>
      <c r="H243" s="15">
        <v>22327.74</v>
      </c>
      <c r="I243" s="15">
        <v>2912.31</v>
      </c>
      <c r="J243" s="15">
        <v>19415.43</v>
      </c>
      <c r="K243" t="s">
        <v>3139</v>
      </c>
      <c r="L243" t="s">
        <v>3140</v>
      </c>
      <c r="N243" s="14"/>
      <c r="O243" t="s">
        <v>288</v>
      </c>
      <c r="P243" t="s">
        <v>2223</v>
      </c>
      <c r="Q243" t="s">
        <v>150</v>
      </c>
      <c r="R243" t="s">
        <v>128</v>
      </c>
      <c r="S243" t="s">
        <v>130</v>
      </c>
      <c r="T243" t="s">
        <v>2224</v>
      </c>
      <c r="U243">
        <f t="shared" si="18"/>
        <v>15</v>
      </c>
      <c r="V243" t="b">
        <f t="shared" si="19"/>
        <v>0</v>
      </c>
      <c r="W243" t="b">
        <f t="shared" si="20"/>
        <v>0</v>
      </c>
      <c r="X243" t="b">
        <f t="shared" si="21"/>
        <v>0</v>
      </c>
      <c r="Y243" t="b">
        <f t="shared" si="22"/>
        <v>0</v>
      </c>
      <c r="Z243" t="b">
        <f t="shared" si="23"/>
        <v>0</v>
      </c>
    </row>
    <row r="244" spans="1:26" ht="15" customHeight="1">
      <c r="A244" t="s">
        <v>3141</v>
      </c>
      <c r="B244" t="s">
        <v>229</v>
      </c>
      <c r="C244" t="s">
        <v>2263</v>
      </c>
      <c r="D244" t="s">
        <v>3142</v>
      </c>
      <c r="E244" s="14">
        <v>46018</v>
      </c>
      <c r="F244" s="14">
        <v>46022</v>
      </c>
      <c r="G244" s="14">
        <v>46052</v>
      </c>
      <c r="H244" s="15">
        <v>36840.01</v>
      </c>
      <c r="I244" s="15">
        <v>4805.22</v>
      </c>
      <c r="J244" s="15">
        <v>32034.79</v>
      </c>
      <c r="K244" t="s">
        <v>3143</v>
      </c>
      <c r="L244" t="s">
        <v>3144</v>
      </c>
      <c r="N244" s="14"/>
      <c r="O244" t="s">
        <v>288</v>
      </c>
      <c r="P244" t="s">
        <v>2231</v>
      </c>
      <c r="Q244" t="s">
        <v>151</v>
      </c>
      <c r="R244" t="s">
        <v>128</v>
      </c>
      <c r="S244" t="s">
        <v>130</v>
      </c>
      <c r="T244" t="s">
        <v>2224</v>
      </c>
      <c r="U244">
        <f t="shared" si="18"/>
        <v>4</v>
      </c>
      <c r="V244" t="b">
        <f t="shared" si="19"/>
        <v>0</v>
      </c>
      <c r="W244" t="b">
        <f t="shared" si="20"/>
        <v>0</v>
      </c>
      <c r="X244" t="b">
        <f t="shared" si="21"/>
        <v>0</v>
      </c>
      <c r="Y244" t="b">
        <f t="shared" si="22"/>
        <v>0</v>
      </c>
      <c r="Z244" t="b">
        <f t="shared" si="23"/>
        <v>1</v>
      </c>
    </row>
    <row r="245" spans="1:26" ht="15" customHeight="1">
      <c r="A245" t="s">
        <v>3145</v>
      </c>
      <c r="B245" t="s">
        <v>313</v>
      </c>
      <c r="C245" t="s">
        <v>2253</v>
      </c>
      <c r="D245" t="s">
        <v>3146</v>
      </c>
      <c r="E245" s="14">
        <v>45730</v>
      </c>
      <c r="F245" s="14">
        <v>45732</v>
      </c>
      <c r="G245" s="14">
        <v>45762</v>
      </c>
      <c r="H245" s="15">
        <v>56867.01</v>
      </c>
      <c r="I245" s="15">
        <v>7417.44</v>
      </c>
      <c r="J245" s="15">
        <v>49449.57</v>
      </c>
      <c r="K245" t="s">
        <v>3147</v>
      </c>
      <c r="M245" t="s">
        <v>3148</v>
      </c>
      <c r="N245" s="14">
        <v>45772</v>
      </c>
      <c r="O245" t="s">
        <v>2209</v>
      </c>
      <c r="P245" t="s">
        <v>2257</v>
      </c>
      <c r="Q245" t="s">
        <v>150</v>
      </c>
      <c r="R245" t="s">
        <v>175</v>
      </c>
      <c r="S245" t="s">
        <v>130</v>
      </c>
      <c r="T245" t="s">
        <v>2211</v>
      </c>
      <c r="U245">
        <f t="shared" si="18"/>
        <v>2</v>
      </c>
      <c r="V245" t="b">
        <f t="shared" si="19"/>
        <v>0</v>
      </c>
      <c r="W245" t="b">
        <f t="shared" si="20"/>
        <v>0</v>
      </c>
      <c r="X245" t="b">
        <f t="shared" si="21"/>
        <v>0</v>
      </c>
      <c r="Y245" t="b">
        <f t="shared" si="22"/>
        <v>0</v>
      </c>
      <c r="Z245" t="b">
        <f t="shared" si="23"/>
        <v>0</v>
      </c>
    </row>
    <row r="246" spans="1:26" ht="15" customHeight="1">
      <c r="A246" t="s">
        <v>1151</v>
      </c>
      <c r="B246" t="s">
        <v>251</v>
      </c>
      <c r="C246" t="s">
        <v>2218</v>
      </c>
      <c r="D246" t="s">
        <v>3149</v>
      </c>
      <c r="E246" s="14">
        <v>45753</v>
      </c>
      <c r="F246" s="14">
        <v>45755</v>
      </c>
      <c r="G246" s="14">
        <v>45785</v>
      </c>
      <c r="H246" s="15">
        <v>43427.39</v>
      </c>
      <c r="I246" s="15">
        <v>5664.44</v>
      </c>
      <c r="J246" s="15">
        <v>37762.949999999997</v>
      </c>
      <c r="K246" t="s">
        <v>3150</v>
      </c>
      <c r="N246" s="14"/>
      <c r="O246" t="s">
        <v>288</v>
      </c>
      <c r="P246" t="s">
        <v>2257</v>
      </c>
      <c r="Q246" t="s">
        <v>140</v>
      </c>
      <c r="R246" t="s">
        <v>128</v>
      </c>
      <c r="S246" t="s">
        <v>130</v>
      </c>
      <c r="T246" t="s">
        <v>2211</v>
      </c>
      <c r="U246">
        <f t="shared" si="18"/>
        <v>2</v>
      </c>
      <c r="V246" t="b">
        <f t="shared" si="19"/>
        <v>0</v>
      </c>
      <c r="W246" t="b">
        <f t="shared" si="20"/>
        <v>0</v>
      </c>
      <c r="X246" t="b">
        <f t="shared" si="21"/>
        <v>0</v>
      </c>
      <c r="Y246" t="b">
        <f t="shared" si="22"/>
        <v>0</v>
      </c>
      <c r="Z246" t="b">
        <f t="shared" si="23"/>
        <v>0</v>
      </c>
    </row>
    <row r="247" spans="1:26" ht="15" customHeight="1">
      <c r="A247" t="s">
        <v>3151</v>
      </c>
      <c r="B247" t="s">
        <v>887</v>
      </c>
      <c r="C247" t="s">
        <v>2347</v>
      </c>
      <c r="D247" t="s">
        <v>3152</v>
      </c>
      <c r="E247" s="14">
        <v>45758</v>
      </c>
      <c r="F247" s="14">
        <v>45763</v>
      </c>
      <c r="G247" s="14">
        <v>45793</v>
      </c>
      <c r="H247" s="15">
        <v>58286.63</v>
      </c>
      <c r="I247" s="15">
        <v>7602.6</v>
      </c>
      <c r="J247" s="15">
        <v>50684.03</v>
      </c>
      <c r="K247" t="s">
        <v>3153</v>
      </c>
      <c r="M247" t="s">
        <v>3154</v>
      </c>
      <c r="N247" s="14">
        <v>45789</v>
      </c>
      <c r="O247" t="s">
        <v>2209</v>
      </c>
      <c r="P247" t="s">
        <v>2217</v>
      </c>
      <c r="Q247" t="s">
        <v>128</v>
      </c>
      <c r="R247" t="s">
        <v>128</v>
      </c>
      <c r="S247" t="s">
        <v>130</v>
      </c>
      <c r="T247" t="s">
        <v>2211</v>
      </c>
      <c r="U247">
        <f t="shared" si="18"/>
        <v>5</v>
      </c>
      <c r="V247" t="b">
        <f t="shared" si="19"/>
        <v>0</v>
      </c>
      <c r="W247" t="b">
        <f t="shared" si="20"/>
        <v>0</v>
      </c>
      <c r="X247" t="b">
        <f t="shared" si="21"/>
        <v>0</v>
      </c>
      <c r="Y247" t="b">
        <f t="shared" si="22"/>
        <v>0</v>
      </c>
      <c r="Z247" t="b">
        <f t="shared" si="23"/>
        <v>0</v>
      </c>
    </row>
    <row r="248" spans="1:26" ht="15" customHeight="1">
      <c r="A248" t="s">
        <v>3155</v>
      </c>
      <c r="B248" t="s">
        <v>229</v>
      </c>
      <c r="C248" t="s">
        <v>2263</v>
      </c>
      <c r="D248" t="s">
        <v>3156</v>
      </c>
      <c r="E248" s="14">
        <v>45796</v>
      </c>
      <c r="F248" s="14">
        <v>45796</v>
      </c>
      <c r="G248" s="14">
        <v>45826</v>
      </c>
      <c r="H248" s="15">
        <v>74152.61</v>
      </c>
      <c r="I248" s="15">
        <v>9672.08</v>
      </c>
      <c r="J248" s="15">
        <v>64480.53</v>
      </c>
      <c r="K248" t="s">
        <v>3157</v>
      </c>
      <c r="M248" t="s">
        <v>3158</v>
      </c>
      <c r="N248" s="14">
        <v>45823</v>
      </c>
      <c r="O248" t="s">
        <v>2209</v>
      </c>
      <c r="P248" t="s">
        <v>2257</v>
      </c>
      <c r="Q248" t="s">
        <v>128</v>
      </c>
      <c r="R248" t="s">
        <v>151</v>
      </c>
      <c r="S248" t="s">
        <v>288</v>
      </c>
      <c r="T248" t="s">
        <v>2211</v>
      </c>
      <c r="U248">
        <f t="shared" si="18"/>
        <v>0</v>
      </c>
      <c r="V248" t="b">
        <f t="shared" si="19"/>
        <v>0</v>
      </c>
      <c r="W248" t="b">
        <f t="shared" si="20"/>
        <v>0</v>
      </c>
      <c r="X248" t="b">
        <f t="shared" si="21"/>
        <v>0</v>
      </c>
      <c r="Y248" t="b">
        <f t="shared" si="22"/>
        <v>0</v>
      </c>
      <c r="Z248" t="b">
        <f t="shared" si="23"/>
        <v>0</v>
      </c>
    </row>
    <row r="249" spans="1:26" ht="15" customHeight="1">
      <c r="A249" t="s">
        <v>3159</v>
      </c>
      <c r="B249" t="s">
        <v>212</v>
      </c>
      <c r="C249" t="s">
        <v>2226</v>
      </c>
      <c r="D249" t="s">
        <v>3160</v>
      </c>
      <c r="E249" s="14">
        <v>45783</v>
      </c>
      <c r="F249" s="14">
        <v>45788</v>
      </c>
      <c r="G249" s="14">
        <v>45818</v>
      </c>
      <c r="H249" s="15">
        <v>23628.69</v>
      </c>
      <c r="I249" s="15">
        <v>3082</v>
      </c>
      <c r="J249" s="15">
        <v>20546.689999999999</v>
      </c>
      <c r="K249" t="s">
        <v>3161</v>
      </c>
      <c r="L249" t="s">
        <v>3162</v>
      </c>
      <c r="N249" s="14"/>
      <c r="O249" t="s">
        <v>288</v>
      </c>
      <c r="P249" t="s">
        <v>2293</v>
      </c>
      <c r="Q249" t="s">
        <v>150</v>
      </c>
      <c r="R249" t="s">
        <v>175</v>
      </c>
      <c r="S249" t="s">
        <v>130</v>
      </c>
      <c r="T249" t="s">
        <v>2224</v>
      </c>
      <c r="U249">
        <f t="shared" si="18"/>
        <v>5</v>
      </c>
      <c r="V249" t="b">
        <f t="shared" si="19"/>
        <v>0</v>
      </c>
      <c r="W249" t="b">
        <f t="shared" si="20"/>
        <v>0</v>
      </c>
      <c r="X249" t="b">
        <f t="shared" si="21"/>
        <v>0</v>
      </c>
      <c r="Y249" t="b">
        <f t="shared" si="22"/>
        <v>0</v>
      </c>
      <c r="Z249" t="b">
        <f t="shared" si="23"/>
        <v>0</v>
      </c>
    </row>
    <row r="250" spans="1:26" ht="15" customHeight="1">
      <c r="A250" t="s">
        <v>1167</v>
      </c>
      <c r="B250" t="s">
        <v>782</v>
      </c>
      <c r="C250" t="s">
        <v>2205</v>
      </c>
      <c r="D250" t="s">
        <v>3163</v>
      </c>
      <c r="E250" s="14">
        <v>45847</v>
      </c>
      <c r="F250" s="14">
        <v>45849</v>
      </c>
      <c r="G250" s="14">
        <v>45879</v>
      </c>
      <c r="H250" s="15">
        <v>67822.009999999995</v>
      </c>
      <c r="I250" s="15">
        <v>8846.35</v>
      </c>
      <c r="J250" s="15">
        <v>58975.66</v>
      </c>
      <c r="K250" t="s">
        <v>3164</v>
      </c>
      <c r="L250" t="s">
        <v>3165</v>
      </c>
      <c r="N250" s="14"/>
      <c r="O250" t="s">
        <v>288</v>
      </c>
      <c r="P250" t="s">
        <v>2293</v>
      </c>
      <c r="Q250" t="s">
        <v>151</v>
      </c>
      <c r="R250" t="s">
        <v>150</v>
      </c>
      <c r="S250" t="s">
        <v>130</v>
      </c>
      <c r="T250" t="s">
        <v>2224</v>
      </c>
      <c r="U250">
        <f t="shared" si="18"/>
        <v>2</v>
      </c>
      <c r="V250" t="b">
        <f t="shared" si="19"/>
        <v>0</v>
      </c>
      <c r="W250" t="b">
        <f t="shared" si="20"/>
        <v>0</v>
      </c>
      <c r="X250" t="b">
        <f t="shared" si="21"/>
        <v>0</v>
      </c>
      <c r="Y250" t="b">
        <f t="shared" si="22"/>
        <v>0</v>
      </c>
      <c r="Z250" t="b">
        <f t="shared" si="23"/>
        <v>0</v>
      </c>
    </row>
    <row r="251" spans="1:26" ht="15" customHeight="1">
      <c r="A251" t="s">
        <v>1171</v>
      </c>
      <c r="B251" t="s">
        <v>251</v>
      </c>
      <c r="C251" t="s">
        <v>2218</v>
      </c>
      <c r="D251" t="s">
        <v>3166</v>
      </c>
      <c r="E251" s="14">
        <v>45791</v>
      </c>
      <c r="F251" s="14">
        <v>45821</v>
      </c>
      <c r="G251" s="14">
        <v>45851</v>
      </c>
      <c r="H251" s="15">
        <v>50021.2</v>
      </c>
      <c r="I251" s="15">
        <v>6524.5</v>
      </c>
      <c r="J251" s="15">
        <v>43496.7</v>
      </c>
      <c r="K251" t="s">
        <v>3167</v>
      </c>
      <c r="M251" t="s">
        <v>3168</v>
      </c>
      <c r="N251" s="14">
        <v>45831</v>
      </c>
      <c r="O251" t="s">
        <v>2209</v>
      </c>
      <c r="P251" t="s">
        <v>2210</v>
      </c>
      <c r="Q251" t="s">
        <v>129</v>
      </c>
      <c r="R251" t="s">
        <v>128</v>
      </c>
      <c r="S251" t="s">
        <v>130</v>
      </c>
      <c r="T251" t="s">
        <v>2211</v>
      </c>
      <c r="U251">
        <f t="shared" si="18"/>
        <v>30</v>
      </c>
      <c r="V251" t="b">
        <f t="shared" si="19"/>
        <v>0</v>
      </c>
      <c r="W251" t="b">
        <f t="shared" si="20"/>
        <v>0</v>
      </c>
      <c r="X251" t="b">
        <f t="shared" si="21"/>
        <v>0</v>
      </c>
      <c r="Y251" t="b">
        <f t="shared" si="22"/>
        <v>0</v>
      </c>
      <c r="Z251" t="b">
        <f t="shared" si="23"/>
        <v>0</v>
      </c>
    </row>
    <row r="252" spans="1:26" ht="15" customHeight="1">
      <c r="A252" t="s">
        <v>3169</v>
      </c>
      <c r="B252" t="s">
        <v>705</v>
      </c>
      <c r="C252" t="s">
        <v>2237</v>
      </c>
      <c r="D252" t="s">
        <v>3170</v>
      </c>
      <c r="E252" s="14">
        <v>45920</v>
      </c>
      <c r="F252" s="14">
        <v>45935</v>
      </c>
      <c r="G252" s="14">
        <v>45965</v>
      </c>
      <c r="H252" s="15">
        <v>44675.68</v>
      </c>
      <c r="I252" s="15">
        <v>5827.26</v>
      </c>
      <c r="J252" s="15">
        <v>38848.42</v>
      </c>
      <c r="K252" t="s">
        <v>3171</v>
      </c>
      <c r="L252" t="s">
        <v>3172</v>
      </c>
      <c r="M252" t="s">
        <v>3173</v>
      </c>
      <c r="N252" s="14">
        <v>45958</v>
      </c>
      <c r="O252" t="s">
        <v>2209</v>
      </c>
      <c r="P252" t="s">
        <v>2223</v>
      </c>
      <c r="Q252" t="s">
        <v>151</v>
      </c>
      <c r="R252" t="s">
        <v>128</v>
      </c>
      <c r="S252" t="s">
        <v>130</v>
      </c>
      <c r="T252" t="s">
        <v>2224</v>
      </c>
      <c r="U252">
        <f t="shared" si="18"/>
        <v>15</v>
      </c>
      <c r="V252" t="b">
        <f t="shared" si="19"/>
        <v>0</v>
      </c>
      <c r="W252" t="b">
        <f t="shared" si="20"/>
        <v>0</v>
      </c>
      <c r="X252" t="b">
        <f t="shared" si="21"/>
        <v>0</v>
      </c>
      <c r="Y252" t="b">
        <f t="shared" si="22"/>
        <v>0</v>
      </c>
      <c r="Z252" t="b">
        <f t="shared" si="23"/>
        <v>0</v>
      </c>
    </row>
    <row r="253" spans="1:26" ht="15" customHeight="1">
      <c r="A253" t="s">
        <v>1179</v>
      </c>
      <c r="B253" t="s">
        <v>705</v>
      </c>
      <c r="C253" t="s">
        <v>2237</v>
      </c>
      <c r="D253" t="s">
        <v>3174</v>
      </c>
      <c r="E253" s="14">
        <v>45885</v>
      </c>
      <c r="F253" s="14">
        <v>45895</v>
      </c>
      <c r="G253" s="14">
        <v>45925</v>
      </c>
      <c r="H253" s="15">
        <v>41545.46</v>
      </c>
      <c r="I253" s="15">
        <v>5418.97</v>
      </c>
      <c r="J253" s="15">
        <v>36126.49</v>
      </c>
      <c r="K253" t="s">
        <v>3175</v>
      </c>
      <c r="M253" t="s">
        <v>3176</v>
      </c>
      <c r="N253" s="14">
        <v>45911</v>
      </c>
      <c r="O253" t="s">
        <v>2209</v>
      </c>
      <c r="P253" t="s">
        <v>2243</v>
      </c>
      <c r="Q253" t="s">
        <v>175</v>
      </c>
      <c r="R253" t="s">
        <v>129</v>
      </c>
      <c r="S253" t="s">
        <v>130</v>
      </c>
      <c r="T253" t="s">
        <v>2211</v>
      </c>
      <c r="U253">
        <f t="shared" si="18"/>
        <v>10</v>
      </c>
      <c r="V253" t="b">
        <f t="shared" si="19"/>
        <v>0</v>
      </c>
      <c r="W253" t="b">
        <f t="shared" si="20"/>
        <v>0</v>
      </c>
      <c r="X253" t="b">
        <f t="shared" si="21"/>
        <v>0</v>
      </c>
      <c r="Y253" t="b">
        <f t="shared" si="22"/>
        <v>0</v>
      </c>
      <c r="Z253" t="b">
        <f t="shared" si="23"/>
        <v>0</v>
      </c>
    </row>
    <row r="254" spans="1:26" ht="15" customHeight="1">
      <c r="A254" t="s">
        <v>3177</v>
      </c>
      <c r="B254" t="s">
        <v>322</v>
      </c>
      <c r="C254" t="s">
        <v>2213</v>
      </c>
      <c r="D254" t="s">
        <v>3178</v>
      </c>
      <c r="E254" s="14">
        <v>45778</v>
      </c>
      <c r="F254" s="14">
        <v>45781</v>
      </c>
      <c r="G254" s="14">
        <v>45811</v>
      </c>
      <c r="H254" s="15">
        <v>52206.58</v>
      </c>
      <c r="I254" s="15">
        <v>6809.55</v>
      </c>
      <c r="J254" s="15">
        <v>45397.03</v>
      </c>
      <c r="K254" t="s">
        <v>3179</v>
      </c>
      <c r="L254" t="s">
        <v>3180</v>
      </c>
      <c r="M254" t="s">
        <v>3181</v>
      </c>
      <c r="N254" s="14">
        <v>45816</v>
      </c>
      <c r="O254" t="s">
        <v>2209</v>
      </c>
      <c r="P254" t="s">
        <v>2231</v>
      </c>
      <c r="Q254" t="s">
        <v>175</v>
      </c>
      <c r="R254" t="s">
        <v>128</v>
      </c>
      <c r="S254" t="s">
        <v>130</v>
      </c>
      <c r="T254" t="s">
        <v>2224</v>
      </c>
      <c r="U254">
        <f t="shared" si="18"/>
        <v>3</v>
      </c>
      <c r="V254" t="b">
        <f t="shared" si="19"/>
        <v>0</v>
      </c>
      <c r="W254" t="b">
        <f t="shared" si="20"/>
        <v>0</v>
      </c>
      <c r="X254" t="b">
        <f t="shared" si="21"/>
        <v>0</v>
      </c>
      <c r="Y254" t="b">
        <f t="shared" si="22"/>
        <v>0</v>
      </c>
      <c r="Z254" t="b">
        <f t="shared" si="23"/>
        <v>0</v>
      </c>
    </row>
    <row r="255" spans="1:26" ht="15" customHeight="1">
      <c r="A255" t="s">
        <v>3182</v>
      </c>
      <c r="B255" t="s">
        <v>349</v>
      </c>
      <c r="C255" t="s">
        <v>2245</v>
      </c>
      <c r="D255" t="s">
        <v>3183</v>
      </c>
      <c r="E255" s="14">
        <v>46016</v>
      </c>
      <c r="F255" s="14">
        <v>46017</v>
      </c>
      <c r="G255" s="14">
        <v>46047</v>
      </c>
      <c r="H255" s="15">
        <v>23265.5</v>
      </c>
      <c r="I255" s="15">
        <v>3034.63</v>
      </c>
      <c r="J255" s="15">
        <v>20230.87</v>
      </c>
      <c r="K255" t="s">
        <v>3184</v>
      </c>
      <c r="M255" t="s">
        <v>3185</v>
      </c>
      <c r="N255" s="14">
        <v>46022</v>
      </c>
      <c r="O255" t="s">
        <v>2209</v>
      </c>
      <c r="P255" t="s">
        <v>2243</v>
      </c>
      <c r="Q255" t="s">
        <v>140</v>
      </c>
      <c r="R255" t="s">
        <v>129</v>
      </c>
      <c r="S255" t="s">
        <v>130</v>
      </c>
      <c r="T255" t="s">
        <v>2211</v>
      </c>
      <c r="U255">
        <f t="shared" si="18"/>
        <v>1</v>
      </c>
      <c r="V255" t="b">
        <f t="shared" si="19"/>
        <v>0</v>
      </c>
      <c r="W255" t="b">
        <f t="shared" si="20"/>
        <v>0</v>
      </c>
      <c r="X255" t="b">
        <f t="shared" si="21"/>
        <v>0</v>
      </c>
      <c r="Y255" t="b">
        <f t="shared" si="22"/>
        <v>0</v>
      </c>
      <c r="Z255" t="b">
        <f t="shared" si="23"/>
        <v>1</v>
      </c>
    </row>
    <row r="256" spans="1:26" ht="15" customHeight="1">
      <c r="A256" t="s">
        <v>3186</v>
      </c>
      <c r="B256" t="s">
        <v>349</v>
      </c>
      <c r="C256" t="s">
        <v>2245</v>
      </c>
      <c r="D256" t="s">
        <v>3187</v>
      </c>
      <c r="E256" s="14">
        <v>45671</v>
      </c>
      <c r="F256" s="14">
        <v>45671</v>
      </c>
      <c r="G256" s="14">
        <v>45701</v>
      </c>
      <c r="H256" s="15">
        <v>9366.61</v>
      </c>
      <c r="I256" s="15">
        <v>1221.73</v>
      </c>
      <c r="J256" s="15">
        <v>8144.88</v>
      </c>
      <c r="K256" t="s">
        <v>3188</v>
      </c>
      <c r="M256" t="s">
        <v>3189</v>
      </c>
      <c r="N256" s="14">
        <v>45676</v>
      </c>
      <c r="O256" t="s">
        <v>2209</v>
      </c>
      <c r="P256" t="s">
        <v>2231</v>
      </c>
      <c r="Q256" t="s">
        <v>151</v>
      </c>
      <c r="R256" t="s">
        <v>150</v>
      </c>
      <c r="S256" t="s">
        <v>130</v>
      </c>
      <c r="T256" t="s">
        <v>2211</v>
      </c>
      <c r="U256">
        <f t="shared" si="18"/>
        <v>0</v>
      </c>
      <c r="V256" t="b">
        <f t="shared" si="19"/>
        <v>0</v>
      </c>
      <c r="W256" t="b">
        <f t="shared" si="20"/>
        <v>0</v>
      </c>
      <c r="X256" t="b">
        <f t="shared" si="21"/>
        <v>0</v>
      </c>
      <c r="Y256" t="b">
        <f t="shared" si="22"/>
        <v>1</v>
      </c>
      <c r="Z256" t="b">
        <f t="shared" si="23"/>
        <v>0</v>
      </c>
    </row>
    <row r="257" spans="1:26" ht="15" customHeight="1">
      <c r="A257" t="s">
        <v>3190</v>
      </c>
      <c r="B257" t="s">
        <v>212</v>
      </c>
      <c r="C257" t="s">
        <v>2226</v>
      </c>
      <c r="D257" t="s">
        <v>3191</v>
      </c>
      <c r="E257" s="14">
        <v>45708</v>
      </c>
      <c r="F257" s="14">
        <v>45711</v>
      </c>
      <c r="G257" s="14">
        <v>45741</v>
      </c>
      <c r="H257" s="15">
        <v>57178.79</v>
      </c>
      <c r="I257" s="15">
        <v>7458.1</v>
      </c>
      <c r="J257" s="15">
        <v>49720.69</v>
      </c>
      <c r="K257" t="s">
        <v>3192</v>
      </c>
      <c r="M257" t="s">
        <v>3193</v>
      </c>
      <c r="N257" s="14">
        <v>45728</v>
      </c>
      <c r="O257" t="s">
        <v>2209</v>
      </c>
      <c r="P257" t="s">
        <v>2257</v>
      </c>
      <c r="Q257" t="s">
        <v>175</v>
      </c>
      <c r="R257" t="s">
        <v>129</v>
      </c>
      <c r="S257" t="s">
        <v>130</v>
      </c>
      <c r="T257" t="s">
        <v>2211</v>
      </c>
      <c r="U257">
        <f t="shared" si="18"/>
        <v>3</v>
      </c>
      <c r="V257" t="b">
        <f t="shared" si="19"/>
        <v>0</v>
      </c>
      <c r="W257" t="b">
        <f t="shared" si="20"/>
        <v>0</v>
      </c>
      <c r="X257" t="b">
        <f t="shared" si="21"/>
        <v>0</v>
      </c>
      <c r="Y257" t="b">
        <f t="shared" si="22"/>
        <v>0</v>
      </c>
      <c r="Z257" t="b">
        <f t="shared" si="23"/>
        <v>0</v>
      </c>
    </row>
    <row r="258" spans="1:26" ht="15" customHeight="1">
      <c r="A258" t="s">
        <v>3194</v>
      </c>
      <c r="B258" t="s">
        <v>782</v>
      </c>
      <c r="C258" t="s">
        <v>2205</v>
      </c>
      <c r="D258" t="s">
        <v>3195</v>
      </c>
      <c r="E258" s="14">
        <v>45789</v>
      </c>
      <c r="F258" s="14">
        <v>45792</v>
      </c>
      <c r="G258" s="14">
        <v>45822</v>
      </c>
      <c r="H258" s="15">
        <v>69649.990000000005</v>
      </c>
      <c r="I258" s="15">
        <v>9084.7800000000007</v>
      </c>
      <c r="J258" s="15">
        <v>60565.21</v>
      </c>
      <c r="K258" t="s">
        <v>3196</v>
      </c>
      <c r="L258" t="s">
        <v>3197</v>
      </c>
      <c r="M258" t="s">
        <v>3198</v>
      </c>
      <c r="N258" s="14">
        <v>45807</v>
      </c>
      <c r="O258" t="s">
        <v>2209</v>
      </c>
      <c r="P258" t="s">
        <v>2231</v>
      </c>
      <c r="Q258" t="s">
        <v>129</v>
      </c>
      <c r="R258" t="s">
        <v>128</v>
      </c>
      <c r="S258" t="s">
        <v>130</v>
      </c>
      <c r="T258" t="s">
        <v>2224</v>
      </c>
      <c r="U258">
        <f t="shared" si="18"/>
        <v>3</v>
      </c>
      <c r="V258" t="b">
        <f t="shared" si="19"/>
        <v>0</v>
      </c>
      <c r="W258" t="b">
        <f t="shared" si="20"/>
        <v>0</v>
      </c>
      <c r="X258" t="b">
        <f t="shared" si="21"/>
        <v>0</v>
      </c>
      <c r="Y258" t="b">
        <f t="shared" si="22"/>
        <v>0</v>
      </c>
      <c r="Z258" t="b">
        <f t="shared" si="23"/>
        <v>0</v>
      </c>
    </row>
    <row r="259" spans="1:26" ht="15" customHeight="1">
      <c r="A259" t="s">
        <v>3199</v>
      </c>
      <c r="B259" t="s">
        <v>313</v>
      </c>
      <c r="C259" t="s">
        <v>2253</v>
      </c>
      <c r="D259" t="s">
        <v>3200</v>
      </c>
      <c r="E259" s="14">
        <v>45992</v>
      </c>
      <c r="F259" s="14">
        <v>46002</v>
      </c>
      <c r="G259" s="14">
        <v>46032</v>
      </c>
      <c r="H259" s="15">
        <v>16523.27</v>
      </c>
      <c r="I259" s="15">
        <v>2155.21</v>
      </c>
      <c r="J259" s="15">
        <v>14368.06</v>
      </c>
      <c r="K259" t="s">
        <v>3201</v>
      </c>
      <c r="L259" t="s">
        <v>3202</v>
      </c>
      <c r="N259" s="14"/>
      <c r="O259" t="s">
        <v>288</v>
      </c>
      <c r="P259" t="s">
        <v>2231</v>
      </c>
      <c r="Q259" t="s">
        <v>129</v>
      </c>
      <c r="R259" t="s">
        <v>151</v>
      </c>
      <c r="S259" t="s">
        <v>130</v>
      </c>
      <c r="T259" t="s">
        <v>2224</v>
      </c>
      <c r="U259">
        <f t="shared" si="18"/>
        <v>10</v>
      </c>
      <c r="V259" t="b">
        <f t="shared" si="19"/>
        <v>0</v>
      </c>
      <c r="W259" t="b">
        <f t="shared" si="20"/>
        <v>0</v>
      </c>
      <c r="X259" t="b">
        <f t="shared" si="21"/>
        <v>0</v>
      </c>
      <c r="Y259" t="b">
        <f t="shared" si="22"/>
        <v>0</v>
      </c>
      <c r="Z259" t="b">
        <f t="shared" si="23"/>
        <v>0</v>
      </c>
    </row>
    <row r="260" spans="1:26" ht="15" customHeight="1">
      <c r="A260" t="s">
        <v>3203</v>
      </c>
      <c r="B260" t="s">
        <v>705</v>
      </c>
      <c r="C260" t="s">
        <v>2237</v>
      </c>
      <c r="D260" t="s">
        <v>3204</v>
      </c>
      <c r="E260" s="14">
        <v>45979</v>
      </c>
      <c r="F260" s="14">
        <v>45994</v>
      </c>
      <c r="G260" s="14">
        <v>46024</v>
      </c>
      <c r="H260" s="15">
        <v>40641.64</v>
      </c>
      <c r="I260" s="15">
        <v>5301.08</v>
      </c>
      <c r="J260" s="15">
        <v>35340.559999999998</v>
      </c>
      <c r="K260" t="s">
        <v>3205</v>
      </c>
      <c r="L260" t="s">
        <v>3206</v>
      </c>
      <c r="M260" t="s">
        <v>3207</v>
      </c>
      <c r="N260" s="14">
        <v>46028</v>
      </c>
      <c r="O260" t="s">
        <v>2209</v>
      </c>
      <c r="P260" t="s">
        <v>2293</v>
      </c>
      <c r="Q260" t="s">
        <v>140</v>
      </c>
      <c r="R260" t="s">
        <v>151</v>
      </c>
      <c r="S260" t="s">
        <v>130</v>
      </c>
      <c r="T260" t="s">
        <v>2224</v>
      </c>
      <c r="U260">
        <f t="shared" si="18"/>
        <v>15</v>
      </c>
      <c r="V260" t="b">
        <f t="shared" si="19"/>
        <v>0</v>
      </c>
      <c r="W260" t="b">
        <f t="shared" si="20"/>
        <v>0</v>
      </c>
      <c r="X260" t="b">
        <f t="shared" si="21"/>
        <v>0</v>
      </c>
      <c r="Y260" t="b">
        <f t="shared" si="22"/>
        <v>0</v>
      </c>
      <c r="Z260" t="b">
        <f t="shared" si="23"/>
        <v>0</v>
      </c>
    </row>
    <row r="261" spans="1:26" ht="15" customHeight="1">
      <c r="A261" t="s">
        <v>3208</v>
      </c>
      <c r="B261" t="s">
        <v>705</v>
      </c>
      <c r="C261" t="s">
        <v>2237</v>
      </c>
      <c r="D261" t="s">
        <v>3209</v>
      </c>
      <c r="E261" s="14">
        <v>45971</v>
      </c>
      <c r="F261" s="14">
        <v>45986</v>
      </c>
      <c r="G261" s="14">
        <v>46016</v>
      </c>
      <c r="H261" s="15">
        <v>31329.07</v>
      </c>
      <c r="I261" s="15">
        <v>4086.4</v>
      </c>
      <c r="J261" s="15">
        <v>27242.67</v>
      </c>
      <c r="K261" t="s">
        <v>3210</v>
      </c>
      <c r="M261" t="s">
        <v>3211</v>
      </c>
      <c r="N261" s="14">
        <v>46029</v>
      </c>
      <c r="O261" t="s">
        <v>2209</v>
      </c>
      <c r="P261" t="s">
        <v>2210</v>
      </c>
      <c r="Q261" t="s">
        <v>140</v>
      </c>
      <c r="R261" t="s">
        <v>128</v>
      </c>
      <c r="S261" t="s">
        <v>130</v>
      </c>
      <c r="T261" t="s">
        <v>2211</v>
      </c>
      <c r="U261">
        <f t="shared" ref="U261:U304" si="24">F261-E261</f>
        <v>15</v>
      </c>
      <c r="V261" t="b">
        <f t="shared" ref="V261:V304" si="25">H261&gt;High_Value_AP_Threshold</f>
        <v>0</v>
      </c>
      <c r="W261" t="b">
        <f t="shared" ref="W261:W304" si="26">COUNTIFS($B$5:$B$304,B261,$D$5:$D$304,D261)&gt;1</f>
        <v>0</v>
      </c>
      <c r="X261" t="b">
        <f t="shared" ref="X261:X304" si="27">AND(K261="",P261&lt;&gt;"Utility service",P261&lt;&gt;"Campaign services")</f>
        <v>0</v>
      </c>
      <c r="Y261" t="b">
        <f t="shared" ref="Y261:Y304" si="28">AND(L261="",OR(P261="Merchandise replenishment",P261="Office supplies",P261="Transport and logistics"))</f>
        <v>0</v>
      </c>
      <c r="Z261" t="b">
        <f t="shared" ref="Z261:Z304" si="29">OR(F261&gt;Year_End_Window_End,AND(E261&gt;=Year_End_Window_Start,F261&gt;=Year_End_Window_Start))</f>
        <v>0</v>
      </c>
    </row>
    <row r="262" spans="1:26" ht="15" customHeight="1">
      <c r="A262" t="s">
        <v>3212</v>
      </c>
      <c r="B262" t="s">
        <v>782</v>
      </c>
      <c r="C262" t="s">
        <v>2205</v>
      </c>
      <c r="D262" t="s">
        <v>3213</v>
      </c>
      <c r="E262" s="14">
        <v>45904</v>
      </c>
      <c r="F262" s="14">
        <v>45919</v>
      </c>
      <c r="G262" s="14">
        <v>45949</v>
      </c>
      <c r="H262" s="15">
        <v>46280.66</v>
      </c>
      <c r="I262" s="15">
        <v>6036.61</v>
      </c>
      <c r="J262" s="15">
        <v>40244.050000000003</v>
      </c>
      <c r="K262" t="s">
        <v>3214</v>
      </c>
      <c r="L262" t="s">
        <v>3215</v>
      </c>
      <c r="M262" t="s">
        <v>3216</v>
      </c>
      <c r="N262" s="14">
        <v>45937</v>
      </c>
      <c r="O262" t="s">
        <v>2209</v>
      </c>
      <c r="P262" t="s">
        <v>2223</v>
      </c>
      <c r="Q262" t="s">
        <v>128</v>
      </c>
      <c r="R262" t="s">
        <v>175</v>
      </c>
      <c r="S262" t="s">
        <v>130</v>
      </c>
      <c r="T262" t="s">
        <v>2224</v>
      </c>
      <c r="U262">
        <f t="shared" si="24"/>
        <v>15</v>
      </c>
      <c r="V262" t="b">
        <f t="shared" si="25"/>
        <v>0</v>
      </c>
      <c r="W262" t="b">
        <f t="shared" si="26"/>
        <v>0</v>
      </c>
      <c r="X262" t="b">
        <f t="shared" si="27"/>
        <v>0</v>
      </c>
      <c r="Y262" t="b">
        <f t="shared" si="28"/>
        <v>0</v>
      </c>
      <c r="Z262" t="b">
        <f t="shared" si="29"/>
        <v>0</v>
      </c>
    </row>
    <row r="263" spans="1:26" ht="15" customHeight="1">
      <c r="A263" t="s">
        <v>1219</v>
      </c>
      <c r="B263" t="s">
        <v>705</v>
      </c>
      <c r="C263" t="s">
        <v>2237</v>
      </c>
      <c r="D263" t="s">
        <v>3217</v>
      </c>
      <c r="E263" s="14">
        <v>45914</v>
      </c>
      <c r="F263" s="14">
        <v>45914</v>
      </c>
      <c r="G263" s="14">
        <v>45944</v>
      </c>
      <c r="H263" s="15">
        <v>44386.65</v>
      </c>
      <c r="I263" s="15">
        <v>5789.56</v>
      </c>
      <c r="J263" s="15">
        <v>38597.089999999997</v>
      </c>
      <c r="K263" t="s">
        <v>3218</v>
      </c>
      <c r="L263" t="s">
        <v>3219</v>
      </c>
      <c r="M263" t="s">
        <v>3220</v>
      </c>
      <c r="N263" s="14">
        <v>45934</v>
      </c>
      <c r="O263" t="s">
        <v>2209</v>
      </c>
      <c r="P263" t="s">
        <v>2223</v>
      </c>
      <c r="Q263" t="s">
        <v>175</v>
      </c>
      <c r="R263" t="s">
        <v>128</v>
      </c>
      <c r="S263" t="s">
        <v>130</v>
      </c>
      <c r="T263" t="s">
        <v>2224</v>
      </c>
      <c r="U263">
        <f t="shared" si="24"/>
        <v>0</v>
      </c>
      <c r="V263" t="b">
        <f t="shared" si="25"/>
        <v>0</v>
      </c>
      <c r="W263" t="b">
        <f t="shared" si="26"/>
        <v>0</v>
      </c>
      <c r="X263" t="b">
        <f t="shared" si="27"/>
        <v>0</v>
      </c>
      <c r="Y263" t="b">
        <f t="shared" si="28"/>
        <v>0</v>
      </c>
      <c r="Z263" t="b">
        <f t="shared" si="29"/>
        <v>0</v>
      </c>
    </row>
    <row r="264" spans="1:26" ht="15" customHeight="1">
      <c r="A264" t="s">
        <v>3221</v>
      </c>
      <c r="B264" t="s">
        <v>251</v>
      </c>
      <c r="C264" t="s">
        <v>2218</v>
      </c>
      <c r="D264" t="s">
        <v>3222</v>
      </c>
      <c r="E264" s="14">
        <v>45670</v>
      </c>
      <c r="F264" s="14">
        <v>45700</v>
      </c>
      <c r="G264" s="14">
        <v>45730</v>
      </c>
      <c r="H264" s="15">
        <v>30099.8</v>
      </c>
      <c r="I264" s="15">
        <v>3926.06</v>
      </c>
      <c r="J264" s="15">
        <v>26173.74</v>
      </c>
      <c r="K264" t="s">
        <v>3223</v>
      </c>
      <c r="M264" t="s">
        <v>3224</v>
      </c>
      <c r="N264" s="14">
        <v>45734</v>
      </c>
      <c r="O264" t="s">
        <v>2209</v>
      </c>
      <c r="P264" t="s">
        <v>2217</v>
      </c>
      <c r="Q264" t="s">
        <v>129</v>
      </c>
      <c r="R264" t="s">
        <v>151</v>
      </c>
      <c r="S264" t="s">
        <v>130</v>
      </c>
      <c r="T264" t="s">
        <v>2211</v>
      </c>
      <c r="U264">
        <f t="shared" si="24"/>
        <v>30</v>
      </c>
      <c r="V264" t="b">
        <f t="shared" si="25"/>
        <v>0</v>
      </c>
      <c r="W264" t="b">
        <f t="shared" si="26"/>
        <v>0</v>
      </c>
      <c r="X264" t="b">
        <f t="shared" si="27"/>
        <v>0</v>
      </c>
      <c r="Y264" t="b">
        <f t="shared" si="28"/>
        <v>0</v>
      </c>
      <c r="Z264" t="b">
        <f t="shared" si="29"/>
        <v>0</v>
      </c>
    </row>
    <row r="265" spans="1:26" ht="15" customHeight="1">
      <c r="A265" t="s">
        <v>3225</v>
      </c>
      <c r="B265" t="s">
        <v>251</v>
      </c>
      <c r="C265" t="s">
        <v>2218</v>
      </c>
      <c r="D265" t="s">
        <v>3226</v>
      </c>
      <c r="E265" s="14">
        <v>46013</v>
      </c>
      <c r="F265" s="14">
        <v>46022</v>
      </c>
      <c r="G265" s="14">
        <v>46052</v>
      </c>
      <c r="H265" s="15">
        <v>10702.47</v>
      </c>
      <c r="I265" s="15">
        <v>1395.97</v>
      </c>
      <c r="J265" s="15">
        <v>9306.5</v>
      </c>
      <c r="K265" t="s">
        <v>3227</v>
      </c>
      <c r="L265" t="s">
        <v>3228</v>
      </c>
      <c r="M265" t="s">
        <v>3229</v>
      </c>
      <c r="N265" s="14">
        <v>46067</v>
      </c>
      <c r="O265" t="s">
        <v>2209</v>
      </c>
      <c r="P265" t="s">
        <v>2231</v>
      </c>
      <c r="Q265" t="s">
        <v>175</v>
      </c>
      <c r="R265" t="s">
        <v>175</v>
      </c>
      <c r="S265" t="s">
        <v>130</v>
      </c>
      <c r="T265" t="s">
        <v>2224</v>
      </c>
      <c r="U265">
        <f t="shared" si="24"/>
        <v>9</v>
      </c>
      <c r="V265" t="b">
        <f t="shared" si="25"/>
        <v>0</v>
      </c>
      <c r="W265" t="b">
        <f t="shared" si="26"/>
        <v>0</v>
      </c>
      <c r="X265" t="b">
        <f t="shared" si="27"/>
        <v>0</v>
      </c>
      <c r="Y265" t="b">
        <f t="shared" si="28"/>
        <v>0</v>
      </c>
      <c r="Z265" t="b">
        <f t="shared" si="29"/>
        <v>1</v>
      </c>
    </row>
    <row r="266" spans="1:26" ht="15" customHeight="1">
      <c r="A266" t="s">
        <v>1231</v>
      </c>
      <c r="B266" t="s">
        <v>440</v>
      </c>
      <c r="C266" t="s">
        <v>2307</v>
      </c>
      <c r="D266" t="s">
        <v>3230</v>
      </c>
      <c r="E266" s="14">
        <v>45904</v>
      </c>
      <c r="F266" s="14">
        <v>45909</v>
      </c>
      <c r="G266" s="14">
        <v>45939</v>
      </c>
      <c r="H266" s="15">
        <v>59964.92</v>
      </c>
      <c r="I266" s="15">
        <v>7821.51</v>
      </c>
      <c r="J266" s="15">
        <v>52143.41</v>
      </c>
      <c r="K266" t="s">
        <v>3231</v>
      </c>
      <c r="M266" t="s">
        <v>3232</v>
      </c>
      <c r="N266" s="14">
        <v>45917</v>
      </c>
      <c r="O266" t="s">
        <v>2209</v>
      </c>
      <c r="P266" t="s">
        <v>2217</v>
      </c>
      <c r="Q266" t="s">
        <v>150</v>
      </c>
      <c r="R266" t="s">
        <v>175</v>
      </c>
      <c r="S266" t="s">
        <v>130</v>
      </c>
      <c r="T266" t="s">
        <v>2211</v>
      </c>
      <c r="U266">
        <f t="shared" si="24"/>
        <v>5</v>
      </c>
      <c r="V266" t="b">
        <f t="shared" si="25"/>
        <v>0</v>
      </c>
      <c r="W266" t="b">
        <f t="shared" si="26"/>
        <v>0</v>
      </c>
      <c r="X266" t="b">
        <f t="shared" si="27"/>
        <v>0</v>
      </c>
      <c r="Y266" t="b">
        <f t="shared" si="28"/>
        <v>0</v>
      </c>
      <c r="Z266" t="b">
        <f t="shared" si="29"/>
        <v>0</v>
      </c>
    </row>
    <row r="267" spans="1:26" ht="15" customHeight="1">
      <c r="A267" t="s">
        <v>3233</v>
      </c>
      <c r="B267" t="s">
        <v>322</v>
      </c>
      <c r="C267" t="s">
        <v>2213</v>
      </c>
      <c r="D267" t="s">
        <v>3234</v>
      </c>
      <c r="E267" s="14">
        <v>45910</v>
      </c>
      <c r="F267" s="14">
        <v>45920</v>
      </c>
      <c r="G267" s="14">
        <v>45950</v>
      </c>
      <c r="H267" s="15">
        <v>49153.46</v>
      </c>
      <c r="I267" s="15">
        <v>6411.32</v>
      </c>
      <c r="J267" s="15">
        <v>42742.14</v>
      </c>
      <c r="K267" t="s">
        <v>3235</v>
      </c>
      <c r="L267" t="s">
        <v>3236</v>
      </c>
      <c r="N267" s="14"/>
      <c r="O267" t="s">
        <v>288</v>
      </c>
      <c r="P267" t="s">
        <v>2231</v>
      </c>
      <c r="Q267" t="s">
        <v>128</v>
      </c>
      <c r="R267" t="s">
        <v>150</v>
      </c>
      <c r="S267" t="s">
        <v>130</v>
      </c>
      <c r="T267" t="s">
        <v>2224</v>
      </c>
      <c r="U267">
        <f t="shared" si="24"/>
        <v>10</v>
      </c>
      <c r="V267" t="b">
        <f t="shared" si="25"/>
        <v>0</v>
      </c>
      <c r="W267" t="b">
        <f t="shared" si="26"/>
        <v>0</v>
      </c>
      <c r="X267" t="b">
        <f t="shared" si="27"/>
        <v>0</v>
      </c>
      <c r="Y267" t="b">
        <f t="shared" si="28"/>
        <v>0</v>
      </c>
      <c r="Z267" t="b">
        <f t="shared" si="29"/>
        <v>0</v>
      </c>
    </row>
    <row r="268" spans="1:26" ht="15" customHeight="1">
      <c r="A268" t="s">
        <v>3237</v>
      </c>
      <c r="B268" t="s">
        <v>887</v>
      </c>
      <c r="C268" t="s">
        <v>2347</v>
      </c>
      <c r="D268" t="s">
        <v>3238</v>
      </c>
      <c r="E268" s="14">
        <v>45954</v>
      </c>
      <c r="F268" s="14">
        <v>45959</v>
      </c>
      <c r="G268" s="14">
        <v>45989</v>
      </c>
      <c r="H268" s="15">
        <v>34471.089999999997</v>
      </c>
      <c r="I268" s="15">
        <v>4496.2299999999996</v>
      </c>
      <c r="J268" s="15">
        <v>29974.86</v>
      </c>
      <c r="K268" t="s">
        <v>3239</v>
      </c>
      <c r="L268" t="s">
        <v>3240</v>
      </c>
      <c r="N268" s="14"/>
      <c r="O268" t="s">
        <v>288</v>
      </c>
      <c r="P268" t="s">
        <v>2231</v>
      </c>
      <c r="Q268" t="s">
        <v>129</v>
      </c>
      <c r="R268" t="s">
        <v>128</v>
      </c>
      <c r="S268" t="s">
        <v>130</v>
      </c>
      <c r="T268" t="s">
        <v>2224</v>
      </c>
      <c r="U268">
        <f t="shared" si="24"/>
        <v>5</v>
      </c>
      <c r="V268" t="b">
        <f t="shared" si="25"/>
        <v>0</v>
      </c>
      <c r="W268" t="b">
        <f t="shared" si="26"/>
        <v>0</v>
      </c>
      <c r="X268" t="b">
        <f t="shared" si="27"/>
        <v>0</v>
      </c>
      <c r="Y268" t="b">
        <f t="shared" si="28"/>
        <v>0</v>
      </c>
      <c r="Z268" t="b">
        <f t="shared" si="29"/>
        <v>0</v>
      </c>
    </row>
    <row r="269" spans="1:26" ht="15" customHeight="1">
      <c r="A269" t="s">
        <v>3241</v>
      </c>
      <c r="B269" t="s">
        <v>322</v>
      </c>
      <c r="C269" t="s">
        <v>2213</v>
      </c>
      <c r="D269" t="s">
        <v>3242</v>
      </c>
      <c r="E269" s="14">
        <v>45893</v>
      </c>
      <c r="F269" s="14">
        <v>45908</v>
      </c>
      <c r="G269" s="14">
        <v>45938</v>
      </c>
      <c r="H269" s="15">
        <v>2610.52</v>
      </c>
      <c r="I269" s="15">
        <v>340.5</v>
      </c>
      <c r="J269" s="15">
        <v>2270.02</v>
      </c>
      <c r="M269" t="s">
        <v>3243</v>
      </c>
      <c r="N269" s="14">
        <v>45922</v>
      </c>
      <c r="O269" t="s">
        <v>2209</v>
      </c>
      <c r="P269" t="s">
        <v>2210</v>
      </c>
      <c r="Q269" t="s">
        <v>140</v>
      </c>
      <c r="R269" t="s">
        <v>150</v>
      </c>
      <c r="S269" t="s">
        <v>130</v>
      </c>
      <c r="T269" t="s">
        <v>2251</v>
      </c>
      <c r="U269">
        <f t="shared" si="24"/>
        <v>15</v>
      </c>
      <c r="V269" t="b">
        <f t="shared" si="25"/>
        <v>0</v>
      </c>
      <c r="W269" t="b">
        <f t="shared" si="26"/>
        <v>0</v>
      </c>
      <c r="X269" t="b">
        <f t="shared" si="27"/>
        <v>0</v>
      </c>
      <c r="Y269" t="b">
        <f t="shared" si="28"/>
        <v>0</v>
      </c>
      <c r="Z269" t="b">
        <f t="shared" si="29"/>
        <v>0</v>
      </c>
    </row>
    <row r="270" spans="1:26" ht="15" customHeight="1">
      <c r="A270" t="s">
        <v>3244</v>
      </c>
      <c r="B270" t="s">
        <v>251</v>
      </c>
      <c r="C270" t="s">
        <v>2218</v>
      </c>
      <c r="D270" t="s">
        <v>3245</v>
      </c>
      <c r="E270" s="14">
        <v>46003</v>
      </c>
      <c r="F270" s="14">
        <v>46003</v>
      </c>
      <c r="G270" s="14">
        <v>46033</v>
      </c>
      <c r="H270" s="15">
        <v>66370.47</v>
      </c>
      <c r="I270" s="15">
        <v>8657.02</v>
      </c>
      <c r="J270" s="15">
        <v>57713.45</v>
      </c>
      <c r="K270" t="s">
        <v>3246</v>
      </c>
      <c r="M270" t="s">
        <v>3247</v>
      </c>
      <c r="N270" s="14">
        <v>46046</v>
      </c>
      <c r="O270" t="s">
        <v>2209</v>
      </c>
      <c r="P270" t="s">
        <v>2257</v>
      </c>
      <c r="Q270" t="s">
        <v>129</v>
      </c>
      <c r="R270" t="s">
        <v>151</v>
      </c>
      <c r="S270" t="s">
        <v>130</v>
      </c>
      <c r="T270" t="s">
        <v>2211</v>
      </c>
      <c r="U270">
        <f t="shared" si="24"/>
        <v>0</v>
      </c>
      <c r="V270" t="b">
        <f t="shared" si="25"/>
        <v>0</v>
      </c>
      <c r="W270" t="b">
        <f t="shared" si="26"/>
        <v>0</v>
      </c>
      <c r="X270" t="b">
        <f t="shared" si="27"/>
        <v>0</v>
      </c>
      <c r="Y270" t="b">
        <f t="shared" si="28"/>
        <v>0</v>
      </c>
      <c r="Z270" t="b">
        <f t="shared" si="29"/>
        <v>0</v>
      </c>
    </row>
    <row r="271" spans="1:26" ht="15" customHeight="1">
      <c r="A271" t="s">
        <v>3248</v>
      </c>
      <c r="B271" t="s">
        <v>349</v>
      </c>
      <c r="C271" t="s">
        <v>2245</v>
      </c>
      <c r="D271" t="s">
        <v>3249</v>
      </c>
      <c r="E271" s="14">
        <v>45783</v>
      </c>
      <c r="F271" s="14">
        <v>45784</v>
      </c>
      <c r="G271" s="14">
        <v>45814</v>
      </c>
      <c r="H271" s="15">
        <v>30591.98</v>
      </c>
      <c r="I271" s="15">
        <v>3990.26</v>
      </c>
      <c r="J271" s="15">
        <v>26601.72</v>
      </c>
      <c r="K271" t="s">
        <v>3250</v>
      </c>
      <c r="L271" t="s">
        <v>3251</v>
      </c>
      <c r="M271" t="s">
        <v>3252</v>
      </c>
      <c r="N271" s="14">
        <v>45799</v>
      </c>
      <c r="O271" t="s">
        <v>2209</v>
      </c>
      <c r="P271" t="s">
        <v>2231</v>
      </c>
      <c r="Q271" t="s">
        <v>129</v>
      </c>
      <c r="R271" t="s">
        <v>175</v>
      </c>
      <c r="S271" t="s">
        <v>130</v>
      </c>
      <c r="T271" t="s">
        <v>2224</v>
      </c>
      <c r="U271">
        <f t="shared" si="24"/>
        <v>1</v>
      </c>
      <c r="V271" t="b">
        <f t="shared" si="25"/>
        <v>0</v>
      </c>
      <c r="W271" t="b">
        <f t="shared" si="26"/>
        <v>0</v>
      </c>
      <c r="X271" t="b">
        <f t="shared" si="27"/>
        <v>0</v>
      </c>
      <c r="Y271" t="b">
        <f t="shared" si="28"/>
        <v>0</v>
      </c>
      <c r="Z271" t="b">
        <f t="shared" si="29"/>
        <v>0</v>
      </c>
    </row>
    <row r="272" spans="1:26" ht="15" customHeight="1">
      <c r="A272" t="s">
        <v>3253</v>
      </c>
      <c r="B272" t="s">
        <v>212</v>
      </c>
      <c r="C272" t="s">
        <v>2226</v>
      </c>
      <c r="D272" t="s">
        <v>3254</v>
      </c>
      <c r="E272" s="14">
        <v>45806</v>
      </c>
      <c r="F272" s="14">
        <v>45807</v>
      </c>
      <c r="G272" s="14">
        <v>45837</v>
      </c>
      <c r="H272" s="15">
        <v>14356.13</v>
      </c>
      <c r="I272" s="15">
        <v>1872.54</v>
      </c>
      <c r="J272" s="15">
        <v>12483.59</v>
      </c>
      <c r="K272" t="s">
        <v>3255</v>
      </c>
      <c r="N272" s="14"/>
      <c r="O272" t="s">
        <v>288</v>
      </c>
      <c r="P272" t="s">
        <v>2210</v>
      </c>
      <c r="Q272" t="s">
        <v>175</v>
      </c>
      <c r="R272" t="s">
        <v>175</v>
      </c>
      <c r="S272" t="s">
        <v>130</v>
      </c>
      <c r="T272" t="s">
        <v>2211</v>
      </c>
      <c r="U272">
        <f t="shared" si="24"/>
        <v>1</v>
      </c>
      <c r="V272" t="b">
        <f t="shared" si="25"/>
        <v>0</v>
      </c>
      <c r="W272" t="b">
        <f t="shared" si="26"/>
        <v>0</v>
      </c>
      <c r="X272" t="b">
        <f t="shared" si="27"/>
        <v>0</v>
      </c>
      <c r="Y272" t="b">
        <f t="shared" si="28"/>
        <v>0</v>
      </c>
      <c r="Z272" t="b">
        <f t="shared" si="29"/>
        <v>0</v>
      </c>
    </row>
    <row r="273" spans="1:26" ht="15" customHeight="1">
      <c r="A273" t="s">
        <v>3256</v>
      </c>
      <c r="B273" t="s">
        <v>349</v>
      </c>
      <c r="C273" t="s">
        <v>2245</v>
      </c>
      <c r="D273" t="s">
        <v>3257</v>
      </c>
      <c r="E273" s="14">
        <v>45982</v>
      </c>
      <c r="F273" s="14">
        <v>45985</v>
      </c>
      <c r="G273" s="14">
        <v>46015</v>
      </c>
      <c r="H273" s="15">
        <v>53117.07</v>
      </c>
      <c r="I273" s="15">
        <v>6928.31</v>
      </c>
      <c r="J273" s="15">
        <v>46188.76</v>
      </c>
      <c r="K273" t="s">
        <v>3258</v>
      </c>
      <c r="L273" t="s">
        <v>3259</v>
      </c>
      <c r="M273" t="s">
        <v>3260</v>
      </c>
      <c r="N273" s="14">
        <v>45995</v>
      </c>
      <c r="O273" t="s">
        <v>2209</v>
      </c>
      <c r="P273" t="s">
        <v>2223</v>
      </c>
      <c r="Q273" t="s">
        <v>150</v>
      </c>
      <c r="R273" t="s">
        <v>129</v>
      </c>
      <c r="S273" t="s">
        <v>130</v>
      </c>
      <c r="T273" t="s">
        <v>2224</v>
      </c>
      <c r="U273">
        <f t="shared" si="24"/>
        <v>3</v>
      </c>
      <c r="V273" t="b">
        <f t="shared" si="25"/>
        <v>0</v>
      </c>
      <c r="W273" t="b">
        <f t="shared" si="26"/>
        <v>0</v>
      </c>
      <c r="X273" t="b">
        <f t="shared" si="27"/>
        <v>0</v>
      </c>
      <c r="Y273" t="b">
        <f t="shared" si="28"/>
        <v>0</v>
      </c>
      <c r="Z273" t="b">
        <f t="shared" si="29"/>
        <v>0</v>
      </c>
    </row>
    <row r="274" spans="1:26" ht="15" customHeight="1">
      <c r="A274" t="s">
        <v>1263</v>
      </c>
      <c r="B274" t="s">
        <v>322</v>
      </c>
      <c r="C274" t="s">
        <v>2213</v>
      </c>
      <c r="D274" t="s">
        <v>3261</v>
      </c>
      <c r="E274" s="14">
        <v>45981</v>
      </c>
      <c r="F274" s="14">
        <v>46011</v>
      </c>
      <c r="G274" s="14">
        <v>46041</v>
      </c>
      <c r="H274" s="15">
        <v>33379.85</v>
      </c>
      <c r="I274" s="15">
        <v>4353.8900000000003</v>
      </c>
      <c r="J274" s="15">
        <v>29025.96</v>
      </c>
      <c r="K274" t="s">
        <v>3262</v>
      </c>
      <c r="N274" s="14"/>
      <c r="O274" t="s">
        <v>288</v>
      </c>
      <c r="P274" t="s">
        <v>2293</v>
      </c>
      <c r="Q274" t="s">
        <v>140</v>
      </c>
      <c r="R274" t="s">
        <v>129</v>
      </c>
      <c r="S274" t="s">
        <v>130</v>
      </c>
      <c r="T274" t="s">
        <v>2211</v>
      </c>
      <c r="U274">
        <f t="shared" si="24"/>
        <v>30</v>
      </c>
      <c r="V274" t="b">
        <f t="shared" si="25"/>
        <v>0</v>
      </c>
      <c r="W274" t="b">
        <f t="shared" si="26"/>
        <v>0</v>
      </c>
      <c r="X274" t="b">
        <f t="shared" si="27"/>
        <v>0</v>
      </c>
      <c r="Y274" t="b">
        <f t="shared" si="28"/>
        <v>1</v>
      </c>
      <c r="Z274" t="b">
        <f t="shared" si="29"/>
        <v>0</v>
      </c>
    </row>
    <row r="275" spans="1:26" ht="15" customHeight="1">
      <c r="A275" t="s">
        <v>3263</v>
      </c>
      <c r="B275" t="s">
        <v>251</v>
      </c>
      <c r="C275" t="s">
        <v>2218</v>
      </c>
      <c r="D275" t="s">
        <v>3264</v>
      </c>
      <c r="E275" s="14">
        <v>45855</v>
      </c>
      <c r="F275" s="14">
        <v>45870</v>
      </c>
      <c r="G275" s="14">
        <v>45900</v>
      </c>
      <c r="H275" s="15">
        <v>20955.52</v>
      </c>
      <c r="I275" s="15">
        <v>2733.33</v>
      </c>
      <c r="J275" s="15">
        <v>18222.189999999999</v>
      </c>
      <c r="K275" t="s">
        <v>3265</v>
      </c>
      <c r="L275" t="s">
        <v>3266</v>
      </c>
      <c r="M275" t="s">
        <v>3267</v>
      </c>
      <c r="N275" s="14">
        <v>45885</v>
      </c>
      <c r="O275" t="s">
        <v>2209</v>
      </c>
      <c r="P275" t="s">
        <v>2223</v>
      </c>
      <c r="Q275" t="s">
        <v>150</v>
      </c>
      <c r="R275" t="s">
        <v>150</v>
      </c>
      <c r="S275" t="s">
        <v>130</v>
      </c>
      <c r="T275" t="s">
        <v>2224</v>
      </c>
      <c r="U275">
        <f t="shared" si="24"/>
        <v>15</v>
      </c>
      <c r="V275" t="b">
        <f t="shared" si="25"/>
        <v>0</v>
      </c>
      <c r="W275" t="b">
        <f t="shared" si="26"/>
        <v>0</v>
      </c>
      <c r="X275" t="b">
        <f t="shared" si="27"/>
        <v>0</v>
      </c>
      <c r="Y275" t="b">
        <f t="shared" si="28"/>
        <v>0</v>
      </c>
      <c r="Z275" t="b">
        <f t="shared" si="29"/>
        <v>0</v>
      </c>
    </row>
    <row r="276" spans="1:26" ht="15" customHeight="1">
      <c r="A276" t="s">
        <v>1271</v>
      </c>
      <c r="B276" t="s">
        <v>349</v>
      </c>
      <c r="C276" t="s">
        <v>2245</v>
      </c>
      <c r="D276" t="s">
        <v>3268</v>
      </c>
      <c r="E276" s="14">
        <v>46007</v>
      </c>
      <c r="F276" s="14">
        <v>46014</v>
      </c>
      <c r="G276" s="14">
        <v>46044</v>
      </c>
      <c r="H276" s="15">
        <v>7831.04</v>
      </c>
      <c r="I276" s="15">
        <v>1021.44</v>
      </c>
      <c r="J276" s="15">
        <v>6809.6</v>
      </c>
      <c r="K276" t="s">
        <v>3269</v>
      </c>
      <c r="N276" s="14"/>
      <c r="O276" t="s">
        <v>288</v>
      </c>
      <c r="P276" t="s">
        <v>2210</v>
      </c>
      <c r="Q276" t="s">
        <v>129</v>
      </c>
      <c r="R276" t="s">
        <v>151</v>
      </c>
      <c r="S276" t="s">
        <v>130</v>
      </c>
      <c r="T276" t="s">
        <v>2211</v>
      </c>
      <c r="U276">
        <f t="shared" si="24"/>
        <v>7</v>
      </c>
      <c r="V276" t="b">
        <f t="shared" si="25"/>
        <v>0</v>
      </c>
      <c r="W276" t="b">
        <f t="shared" si="26"/>
        <v>0</v>
      </c>
      <c r="X276" t="b">
        <f t="shared" si="27"/>
        <v>0</v>
      </c>
      <c r="Y276" t="b">
        <f t="shared" si="28"/>
        <v>0</v>
      </c>
      <c r="Z276" t="b">
        <f t="shared" si="29"/>
        <v>1</v>
      </c>
    </row>
    <row r="277" spans="1:26" ht="15" customHeight="1">
      <c r="A277" t="s">
        <v>3270</v>
      </c>
      <c r="B277" t="s">
        <v>782</v>
      </c>
      <c r="C277" t="s">
        <v>2205</v>
      </c>
      <c r="D277" t="s">
        <v>3271</v>
      </c>
      <c r="E277" s="14">
        <v>46006</v>
      </c>
      <c r="F277" s="14">
        <v>46008</v>
      </c>
      <c r="G277" s="14">
        <v>46038</v>
      </c>
      <c r="H277" s="15">
        <v>36722.19</v>
      </c>
      <c r="I277" s="15">
        <v>4789.8500000000004</v>
      </c>
      <c r="J277" s="15">
        <v>31932.34</v>
      </c>
      <c r="K277" t="s">
        <v>3272</v>
      </c>
      <c r="L277" t="s">
        <v>3273</v>
      </c>
      <c r="M277" t="s">
        <v>3274</v>
      </c>
      <c r="N277" s="14">
        <v>46038</v>
      </c>
      <c r="O277" t="s">
        <v>2209</v>
      </c>
      <c r="P277" t="s">
        <v>2293</v>
      </c>
      <c r="Q277" t="s">
        <v>151</v>
      </c>
      <c r="R277" t="s">
        <v>128</v>
      </c>
      <c r="S277" t="s">
        <v>130</v>
      </c>
      <c r="T277" t="s">
        <v>2224</v>
      </c>
      <c r="U277">
        <f t="shared" si="24"/>
        <v>2</v>
      </c>
      <c r="V277" t="b">
        <f t="shared" si="25"/>
        <v>0</v>
      </c>
      <c r="W277" t="b">
        <f t="shared" si="26"/>
        <v>0</v>
      </c>
      <c r="X277" t="b">
        <f t="shared" si="27"/>
        <v>0</v>
      </c>
      <c r="Y277" t="b">
        <f t="shared" si="28"/>
        <v>0</v>
      </c>
      <c r="Z277" t="b">
        <f t="shared" si="29"/>
        <v>0</v>
      </c>
    </row>
    <row r="278" spans="1:26" ht="15" customHeight="1">
      <c r="A278" t="s">
        <v>3275</v>
      </c>
      <c r="B278" t="s">
        <v>782</v>
      </c>
      <c r="C278" t="s">
        <v>2205</v>
      </c>
      <c r="D278" t="s">
        <v>3276</v>
      </c>
      <c r="E278" s="14">
        <v>45691</v>
      </c>
      <c r="F278" s="14">
        <v>45694</v>
      </c>
      <c r="G278" s="14">
        <v>45724</v>
      </c>
      <c r="H278" s="15">
        <v>33707.629999999997</v>
      </c>
      <c r="I278" s="15">
        <v>4396.6499999999996</v>
      </c>
      <c r="J278" s="15">
        <v>29310.98</v>
      </c>
      <c r="N278" s="14"/>
      <c r="O278" t="s">
        <v>288</v>
      </c>
      <c r="P278" t="s">
        <v>2217</v>
      </c>
      <c r="Q278" t="s">
        <v>151</v>
      </c>
      <c r="R278" t="s">
        <v>150</v>
      </c>
      <c r="S278" t="s">
        <v>130</v>
      </c>
      <c r="T278" t="s">
        <v>2251</v>
      </c>
      <c r="U278">
        <f t="shared" si="24"/>
        <v>3</v>
      </c>
      <c r="V278" t="b">
        <f t="shared" si="25"/>
        <v>0</v>
      </c>
      <c r="W278" t="b">
        <f t="shared" si="26"/>
        <v>0</v>
      </c>
      <c r="X278" t="b">
        <f t="shared" si="27"/>
        <v>0</v>
      </c>
      <c r="Y278" t="b">
        <f t="shared" si="28"/>
        <v>0</v>
      </c>
      <c r="Z278" t="b">
        <f t="shared" si="29"/>
        <v>0</v>
      </c>
    </row>
    <row r="279" spans="1:26" ht="15" customHeight="1">
      <c r="A279" t="s">
        <v>3277</v>
      </c>
      <c r="B279" t="s">
        <v>313</v>
      </c>
      <c r="C279" t="s">
        <v>2253</v>
      </c>
      <c r="D279" t="s">
        <v>3278</v>
      </c>
      <c r="E279" s="14">
        <v>45753</v>
      </c>
      <c r="F279" s="14">
        <v>45760</v>
      </c>
      <c r="G279" s="14">
        <v>45790</v>
      </c>
      <c r="H279" s="15">
        <v>25265.59</v>
      </c>
      <c r="I279" s="15">
        <v>3295.51</v>
      </c>
      <c r="J279" s="15">
        <v>21970.080000000002</v>
      </c>
      <c r="K279" t="s">
        <v>3279</v>
      </c>
      <c r="M279" t="s">
        <v>3280</v>
      </c>
      <c r="N279" s="14">
        <v>45771</v>
      </c>
      <c r="O279" t="s">
        <v>2209</v>
      </c>
      <c r="P279" t="s">
        <v>2217</v>
      </c>
      <c r="Q279" t="s">
        <v>140</v>
      </c>
      <c r="R279" t="s">
        <v>151</v>
      </c>
      <c r="S279" t="s">
        <v>130</v>
      </c>
      <c r="T279" t="s">
        <v>2211</v>
      </c>
      <c r="U279">
        <f t="shared" si="24"/>
        <v>7</v>
      </c>
      <c r="V279" t="b">
        <f t="shared" si="25"/>
        <v>0</v>
      </c>
      <c r="W279" t="b">
        <f t="shared" si="26"/>
        <v>0</v>
      </c>
      <c r="X279" t="b">
        <f t="shared" si="27"/>
        <v>0</v>
      </c>
      <c r="Y279" t="b">
        <f t="shared" si="28"/>
        <v>0</v>
      </c>
      <c r="Z279" t="b">
        <f t="shared" si="29"/>
        <v>0</v>
      </c>
    </row>
    <row r="280" spans="1:26" ht="15" customHeight="1">
      <c r="A280" t="s">
        <v>1287</v>
      </c>
      <c r="B280" t="s">
        <v>212</v>
      </c>
      <c r="C280" t="s">
        <v>2226</v>
      </c>
      <c r="D280" t="s">
        <v>3281</v>
      </c>
      <c r="E280" s="14">
        <v>45768</v>
      </c>
      <c r="F280" s="14">
        <v>45770</v>
      </c>
      <c r="G280" s="14">
        <v>45800</v>
      </c>
      <c r="H280" s="15">
        <v>21768.48</v>
      </c>
      <c r="I280" s="15">
        <v>2839.37</v>
      </c>
      <c r="J280" s="15">
        <v>18929.11</v>
      </c>
      <c r="K280" t="s">
        <v>3282</v>
      </c>
      <c r="L280" t="s">
        <v>3283</v>
      </c>
      <c r="M280" t="s">
        <v>3284</v>
      </c>
      <c r="N280" s="14">
        <v>45789</v>
      </c>
      <c r="O280" t="s">
        <v>2209</v>
      </c>
      <c r="P280" t="s">
        <v>2223</v>
      </c>
      <c r="Q280" t="s">
        <v>140</v>
      </c>
      <c r="R280" t="s">
        <v>129</v>
      </c>
      <c r="S280" t="s">
        <v>130</v>
      </c>
      <c r="T280" t="s">
        <v>2224</v>
      </c>
      <c r="U280">
        <f t="shared" si="24"/>
        <v>2</v>
      </c>
      <c r="V280" t="b">
        <f t="shared" si="25"/>
        <v>0</v>
      </c>
      <c r="W280" t="b">
        <f t="shared" si="26"/>
        <v>0</v>
      </c>
      <c r="X280" t="b">
        <f t="shared" si="27"/>
        <v>0</v>
      </c>
      <c r="Y280" t="b">
        <f t="shared" si="28"/>
        <v>0</v>
      </c>
      <c r="Z280" t="b">
        <f t="shared" si="29"/>
        <v>0</v>
      </c>
    </row>
    <row r="281" spans="1:26" ht="15" customHeight="1">
      <c r="A281" t="s">
        <v>1291</v>
      </c>
      <c r="B281" t="s">
        <v>887</v>
      </c>
      <c r="C281" t="s">
        <v>2347</v>
      </c>
      <c r="D281" t="s">
        <v>3285</v>
      </c>
      <c r="E281" s="14">
        <v>45930</v>
      </c>
      <c r="F281" s="14">
        <v>45945</v>
      </c>
      <c r="G281" s="14">
        <v>45975</v>
      </c>
      <c r="H281" s="15">
        <v>25626.44</v>
      </c>
      <c r="I281" s="15">
        <v>3342.58</v>
      </c>
      <c r="J281" s="15">
        <v>22283.86</v>
      </c>
      <c r="M281" t="s">
        <v>3286</v>
      </c>
      <c r="N281" s="14">
        <v>45973</v>
      </c>
      <c r="O281" t="s">
        <v>2209</v>
      </c>
      <c r="P281" t="s">
        <v>2217</v>
      </c>
      <c r="Q281" t="s">
        <v>150</v>
      </c>
      <c r="R281" t="s">
        <v>129</v>
      </c>
      <c r="S281" t="s">
        <v>130</v>
      </c>
      <c r="T281" t="s">
        <v>2251</v>
      </c>
      <c r="U281">
        <f t="shared" si="24"/>
        <v>15</v>
      </c>
      <c r="V281" t="b">
        <f t="shared" si="25"/>
        <v>0</v>
      </c>
      <c r="W281" t="b">
        <f t="shared" si="26"/>
        <v>0</v>
      </c>
      <c r="X281" t="b">
        <f t="shared" si="27"/>
        <v>0</v>
      </c>
      <c r="Y281" t="b">
        <f t="shared" si="28"/>
        <v>0</v>
      </c>
      <c r="Z281" t="b">
        <f t="shared" si="29"/>
        <v>0</v>
      </c>
    </row>
    <row r="282" spans="1:26" ht="15" customHeight="1">
      <c r="A282" t="s">
        <v>3287</v>
      </c>
      <c r="B282" t="s">
        <v>212</v>
      </c>
      <c r="C282" t="s">
        <v>2226</v>
      </c>
      <c r="D282" t="s">
        <v>3288</v>
      </c>
      <c r="E282" s="14">
        <v>45752</v>
      </c>
      <c r="F282" s="14">
        <v>45767</v>
      </c>
      <c r="G282" s="14">
        <v>45797</v>
      </c>
      <c r="H282" s="15">
        <v>36937.339999999997</v>
      </c>
      <c r="I282" s="15">
        <v>4817.91</v>
      </c>
      <c r="J282" s="15">
        <v>32119.43</v>
      </c>
      <c r="K282" t="s">
        <v>3289</v>
      </c>
      <c r="L282" t="s">
        <v>3290</v>
      </c>
      <c r="M282" t="s">
        <v>3291</v>
      </c>
      <c r="N282" s="14">
        <v>45778</v>
      </c>
      <c r="O282" t="s">
        <v>2209</v>
      </c>
      <c r="P282" t="s">
        <v>2223</v>
      </c>
      <c r="Q282" t="s">
        <v>128</v>
      </c>
      <c r="R282" t="s">
        <v>128</v>
      </c>
      <c r="S282" t="s">
        <v>130</v>
      </c>
      <c r="T282" t="s">
        <v>2224</v>
      </c>
      <c r="U282">
        <f t="shared" si="24"/>
        <v>15</v>
      </c>
      <c r="V282" t="b">
        <f t="shared" si="25"/>
        <v>0</v>
      </c>
      <c r="W282" t="b">
        <f t="shared" si="26"/>
        <v>0</v>
      </c>
      <c r="X282" t="b">
        <f t="shared" si="27"/>
        <v>0</v>
      </c>
      <c r="Y282" t="b">
        <f t="shared" si="28"/>
        <v>0</v>
      </c>
      <c r="Z282" t="b">
        <f t="shared" si="29"/>
        <v>0</v>
      </c>
    </row>
    <row r="283" spans="1:26" ht="15" customHeight="1">
      <c r="A283" t="s">
        <v>3292</v>
      </c>
      <c r="B283" t="s">
        <v>212</v>
      </c>
      <c r="C283" t="s">
        <v>2226</v>
      </c>
      <c r="D283" t="s">
        <v>3293</v>
      </c>
      <c r="E283" s="14">
        <v>45806</v>
      </c>
      <c r="F283" s="14">
        <v>45811</v>
      </c>
      <c r="G283" s="14">
        <v>45841</v>
      </c>
      <c r="H283" s="15">
        <v>43057.32</v>
      </c>
      <c r="I283" s="15">
        <v>5616.17</v>
      </c>
      <c r="J283" s="15">
        <v>37441.15</v>
      </c>
      <c r="N283" s="14"/>
      <c r="O283" t="s">
        <v>288</v>
      </c>
      <c r="P283" t="s">
        <v>2217</v>
      </c>
      <c r="Q283" t="s">
        <v>129</v>
      </c>
      <c r="R283" t="s">
        <v>175</v>
      </c>
      <c r="S283" t="s">
        <v>130</v>
      </c>
      <c r="T283" t="s">
        <v>2251</v>
      </c>
      <c r="U283">
        <f t="shared" si="24"/>
        <v>5</v>
      </c>
      <c r="V283" t="b">
        <f t="shared" si="25"/>
        <v>0</v>
      </c>
      <c r="W283" t="b">
        <f t="shared" si="26"/>
        <v>0</v>
      </c>
      <c r="X283" t="b">
        <f t="shared" si="27"/>
        <v>0</v>
      </c>
      <c r="Y283" t="b">
        <f t="shared" si="28"/>
        <v>0</v>
      </c>
      <c r="Z283" t="b">
        <f t="shared" si="29"/>
        <v>0</v>
      </c>
    </row>
    <row r="284" spans="1:26" ht="15" customHeight="1">
      <c r="A284" t="s">
        <v>3294</v>
      </c>
      <c r="B284" t="s">
        <v>440</v>
      </c>
      <c r="C284" t="s">
        <v>2307</v>
      </c>
      <c r="D284" t="s">
        <v>3295</v>
      </c>
      <c r="E284" s="14">
        <v>45685</v>
      </c>
      <c r="F284" s="14">
        <v>45700</v>
      </c>
      <c r="G284" s="14">
        <v>45730</v>
      </c>
      <c r="H284" s="15">
        <v>11803.04</v>
      </c>
      <c r="I284" s="15">
        <v>1539.53</v>
      </c>
      <c r="J284" s="15">
        <v>10263.51</v>
      </c>
      <c r="K284" t="s">
        <v>3296</v>
      </c>
      <c r="M284" t="s">
        <v>3297</v>
      </c>
      <c r="N284" s="14">
        <v>45707</v>
      </c>
      <c r="O284" t="s">
        <v>2209</v>
      </c>
      <c r="P284" t="s">
        <v>2243</v>
      </c>
      <c r="Q284" t="s">
        <v>175</v>
      </c>
      <c r="R284" t="s">
        <v>128</v>
      </c>
      <c r="S284" t="s">
        <v>130</v>
      </c>
      <c r="T284" t="s">
        <v>2211</v>
      </c>
      <c r="U284">
        <f t="shared" si="24"/>
        <v>15</v>
      </c>
      <c r="V284" t="b">
        <f t="shared" si="25"/>
        <v>0</v>
      </c>
      <c r="W284" t="b">
        <f t="shared" si="26"/>
        <v>0</v>
      </c>
      <c r="X284" t="b">
        <f t="shared" si="27"/>
        <v>0</v>
      </c>
      <c r="Y284" t="b">
        <f t="shared" si="28"/>
        <v>0</v>
      </c>
      <c r="Z284" t="b">
        <f t="shared" si="29"/>
        <v>0</v>
      </c>
    </row>
    <row r="285" spans="1:26" ht="15" customHeight="1">
      <c r="A285" t="s">
        <v>1307</v>
      </c>
      <c r="B285" t="s">
        <v>887</v>
      </c>
      <c r="C285" t="s">
        <v>2347</v>
      </c>
      <c r="D285" t="s">
        <v>3298</v>
      </c>
      <c r="E285" s="14">
        <v>45972</v>
      </c>
      <c r="F285" s="14">
        <v>45987</v>
      </c>
      <c r="G285" s="14">
        <v>46017</v>
      </c>
      <c r="H285" s="15">
        <v>46915.58</v>
      </c>
      <c r="I285" s="15">
        <v>6119.42</v>
      </c>
      <c r="J285" s="15">
        <v>40796.160000000003</v>
      </c>
      <c r="K285" t="s">
        <v>3299</v>
      </c>
      <c r="M285" t="s">
        <v>3300</v>
      </c>
      <c r="N285" s="14">
        <v>45997</v>
      </c>
      <c r="O285" t="s">
        <v>2209</v>
      </c>
      <c r="P285" t="s">
        <v>2217</v>
      </c>
      <c r="Q285" t="s">
        <v>140</v>
      </c>
      <c r="R285" t="s">
        <v>151</v>
      </c>
      <c r="S285" t="s">
        <v>130</v>
      </c>
      <c r="T285" t="s">
        <v>2211</v>
      </c>
      <c r="U285">
        <f t="shared" si="24"/>
        <v>15</v>
      </c>
      <c r="V285" t="b">
        <f t="shared" si="25"/>
        <v>0</v>
      </c>
      <c r="W285" t="b">
        <f t="shared" si="26"/>
        <v>0</v>
      </c>
      <c r="X285" t="b">
        <f t="shared" si="27"/>
        <v>0</v>
      </c>
      <c r="Y285" t="b">
        <f t="shared" si="28"/>
        <v>0</v>
      </c>
      <c r="Z285" t="b">
        <f t="shared" si="29"/>
        <v>0</v>
      </c>
    </row>
    <row r="286" spans="1:26" ht="15" customHeight="1">
      <c r="A286" t="s">
        <v>3301</v>
      </c>
      <c r="B286" t="s">
        <v>251</v>
      </c>
      <c r="C286" t="s">
        <v>2218</v>
      </c>
      <c r="D286" t="s">
        <v>3302</v>
      </c>
      <c r="E286" s="14">
        <v>45877</v>
      </c>
      <c r="F286" s="14">
        <v>45878</v>
      </c>
      <c r="G286" s="14">
        <v>45908</v>
      </c>
      <c r="H286" s="15">
        <v>3931.49</v>
      </c>
      <c r="I286" s="15">
        <v>512.79999999999995</v>
      </c>
      <c r="J286" s="15">
        <v>3418.69</v>
      </c>
      <c r="K286" t="s">
        <v>3303</v>
      </c>
      <c r="L286" t="s">
        <v>3304</v>
      </c>
      <c r="M286" t="s">
        <v>3305</v>
      </c>
      <c r="N286" s="14">
        <v>45885</v>
      </c>
      <c r="O286" t="s">
        <v>2209</v>
      </c>
      <c r="P286" t="s">
        <v>2293</v>
      </c>
      <c r="Q286" t="s">
        <v>151</v>
      </c>
      <c r="R286" t="s">
        <v>128</v>
      </c>
      <c r="S286" t="s">
        <v>130</v>
      </c>
      <c r="T286" t="s">
        <v>2224</v>
      </c>
      <c r="U286">
        <f t="shared" si="24"/>
        <v>1</v>
      </c>
      <c r="V286" t="b">
        <f t="shared" si="25"/>
        <v>0</v>
      </c>
      <c r="W286" t="b">
        <f t="shared" si="26"/>
        <v>0</v>
      </c>
      <c r="X286" t="b">
        <f t="shared" si="27"/>
        <v>0</v>
      </c>
      <c r="Y286" t="b">
        <f t="shared" si="28"/>
        <v>0</v>
      </c>
      <c r="Z286" t="b">
        <f t="shared" si="29"/>
        <v>0</v>
      </c>
    </row>
    <row r="287" spans="1:26" ht="15" customHeight="1">
      <c r="A287" t="s">
        <v>1315</v>
      </c>
      <c r="B287" t="s">
        <v>229</v>
      </c>
      <c r="C287" t="s">
        <v>2263</v>
      </c>
      <c r="D287" t="s">
        <v>3306</v>
      </c>
      <c r="E287" s="14">
        <v>45847</v>
      </c>
      <c r="F287" s="14">
        <v>45848</v>
      </c>
      <c r="G287" s="14">
        <v>45878</v>
      </c>
      <c r="H287" s="15">
        <v>68869.48</v>
      </c>
      <c r="I287" s="15">
        <v>8982.98</v>
      </c>
      <c r="J287" s="15">
        <v>59886.5</v>
      </c>
      <c r="K287" t="s">
        <v>3307</v>
      </c>
      <c r="L287" t="s">
        <v>3308</v>
      </c>
      <c r="M287" t="s">
        <v>3309</v>
      </c>
      <c r="N287" s="14">
        <v>45889</v>
      </c>
      <c r="O287" t="s">
        <v>2209</v>
      </c>
      <c r="P287" t="s">
        <v>2231</v>
      </c>
      <c r="Q287" t="s">
        <v>140</v>
      </c>
      <c r="R287" t="s">
        <v>150</v>
      </c>
      <c r="S287" t="s">
        <v>130</v>
      </c>
      <c r="T287" t="s">
        <v>2224</v>
      </c>
      <c r="U287">
        <f t="shared" si="24"/>
        <v>1</v>
      </c>
      <c r="V287" t="b">
        <f t="shared" si="25"/>
        <v>0</v>
      </c>
      <c r="W287" t="b">
        <f t="shared" si="26"/>
        <v>0</v>
      </c>
      <c r="X287" t="b">
        <f t="shared" si="27"/>
        <v>0</v>
      </c>
      <c r="Y287" t="b">
        <f t="shared" si="28"/>
        <v>0</v>
      </c>
      <c r="Z287" t="b">
        <f t="shared" si="29"/>
        <v>0</v>
      </c>
    </row>
    <row r="288" spans="1:26" ht="15" customHeight="1">
      <c r="A288" t="s">
        <v>3310</v>
      </c>
      <c r="B288" t="s">
        <v>782</v>
      </c>
      <c r="C288" t="s">
        <v>2205</v>
      </c>
      <c r="D288" t="s">
        <v>3311</v>
      </c>
      <c r="E288" s="14">
        <v>45831</v>
      </c>
      <c r="F288" s="14">
        <v>45841</v>
      </c>
      <c r="G288" s="14">
        <v>45871</v>
      </c>
      <c r="H288" s="15">
        <v>40206.58</v>
      </c>
      <c r="I288" s="15">
        <v>5244.34</v>
      </c>
      <c r="J288" s="15">
        <v>34962.239999999998</v>
      </c>
      <c r="K288" t="s">
        <v>3312</v>
      </c>
      <c r="L288" t="s">
        <v>3313</v>
      </c>
      <c r="N288" s="14"/>
      <c r="O288" t="s">
        <v>288</v>
      </c>
      <c r="P288" t="s">
        <v>2293</v>
      </c>
      <c r="Q288" t="s">
        <v>150</v>
      </c>
      <c r="R288" t="s">
        <v>128</v>
      </c>
      <c r="S288" t="s">
        <v>130</v>
      </c>
      <c r="T288" t="s">
        <v>2224</v>
      </c>
      <c r="U288">
        <f t="shared" si="24"/>
        <v>10</v>
      </c>
      <c r="V288" t="b">
        <f t="shared" si="25"/>
        <v>0</v>
      </c>
      <c r="W288" t="b">
        <f t="shared" si="26"/>
        <v>0</v>
      </c>
      <c r="X288" t="b">
        <f t="shared" si="27"/>
        <v>0</v>
      </c>
      <c r="Y288" t="b">
        <f t="shared" si="28"/>
        <v>0</v>
      </c>
      <c r="Z288" t="b">
        <f t="shared" si="29"/>
        <v>0</v>
      </c>
    </row>
    <row r="289" spans="1:26" ht="15" customHeight="1">
      <c r="A289" t="s">
        <v>1323</v>
      </c>
      <c r="B289" t="s">
        <v>782</v>
      </c>
      <c r="C289" t="s">
        <v>2205</v>
      </c>
      <c r="D289" t="s">
        <v>3314</v>
      </c>
      <c r="E289" s="14">
        <v>45936</v>
      </c>
      <c r="F289" s="14">
        <v>45951</v>
      </c>
      <c r="G289" s="14">
        <v>45981</v>
      </c>
      <c r="H289" s="15">
        <v>27414.46</v>
      </c>
      <c r="I289" s="15">
        <v>3575.8</v>
      </c>
      <c r="J289" s="15">
        <v>23838.66</v>
      </c>
      <c r="K289" t="s">
        <v>3315</v>
      </c>
      <c r="L289" t="s">
        <v>3316</v>
      </c>
      <c r="M289" t="s">
        <v>3317</v>
      </c>
      <c r="N289" s="14">
        <v>45991</v>
      </c>
      <c r="O289" t="s">
        <v>2209</v>
      </c>
      <c r="P289" t="s">
        <v>2231</v>
      </c>
      <c r="Q289" t="s">
        <v>128</v>
      </c>
      <c r="R289" t="s">
        <v>129</v>
      </c>
      <c r="S289" t="s">
        <v>130</v>
      </c>
      <c r="T289" t="s">
        <v>2224</v>
      </c>
      <c r="U289">
        <f t="shared" si="24"/>
        <v>15</v>
      </c>
      <c r="V289" t="b">
        <f t="shared" si="25"/>
        <v>0</v>
      </c>
      <c r="W289" t="b">
        <f t="shared" si="26"/>
        <v>0</v>
      </c>
      <c r="X289" t="b">
        <f t="shared" si="27"/>
        <v>0</v>
      </c>
      <c r="Y289" t="b">
        <f t="shared" si="28"/>
        <v>0</v>
      </c>
      <c r="Z289" t="b">
        <f t="shared" si="29"/>
        <v>0</v>
      </c>
    </row>
    <row r="290" spans="1:26" ht="15" customHeight="1">
      <c r="A290" t="s">
        <v>3318</v>
      </c>
      <c r="B290" t="s">
        <v>313</v>
      </c>
      <c r="C290" t="s">
        <v>2253</v>
      </c>
      <c r="D290" t="s">
        <v>3319</v>
      </c>
      <c r="E290" s="14">
        <v>45727</v>
      </c>
      <c r="F290" s="14">
        <v>45737</v>
      </c>
      <c r="G290" s="14">
        <v>45767</v>
      </c>
      <c r="H290" s="15">
        <v>60963.63</v>
      </c>
      <c r="I290" s="15">
        <v>7951.78</v>
      </c>
      <c r="J290" s="15">
        <v>53011.85</v>
      </c>
      <c r="K290" t="s">
        <v>3320</v>
      </c>
      <c r="M290" t="s">
        <v>3321</v>
      </c>
      <c r="N290" s="14">
        <v>45782</v>
      </c>
      <c r="O290" t="s">
        <v>2209</v>
      </c>
      <c r="P290" t="s">
        <v>2231</v>
      </c>
      <c r="Q290" t="s">
        <v>140</v>
      </c>
      <c r="R290" t="s">
        <v>129</v>
      </c>
      <c r="S290" t="s">
        <v>130</v>
      </c>
      <c r="T290" t="s">
        <v>2211</v>
      </c>
      <c r="U290">
        <f t="shared" si="24"/>
        <v>10</v>
      </c>
      <c r="V290" t="b">
        <f t="shared" si="25"/>
        <v>0</v>
      </c>
      <c r="W290" t="b">
        <f t="shared" si="26"/>
        <v>0</v>
      </c>
      <c r="X290" t="b">
        <f t="shared" si="27"/>
        <v>0</v>
      </c>
      <c r="Y290" t="b">
        <f t="shared" si="28"/>
        <v>1</v>
      </c>
      <c r="Z290" t="b">
        <f t="shared" si="29"/>
        <v>0</v>
      </c>
    </row>
    <row r="291" spans="1:26" ht="15" customHeight="1">
      <c r="A291" t="s">
        <v>1331</v>
      </c>
      <c r="B291" t="s">
        <v>251</v>
      </c>
      <c r="C291" t="s">
        <v>2218</v>
      </c>
      <c r="D291" t="s">
        <v>3322</v>
      </c>
      <c r="E291" s="14">
        <v>45818</v>
      </c>
      <c r="F291" s="14">
        <v>45819</v>
      </c>
      <c r="G291" s="14">
        <v>45849</v>
      </c>
      <c r="H291" s="15">
        <v>68819.62</v>
      </c>
      <c r="I291" s="15">
        <v>8976.4699999999993</v>
      </c>
      <c r="J291" s="15">
        <v>59843.15</v>
      </c>
      <c r="K291" t="s">
        <v>3323</v>
      </c>
      <c r="N291" s="14"/>
      <c r="O291" t="s">
        <v>288</v>
      </c>
      <c r="P291" t="s">
        <v>2243</v>
      </c>
      <c r="Q291" t="s">
        <v>151</v>
      </c>
      <c r="R291" t="s">
        <v>151</v>
      </c>
      <c r="S291" t="s">
        <v>130</v>
      </c>
      <c r="T291" t="s">
        <v>2211</v>
      </c>
      <c r="U291">
        <f t="shared" si="24"/>
        <v>1</v>
      </c>
      <c r="V291" t="b">
        <f t="shared" si="25"/>
        <v>0</v>
      </c>
      <c r="W291" t="b">
        <f t="shared" si="26"/>
        <v>0</v>
      </c>
      <c r="X291" t="b">
        <f t="shared" si="27"/>
        <v>0</v>
      </c>
      <c r="Y291" t="b">
        <f t="shared" si="28"/>
        <v>0</v>
      </c>
      <c r="Z291" t="b">
        <f t="shared" si="29"/>
        <v>0</v>
      </c>
    </row>
    <row r="292" spans="1:26" ht="15" customHeight="1">
      <c r="A292" t="s">
        <v>3324</v>
      </c>
      <c r="B292" t="s">
        <v>322</v>
      </c>
      <c r="C292" t="s">
        <v>2213</v>
      </c>
      <c r="D292" t="s">
        <v>3325</v>
      </c>
      <c r="E292" s="14">
        <v>45760</v>
      </c>
      <c r="F292" s="14">
        <v>45763</v>
      </c>
      <c r="G292" s="14">
        <v>45793</v>
      </c>
      <c r="H292" s="15">
        <v>29419.63</v>
      </c>
      <c r="I292" s="15">
        <v>3837.34</v>
      </c>
      <c r="J292" s="15">
        <v>25582.29</v>
      </c>
      <c r="K292" t="s">
        <v>3326</v>
      </c>
      <c r="M292" t="s">
        <v>3327</v>
      </c>
      <c r="N292" s="14">
        <v>45769</v>
      </c>
      <c r="O292" t="s">
        <v>2209</v>
      </c>
      <c r="P292" t="s">
        <v>2243</v>
      </c>
      <c r="Q292" t="s">
        <v>150</v>
      </c>
      <c r="R292" t="s">
        <v>128</v>
      </c>
      <c r="S292" t="s">
        <v>130</v>
      </c>
      <c r="T292" t="s">
        <v>2211</v>
      </c>
      <c r="U292">
        <f t="shared" si="24"/>
        <v>3</v>
      </c>
      <c r="V292" t="b">
        <f t="shared" si="25"/>
        <v>0</v>
      </c>
      <c r="W292" t="b">
        <f t="shared" si="26"/>
        <v>0</v>
      </c>
      <c r="X292" t="b">
        <f t="shared" si="27"/>
        <v>0</v>
      </c>
      <c r="Y292" t="b">
        <f t="shared" si="28"/>
        <v>0</v>
      </c>
      <c r="Z292" t="b">
        <f t="shared" si="29"/>
        <v>0</v>
      </c>
    </row>
    <row r="293" spans="1:26" ht="15" customHeight="1">
      <c r="A293" t="s">
        <v>3328</v>
      </c>
      <c r="B293" t="s">
        <v>251</v>
      </c>
      <c r="C293" t="s">
        <v>2218</v>
      </c>
      <c r="D293" t="s">
        <v>3329</v>
      </c>
      <c r="E293" s="14">
        <v>46020</v>
      </c>
      <c r="F293" s="14">
        <v>46026</v>
      </c>
      <c r="G293" s="14">
        <v>45792</v>
      </c>
      <c r="H293" s="15">
        <v>15491.19</v>
      </c>
      <c r="I293" s="15">
        <v>2020.59</v>
      </c>
      <c r="J293" s="15">
        <v>13470.6</v>
      </c>
      <c r="K293" t="s">
        <v>3330</v>
      </c>
      <c r="M293" t="s">
        <v>3331</v>
      </c>
      <c r="N293" s="14">
        <v>45792</v>
      </c>
      <c r="O293" t="s">
        <v>2209</v>
      </c>
      <c r="P293" t="s">
        <v>2210</v>
      </c>
      <c r="Q293" t="s">
        <v>128</v>
      </c>
      <c r="R293" t="s">
        <v>128</v>
      </c>
      <c r="S293" t="s">
        <v>130</v>
      </c>
      <c r="T293" t="s">
        <v>2211</v>
      </c>
      <c r="U293">
        <f t="shared" si="24"/>
        <v>6</v>
      </c>
      <c r="V293" t="b">
        <f t="shared" si="25"/>
        <v>0</v>
      </c>
      <c r="W293" t="b">
        <f t="shared" si="26"/>
        <v>0</v>
      </c>
      <c r="X293" t="b">
        <f t="shared" si="27"/>
        <v>0</v>
      </c>
      <c r="Y293" t="b">
        <f t="shared" si="28"/>
        <v>0</v>
      </c>
      <c r="Z293" t="b">
        <f t="shared" si="29"/>
        <v>1</v>
      </c>
    </row>
    <row r="294" spans="1:26" ht="15" customHeight="1">
      <c r="A294" t="s">
        <v>3332</v>
      </c>
      <c r="B294" t="s">
        <v>782</v>
      </c>
      <c r="C294" t="s">
        <v>2205</v>
      </c>
      <c r="D294" t="s">
        <v>3333</v>
      </c>
      <c r="E294" s="14">
        <v>46021</v>
      </c>
      <c r="F294" s="14">
        <v>46022</v>
      </c>
      <c r="G294" s="14">
        <v>45955</v>
      </c>
      <c r="H294" s="15">
        <v>18907.53</v>
      </c>
      <c r="I294" s="15">
        <v>2466.1999999999998</v>
      </c>
      <c r="J294" s="15">
        <v>16441.330000000002</v>
      </c>
      <c r="M294" t="s">
        <v>3334</v>
      </c>
      <c r="N294" s="14">
        <v>45938</v>
      </c>
      <c r="O294" t="s">
        <v>2209</v>
      </c>
      <c r="P294" t="s">
        <v>2217</v>
      </c>
      <c r="Q294" t="s">
        <v>140</v>
      </c>
      <c r="R294" t="s">
        <v>150</v>
      </c>
      <c r="S294" t="s">
        <v>130</v>
      </c>
      <c r="T294" t="s">
        <v>2251</v>
      </c>
      <c r="U294">
        <f t="shared" si="24"/>
        <v>1</v>
      </c>
      <c r="V294" t="b">
        <f t="shared" si="25"/>
        <v>0</v>
      </c>
      <c r="W294" t="b">
        <f t="shared" si="26"/>
        <v>0</v>
      </c>
      <c r="X294" t="b">
        <f t="shared" si="27"/>
        <v>0</v>
      </c>
      <c r="Y294" t="b">
        <f t="shared" si="28"/>
        <v>0</v>
      </c>
      <c r="Z294" t="b">
        <f t="shared" si="29"/>
        <v>1</v>
      </c>
    </row>
    <row r="295" spans="1:26" ht="15" customHeight="1">
      <c r="A295" t="s">
        <v>1347</v>
      </c>
      <c r="B295" t="s">
        <v>705</v>
      </c>
      <c r="C295" t="s">
        <v>2237</v>
      </c>
      <c r="D295" t="s">
        <v>3335</v>
      </c>
      <c r="E295" s="14">
        <v>46024</v>
      </c>
      <c r="F295" s="14">
        <v>46027</v>
      </c>
      <c r="G295" s="14">
        <v>45742</v>
      </c>
      <c r="H295" s="15">
        <v>63539.06</v>
      </c>
      <c r="I295" s="15">
        <v>8287.7000000000007</v>
      </c>
      <c r="J295" s="15">
        <v>55251.360000000001</v>
      </c>
      <c r="K295" t="s">
        <v>3336</v>
      </c>
      <c r="N295" s="14"/>
      <c r="O295" t="s">
        <v>288</v>
      </c>
      <c r="P295" t="s">
        <v>2223</v>
      </c>
      <c r="Q295" t="s">
        <v>128</v>
      </c>
      <c r="R295" t="s">
        <v>175</v>
      </c>
      <c r="S295" t="s">
        <v>130</v>
      </c>
      <c r="T295" t="s">
        <v>2211</v>
      </c>
      <c r="U295">
        <f t="shared" si="24"/>
        <v>3</v>
      </c>
      <c r="V295" t="b">
        <f t="shared" si="25"/>
        <v>0</v>
      </c>
      <c r="W295" t="b">
        <f t="shared" si="26"/>
        <v>0</v>
      </c>
      <c r="X295" t="b">
        <f t="shared" si="27"/>
        <v>0</v>
      </c>
      <c r="Y295" t="b">
        <f t="shared" si="28"/>
        <v>1</v>
      </c>
      <c r="Z295" t="b">
        <f t="shared" si="29"/>
        <v>1</v>
      </c>
    </row>
    <row r="296" spans="1:26" ht="15" customHeight="1">
      <c r="A296" t="s">
        <v>3337</v>
      </c>
      <c r="B296" t="s">
        <v>705</v>
      </c>
      <c r="C296" t="s">
        <v>2237</v>
      </c>
      <c r="D296" t="s">
        <v>3338</v>
      </c>
      <c r="E296" s="14">
        <v>45907</v>
      </c>
      <c r="F296" s="14">
        <v>45917</v>
      </c>
      <c r="G296" s="14">
        <v>45947</v>
      </c>
      <c r="H296" s="15">
        <v>33899.26</v>
      </c>
      <c r="I296" s="15">
        <v>4421.6400000000003</v>
      </c>
      <c r="J296" s="15">
        <v>29477.62</v>
      </c>
      <c r="M296" t="s">
        <v>3339</v>
      </c>
      <c r="N296" s="14">
        <v>45926</v>
      </c>
      <c r="O296" t="s">
        <v>2209</v>
      </c>
      <c r="P296" t="s">
        <v>2210</v>
      </c>
      <c r="Q296" t="s">
        <v>150</v>
      </c>
      <c r="R296" t="s">
        <v>175</v>
      </c>
      <c r="S296" t="s">
        <v>130</v>
      </c>
      <c r="T296" t="s">
        <v>2251</v>
      </c>
      <c r="U296">
        <f t="shared" si="24"/>
        <v>10</v>
      </c>
      <c r="V296" t="b">
        <f t="shared" si="25"/>
        <v>0</v>
      </c>
      <c r="W296" t="b">
        <f t="shared" si="26"/>
        <v>0</v>
      </c>
      <c r="X296" t="b">
        <f t="shared" si="27"/>
        <v>0</v>
      </c>
      <c r="Y296" t="b">
        <f t="shared" si="28"/>
        <v>0</v>
      </c>
      <c r="Z296" t="b">
        <f t="shared" si="29"/>
        <v>0</v>
      </c>
    </row>
    <row r="297" spans="1:26" ht="15" customHeight="1">
      <c r="A297" t="s">
        <v>3340</v>
      </c>
      <c r="B297" t="s">
        <v>705</v>
      </c>
      <c r="C297" t="s">
        <v>2237</v>
      </c>
      <c r="D297" t="s">
        <v>3341</v>
      </c>
      <c r="E297" s="14">
        <v>45949</v>
      </c>
      <c r="F297" s="14">
        <v>45954</v>
      </c>
      <c r="G297" s="14">
        <v>45984</v>
      </c>
      <c r="H297" s="15">
        <v>54196.71</v>
      </c>
      <c r="I297" s="15">
        <v>7069.14</v>
      </c>
      <c r="J297" s="15">
        <v>47127.57</v>
      </c>
      <c r="K297" t="s">
        <v>3342</v>
      </c>
      <c r="L297" t="s">
        <v>3343</v>
      </c>
      <c r="N297" s="14"/>
      <c r="O297" t="s">
        <v>288</v>
      </c>
      <c r="P297" t="s">
        <v>2231</v>
      </c>
      <c r="Q297" t="s">
        <v>128</v>
      </c>
      <c r="R297" t="s">
        <v>150</v>
      </c>
      <c r="S297" t="s">
        <v>130</v>
      </c>
      <c r="T297" t="s">
        <v>2224</v>
      </c>
      <c r="U297">
        <f t="shared" si="24"/>
        <v>5</v>
      </c>
      <c r="V297" t="b">
        <f t="shared" si="25"/>
        <v>0</v>
      </c>
      <c r="W297" t="b">
        <f t="shared" si="26"/>
        <v>0</v>
      </c>
      <c r="X297" t="b">
        <f t="shared" si="27"/>
        <v>0</v>
      </c>
      <c r="Y297" t="b">
        <f t="shared" si="28"/>
        <v>0</v>
      </c>
      <c r="Z297" t="b">
        <f t="shared" si="29"/>
        <v>0</v>
      </c>
    </row>
    <row r="298" spans="1:26" ht="15" customHeight="1">
      <c r="A298" t="s">
        <v>3344</v>
      </c>
      <c r="B298" t="s">
        <v>229</v>
      </c>
      <c r="C298" t="s">
        <v>2263</v>
      </c>
      <c r="D298" t="s">
        <v>3345</v>
      </c>
      <c r="E298" s="14">
        <v>45739</v>
      </c>
      <c r="F298" s="14">
        <v>45744</v>
      </c>
      <c r="G298" s="14">
        <v>45774</v>
      </c>
      <c r="H298" s="15">
        <v>21838.49</v>
      </c>
      <c r="I298" s="15">
        <v>2848.5</v>
      </c>
      <c r="J298" s="15">
        <v>18989.990000000002</v>
      </c>
      <c r="K298" t="s">
        <v>3346</v>
      </c>
      <c r="M298" t="s">
        <v>3347</v>
      </c>
      <c r="N298" s="14">
        <v>45778</v>
      </c>
      <c r="O298" t="s">
        <v>2209</v>
      </c>
      <c r="P298" t="s">
        <v>2243</v>
      </c>
      <c r="Q298" t="s">
        <v>140</v>
      </c>
      <c r="R298" t="s">
        <v>175</v>
      </c>
      <c r="S298" t="s">
        <v>130</v>
      </c>
      <c r="T298" t="s">
        <v>2211</v>
      </c>
      <c r="U298">
        <f t="shared" si="24"/>
        <v>5</v>
      </c>
      <c r="V298" t="b">
        <f t="shared" si="25"/>
        <v>0</v>
      </c>
      <c r="W298" t="b">
        <f t="shared" si="26"/>
        <v>0</v>
      </c>
      <c r="X298" t="b">
        <f t="shared" si="27"/>
        <v>0</v>
      </c>
      <c r="Y298" t="b">
        <f t="shared" si="28"/>
        <v>0</v>
      </c>
      <c r="Z298" t="b">
        <f t="shared" si="29"/>
        <v>0</v>
      </c>
    </row>
    <row r="299" spans="1:26" ht="15" customHeight="1">
      <c r="A299" t="s">
        <v>1363</v>
      </c>
      <c r="B299" t="s">
        <v>782</v>
      </c>
      <c r="C299" t="s">
        <v>2205</v>
      </c>
      <c r="D299" t="s">
        <v>3348</v>
      </c>
      <c r="E299" s="14">
        <v>45943</v>
      </c>
      <c r="F299" s="14">
        <v>45953</v>
      </c>
      <c r="G299" s="14">
        <v>45983</v>
      </c>
      <c r="H299" s="15">
        <v>42838.07</v>
      </c>
      <c r="I299" s="15">
        <v>5587.57</v>
      </c>
      <c r="J299" s="15">
        <v>37250.5</v>
      </c>
      <c r="K299" t="s">
        <v>3349</v>
      </c>
      <c r="M299" t="s">
        <v>3350</v>
      </c>
      <c r="N299" s="14">
        <v>45974</v>
      </c>
      <c r="O299" t="s">
        <v>2209</v>
      </c>
      <c r="P299" t="s">
        <v>2257</v>
      </c>
      <c r="Q299" t="s">
        <v>175</v>
      </c>
      <c r="R299" t="s">
        <v>151</v>
      </c>
      <c r="S299" t="s">
        <v>130</v>
      </c>
      <c r="T299" t="s">
        <v>2211</v>
      </c>
      <c r="U299">
        <f t="shared" si="24"/>
        <v>10</v>
      </c>
      <c r="V299" t="b">
        <f t="shared" si="25"/>
        <v>0</v>
      </c>
      <c r="W299" t="b">
        <f t="shared" si="26"/>
        <v>0</v>
      </c>
      <c r="X299" t="b">
        <f t="shared" si="27"/>
        <v>0</v>
      </c>
      <c r="Y299" t="b">
        <f t="shared" si="28"/>
        <v>0</v>
      </c>
      <c r="Z299" t="b">
        <f t="shared" si="29"/>
        <v>0</v>
      </c>
    </row>
    <row r="300" spans="1:26" ht="15" customHeight="1">
      <c r="A300" t="s">
        <v>3351</v>
      </c>
      <c r="B300" t="s">
        <v>887</v>
      </c>
      <c r="C300" t="s">
        <v>2347</v>
      </c>
      <c r="D300" t="s">
        <v>3352</v>
      </c>
      <c r="E300" s="14">
        <v>45707</v>
      </c>
      <c r="F300" s="14">
        <v>45707</v>
      </c>
      <c r="G300" s="14">
        <v>45737</v>
      </c>
      <c r="H300" s="15">
        <v>20752.560000000001</v>
      </c>
      <c r="I300" s="15">
        <v>2706.86</v>
      </c>
      <c r="J300" s="15">
        <v>18045.7</v>
      </c>
      <c r="K300" t="s">
        <v>3353</v>
      </c>
      <c r="M300" t="s">
        <v>3354</v>
      </c>
      <c r="N300" s="14">
        <v>45717</v>
      </c>
      <c r="O300" t="s">
        <v>2209</v>
      </c>
      <c r="P300" t="s">
        <v>2257</v>
      </c>
      <c r="Q300" t="s">
        <v>129</v>
      </c>
      <c r="R300" t="s">
        <v>151</v>
      </c>
      <c r="S300" t="s">
        <v>130</v>
      </c>
      <c r="T300" t="s">
        <v>2211</v>
      </c>
      <c r="U300">
        <f t="shared" si="24"/>
        <v>0</v>
      </c>
      <c r="V300" t="b">
        <f t="shared" si="25"/>
        <v>0</v>
      </c>
      <c r="W300" t="b">
        <f t="shared" si="26"/>
        <v>0</v>
      </c>
      <c r="X300" t="b">
        <f t="shared" si="27"/>
        <v>0</v>
      </c>
      <c r="Y300" t="b">
        <f t="shared" si="28"/>
        <v>0</v>
      </c>
      <c r="Z300" t="b">
        <f t="shared" si="29"/>
        <v>0</v>
      </c>
    </row>
    <row r="301" spans="1:26" ht="15" customHeight="1">
      <c r="A301" t="s">
        <v>1371</v>
      </c>
      <c r="B301" t="s">
        <v>782</v>
      </c>
      <c r="C301" t="s">
        <v>2205</v>
      </c>
      <c r="D301" t="s">
        <v>3355</v>
      </c>
      <c r="E301" s="14">
        <v>45759</v>
      </c>
      <c r="F301" s="14">
        <v>45774</v>
      </c>
      <c r="G301" s="14">
        <v>45804</v>
      </c>
      <c r="H301" s="15">
        <v>17828.759999999998</v>
      </c>
      <c r="I301" s="15">
        <v>2325.4899999999998</v>
      </c>
      <c r="J301" s="15">
        <v>15503.27</v>
      </c>
      <c r="K301" t="s">
        <v>3356</v>
      </c>
      <c r="M301" t="s">
        <v>3357</v>
      </c>
      <c r="N301" s="14">
        <v>45803</v>
      </c>
      <c r="O301" t="s">
        <v>2209</v>
      </c>
      <c r="P301" t="s">
        <v>2217</v>
      </c>
      <c r="Q301" t="s">
        <v>128</v>
      </c>
      <c r="R301" t="s">
        <v>150</v>
      </c>
      <c r="S301" t="s">
        <v>130</v>
      </c>
      <c r="T301" t="s">
        <v>2211</v>
      </c>
      <c r="U301">
        <f t="shared" si="24"/>
        <v>15</v>
      </c>
      <c r="V301" t="b">
        <f t="shared" si="25"/>
        <v>0</v>
      </c>
      <c r="W301" t="b">
        <f t="shared" si="26"/>
        <v>0</v>
      </c>
      <c r="X301" t="b">
        <f t="shared" si="27"/>
        <v>0</v>
      </c>
      <c r="Y301" t="b">
        <f t="shared" si="28"/>
        <v>0</v>
      </c>
      <c r="Z301" t="b">
        <f t="shared" si="29"/>
        <v>0</v>
      </c>
    </row>
    <row r="302" spans="1:26" ht="15" customHeight="1">
      <c r="A302" t="s">
        <v>3358</v>
      </c>
      <c r="B302" t="s">
        <v>705</v>
      </c>
      <c r="C302" t="s">
        <v>2237</v>
      </c>
      <c r="D302" t="s">
        <v>3359</v>
      </c>
      <c r="E302" s="14">
        <v>45884</v>
      </c>
      <c r="F302" s="14">
        <v>45899</v>
      </c>
      <c r="G302" s="14">
        <v>45929</v>
      </c>
      <c r="H302" s="15">
        <v>57418.05</v>
      </c>
      <c r="I302" s="15">
        <v>7489.31</v>
      </c>
      <c r="J302" s="15">
        <v>49928.74</v>
      </c>
      <c r="K302" t="s">
        <v>3360</v>
      </c>
      <c r="L302" t="s">
        <v>3361</v>
      </c>
      <c r="N302" s="14"/>
      <c r="O302" t="s">
        <v>288</v>
      </c>
      <c r="P302" t="s">
        <v>2223</v>
      </c>
      <c r="Q302" t="s">
        <v>151</v>
      </c>
      <c r="R302" t="s">
        <v>175</v>
      </c>
      <c r="S302" t="s">
        <v>130</v>
      </c>
      <c r="T302" t="s">
        <v>2224</v>
      </c>
      <c r="U302">
        <f t="shared" si="24"/>
        <v>15</v>
      </c>
      <c r="V302" t="b">
        <f t="shared" si="25"/>
        <v>0</v>
      </c>
      <c r="W302" t="b">
        <f t="shared" si="26"/>
        <v>0</v>
      </c>
      <c r="X302" t="b">
        <f t="shared" si="27"/>
        <v>0</v>
      </c>
      <c r="Y302" t="b">
        <f t="shared" si="28"/>
        <v>0</v>
      </c>
      <c r="Z302" t="b">
        <f t="shared" si="29"/>
        <v>0</v>
      </c>
    </row>
    <row r="303" spans="1:26" ht="15" customHeight="1">
      <c r="A303" t="s">
        <v>3362</v>
      </c>
      <c r="B303" t="s">
        <v>782</v>
      </c>
      <c r="C303" t="s">
        <v>2205</v>
      </c>
      <c r="D303" t="s">
        <v>3363</v>
      </c>
      <c r="E303" s="14">
        <v>46001</v>
      </c>
      <c r="F303" s="14">
        <v>46008</v>
      </c>
      <c r="G303" s="14">
        <v>46038</v>
      </c>
      <c r="H303" s="15">
        <v>65680.87</v>
      </c>
      <c r="I303" s="15">
        <v>8567.07</v>
      </c>
      <c r="J303" s="15">
        <v>57113.8</v>
      </c>
      <c r="K303" t="s">
        <v>3364</v>
      </c>
      <c r="N303" s="14"/>
      <c r="O303" t="s">
        <v>288</v>
      </c>
      <c r="P303" t="s">
        <v>2210</v>
      </c>
      <c r="Q303" t="s">
        <v>129</v>
      </c>
      <c r="R303" t="s">
        <v>175</v>
      </c>
      <c r="S303" t="s">
        <v>130</v>
      </c>
      <c r="T303" t="s">
        <v>2211</v>
      </c>
      <c r="U303">
        <f t="shared" si="24"/>
        <v>7</v>
      </c>
      <c r="V303" t="b">
        <f t="shared" si="25"/>
        <v>0</v>
      </c>
      <c r="W303" t="b">
        <f t="shared" si="26"/>
        <v>0</v>
      </c>
      <c r="X303" t="b">
        <f t="shared" si="27"/>
        <v>0</v>
      </c>
      <c r="Y303" t="b">
        <f t="shared" si="28"/>
        <v>0</v>
      </c>
      <c r="Z303" t="b">
        <f t="shared" si="29"/>
        <v>0</v>
      </c>
    </row>
    <row r="304" spans="1:26" ht="15" customHeight="1">
      <c r="A304" t="s">
        <v>3365</v>
      </c>
      <c r="B304" t="s">
        <v>212</v>
      </c>
      <c r="C304" t="s">
        <v>2226</v>
      </c>
      <c r="D304" t="s">
        <v>3366</v>
      </c>
      <c r="E304" s="14">
        <v>45905</v>
      </c>
      <c r="F304" s="14">
        <v>45906</v>
      </c>
      <c r="G304" s="14">
        <v>45936</v>
      </c>
      <c r="H304" s="15">
        <v>22207.42</v>
      </c>
      <c r="I304" s="15">
        <v>2896.62</v>
      </c>
      <c r="J304" s="15">
        <v>19310.8</v>
      </c>
      <c r="K304" t="s">
        <v>3367</v>
      </c>
      <c r="L304" t="s">
        <v>3368</v>
      </c>
      <c r="M304" t="s">
        <v>3369</v>
      </c>
      <c r="N304" s="14">
        <v>45918</v>
      </c>
      <c r="O304" t="s">
        <v>2209</v>
      </c>
      <c r="P304" t="s">
        <v>2231</v>
      </c>
      <c r="Q304" t="s">
        <v>151</v>
      </c>
      <c r="R304" t="s">
        <v>175</v>
      </c>
      <c r="S304" t="s">
        <v>130</v>
      </c>
      <c r="T304" t="s">
        <v>2224</v>
      </c>
      <c r="U304">
        <f t="shared" si="24"/>
        <v>1</v>
      </c>
      <c r="V304" t="b">
        <f t="shared" si="25"/>
        <v>0</v>
      </c>
      <c r="W304" t="b">
        <f t="shared" si="26"/>
        <v>0</v>
      </c>
      <c r="X304" t="b">
        <f t="shared" si="27"/>
        <v>0</v>
      </c>
      <c r="Y304" t="b">
        <f t="shared" si="28"/>
        <v>0</v>
      </c>
      <c r="Z304" t="b">
        <f t="shared" si="29"/>
        <v>0</v>
      </c>
    </row>
  </sheetData>
  <mergeCells count="2">
    <mergeCell ref="A1:AA1"/>
    <mergeCell ref="A2:AA2"/>
  </mergeCells>
  <pageMargins left="0.75" right="0.75" top="1" bottom="1" header="0.511811023622047" footer="0.511811023622047"/>
  <pageSetup fitToHeight="0" orientation="landscape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19"/>
  <sheetViews>
    <sheetView showGridLines="0" topLeftCell="G1" zoomScaleNormal="100" workbookViewId="0">
      <pane ySplit="4" topLeftCell="A5" activePane="bottomLeft" state="frozen"/>
      <selection pane="bottomLeft" activeCell="F6" sqref="F6"/>
    </sheetView>
  </sheetViews>
  <sheetFormatPr defaultColWidth="8.5546875" defaultRowHeight="14.4"/>
  <cols>
    <col min="1" max="1" width="10" customWidth="1"/>
    <col min="2" max="2" width="28" customWidth="1"/>
    <col min="3" max="3" width="42" customWidth="1"/>
    <col min="4" max="5" width="22" customWidth="1"/>
    <col min="6" max="6" width="42" customWidth="1"/>
    <col min="7" max="7" width="18" customWidth="1"/>
    <col min="8" max="8" width="35" customWidth="1"/>
    <col min="9" max="10" width="18" customWidth="1"/>
    <col min="11" max="12" width="45" customWidth="1"/>
    <col min="13" max="13" width="16" customWidth="1"/>
  </cols>
  <sheetData>
    <row r="1" spans="1:13" ht="21.75" customHeight="1">
      <c r="A1" s="6" t="s">
        <v>3370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3" ht="15" customHeight="1">
      <c r="A2" s="5" t="s">
        <v>3371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4" spans="1:13" ht="42" customHeight="1">
      <c r="A4" s="9" t="s">
        <v>3372</v>
      </c>
      <c r="B4" s="9" t="s">
        <v>3373</v>
      </c>
      <c r="C4" s="9" t="s">
        <v>3374</v>
      </c>
      <c r="D4" s="9" t="s">
        <v>3375</v>
      </c>
      <c r="E4" s="9" t="s">
        <v>3376</v>
      </c>
      <c r="F4" s="9" t="s">
        <v>3377</v>
      </c>
      <c r="G4" s="9" t="s">
        <v>3378</v>
      </c>
      <c r="H4" s="9" t="s">
        <v>3379</v>
      </c>
      <c r="I4" s="9" t="s">
        <v>3380</v>
      </c>
      <c r="J4" s="9" t="s">
        <v>3381</v>
      </c>
      <c r="K4" s="9" t="s">
        <v>3382</v>
      </c>
      <c r="L4" s="9" t="s">
        <v>3383</v>
      </c>
      <c r="M4" s="9" t="s">
        <v>3384</v>
      </c>
    </row>
    <row r="5" spans="1:13" ht="72" customHeight="1">
      <c r="A5" s="8" t="s">
        <v>3385</v>
      </c>
      <c r="B5" s="8" t="s">
        <v>3386</v>
      </c>
      <c r="C5" s="8" t="s">
        <v>3387</v>
      </c>
      <c r="D5" s="8" t="s">
        <v>3388</v>
      </c>
      <c r="E5" s="8" t="s">
        <v>3389</v>
      </c>
      <c r="F5" s="8" t="s">
        <v>3390</v>
      </c>
      <c r="G5" s="8" t="s">
        <v>3391</v>
      </c>
      <c r="H5" s="8" t="s">
        <v>3392</v>
      </c>
      <c r="I5" s="17">
        <f>COUNTIF('03_AP_Data'!W:W,TRUE())</f>
        <v>2</v>
      </c>
      <c r="J5" s="17">
        <f>SUMIF('03_AP_Data'!W:W,TRUE(),'03_AP_Data'!H:H)</f>
        <v>88129.78</v>
      </c>
      <c r="K5" s="8" t="s">
        <v>3393</v>
      </c>
      <c r="L5" s="8" t="s">
        <v>3394</v>
      </c>
      <c r="M5" s="8" t="s">
        <v>3395</v>
      </c>
    </row>
    <row r="6" spans="1:13" ht="72" customHeight="1">
      <c r="A6" s="8" t="s">
        <v>3396</v>
      </c>
      <c r="B6" s="8" t="s">
        <v>3397</v>
      </c>
      <c r="C6" s="8" t="s">
        <v>3398</v>
      </c>
      <c r="D6" s="8" t="s">
        <v>3388</v>
      </c>
      <c r="E6" s="8" t="s">
        <v>3389</v>
      </c>
      <c r="F6" s="8" t="s">
        <v>3399</v>
      </c>
      <c r="G6" s="8" t="s">
        <v>3400</v>
      </c>
      <c r="H6" s="8" t="s">
        <v>3401</v>
      </c>
      <c r="I6" s="17">
        <f>COUNTIF('03_AP_Data'!W:W,TRUE())</f>
        <v>2</v>
      </c>
      <c r="J6" s="17">
        <f>SUMIF('03_AP_Data'!W:W,TRUE(),'03_AP_Data'!H:H)</f>
        <v>88129.78</v>
      </c>
      <c r="K6" s="8" t="s">
        <v>3402</v>
      </c>
      <c r="L6" s="8" t="s">
        <v>3403</v>
      </c>
      <c r="M6" s="8" t="s">
        <v>3395</v>
      </c>
    </row>
    <row r="7" spans="1:13" ht="72" customHeight="1">
      <c r="A7" s="8" t="s">
        <v>3404</v>
      </c>
      <c r="B7" s="8" t="s">
        <v>3405</v>
      </c>
      <c r="C7" s="8" t="s">
        <v>3406</v>
      </c>
      <c r="D7" s="8" t="s">
        <v>3407</v>
      </c>
      <c r="E7" s="8" t="s">
        <v>3408</v>
      </c>
      <c r="F7" s="8" t="s">
        <v>3409</v>
      </c>
      <c r="G7" s="8" t="s">
        <v>3410</v>
      </c>
      <c r="H7" s="8" t="s">
        <v>3411</v>
      </c>
      <c r="I7" s="17">
        <f>COUNTIF('02_GL_Data'!Y:Y,TRUE())+COUNTIF('03_AP_Data'!V:V,TRUE())</f>
        <v>59</v>
      </c>
      <c r="J7" s="17">
        <f>SUMIF('02_GL_Data'!Y:Y,TRUE(),'02_GL_Data'!L:L)+SUMIF('03_AP_Data'!V:V,TRUE(),'03_AP_Data'!H:H)</f>
        <v>103500</v>
      </c>
      <c r="K7" s="8" t="s">
        <v>3412</v>
      </c>
      <c r="L7" s="8" t="s">
        <v>3413</v>
      </c>
      <c r="M7" s="8" t="s">
        <v>3395</v>
      </c>
    </row>
    <row r="8" spans="1:13" ht="72" customHeight="1">
      <c r="A8" s="8" t="s">
        <v>3414</v>
      </c>
      <c r="B8" s="8" t="s">
        <v>3415</v>
      </c>
      <c r="C8" s="8" t="s">
        <v>3416</v>
      </c>
      <c r="D8" s="8" t="s">
        <v>3417</v>
      </c>
      <c r="E8" s="8" t="s">
        <v>3418</v>
      </c>
      <c r="F8" s="8" t="s">
        <v>3419</v>
      </c>
      <c r="G8" s="8" t="s">
        <v>3420</v>
      </c>
      <c r="H8" s="8" t="s">
        <v>3421</v>
      </c>
      <c r="I8" s="17">
        <f>COUNTIF('02_GL_Data'!V:V,TRUE())</f>
        <v>52</v>
      </c>
      <c r="J8" s="17">
        <f>SUMIF('02_GL_Data'!V:V,TRUE(),'02_GL_Data'!L:L)</f>
        <v>0</v>
      </c>
      <c r="K8" s="8" t="s">
        <v>3422</v>
      </c>
      <c r="L8" s="8" t="s">
        <v>3423</v>
      </c>
      <c r="M8" s="8" t="s">
        <v>3395</v>
      </c>
    </row>
    <row r="9" spans="1:13" ht="72" customHeight="1">
      <c r="A9" s="8" t="s">
        <v>3424</v>
      </c>
      <c r="B9" s="8" t="s">
        <v>3425</v>
      </c>
      <c r="C9" s="8" t="s">
        <v>3426</v>
      </c>
      <c r="D9" s="8" t="s">
        <v>3427</v>
      </c>
      <c r="E9" s="8" t="s">
        <v>3418</v>
      </c>
      <c r="F9" s="8" t="s">
        <v>3428</v>
      </c>
      <c r="G9" s="8" t="s">
        <v>3429</v>
      </c>
      <c r="H9" s="8" t="s">
        <v>3430</v>
      </c>
      <c r="I9" s="17">
        <f>COUNTIF('02_GL_Data'!W:W,TRUE())</f>
        <v>282</v>
      </c>
      <c r="J9" s="17">
        <f>SUMIF('02_GL_Data'!W:W,TRUE(),'02_GL_Data'!L:L)</f>
        <v>0</v>
      </c>
      <c r="K9" s="8" t="s">
        <v>3431</v>
      </c>
      <c r="L9" s="8" t="s">
        <v>3432</v>
      </c>
      <c r="M9" s="8" t="s">
        <v>3395</v>
      </c>
    </row>
    <row r="10" spans="1:13" ht="72" customHeight="1">
      <c r="A10" s="8" t="s">
        <v>3433</v>
      </c>
      <c r="B10" s="8" t="s">
        <v>3434</v>
      </c>
      <c r="C10" s="8" t="s">
        <v>3435</v>
      </c>
      <c r="D10" s="8" t="s">
        <v>3427</v>
      </c>
      <c r="E10" s="8" t="s">
        <v>3418</v>
      </c>
      <c r="F10" s="8" t="s">
        <v>3436</v>
      </c>
      <c r="G10" s="8" t="s">
        <v>3437</v>
      </c>
      <c r="H10" s="8" t="s">
        <v>3438</v>
      </c>
      <c r="I10" s="17">
        <f>COUNTIF('02_GL_Data'!X:X,TRUE())</f>
        <v>444</v>
      </c>
      <c r="J10" s="17">
        <f>SUMIF('02_GL_Data'!X:X,TRUE(),'02_GL_Data'!L:L)</f>
        <v>0</v>
      </c>
      <c r="K10" s="8" t="s">
        <v>3439</v>
      </c>
      <c r="L10" s="8" t="s">
        <v>3440</v>
      </c>
      <c r="M10" s="8" t="s">
        <v>3395</v>
      </c>
    </row>
    <row r="11" spans="1:13" ht="72" customHeight="1">
      <c r="A11" s="8" t="s">
        <v>3441</v>
      </c>
      <c r="B11" s="8" t="s">
        <v>3442</v>
      </c>
      <c r="C11" s="8" t="s">
        <v>3443</v>
      </c>
      <c r="D11" s="8" t="s">
        <v>3407</v>
      </c>
      <c r="E11" s="8" t="s">
        <v>3418</v>
      </c>
      <c r="F11" s="8" t="s">
        <v>3444</v>
      </c>
      <c r="G11" s="8" t="s">
        <v>3445</v>
      </c>
      <c r="H11" s="8" t="s">
        <v>3446</v>
      </c>
      <c r="I11" s="17">
        <f>COUNTIF('02_GL_Data'!Z:Z,TRUE())</f>
        <v>2</v>
      </c>
      <c r="J11" s="17">
        <f>SUMIF('02_GL_Data'!Z:Z,TRUE(),'02_GL_Data'!L:L)</f>
        <v>0</v>
      </c>
      <c r="K11" s="8" t="s">
        <v>3447</v>
      </c>
      <c r="L11" s="8" t="s">
        <v>3448</v>
      </c>
      <c r="M11" s="8" t="s">
        <v>3395</v>
      </c>
    </row>
    <row r="12" spans="1:13" ht="72" customHeight="1">
      <c r="A12" s="8" t="s">
        <v>3449</v>
      </c>
      <c r="B12" s="8" t="s">
        <v>3450</v>
      </c>
      <c r="C12" s="8" t="s">
        <v>3451</v>
      </c>
      <c r="D12" s="8" t="s">
        <v>3452</v>
      </c>
      <c r="E12" s="8" t="s">
        <v>3389</v>
      </c>
      <c r="F12" s="8" t="s">
        <v>3453</v>
      </c>
      <c r="G12" s="8" t="s">
        <v>3454</v>
      </c>
      <c r="H12" s="8" t="s">
        <v>3455</v>
      </c>
      <c r="I12" s="17">
        <f>COUNTIF('03_AP_Data'!X:X,TRUE())+COUNTIF('03_AP_Data'!Y:Y,TRUE())+COUNTIF('03_AP_Data'!T:T,"Missing")</f>
        <v>27</v>
      </c>
      <c r="J12" s="17">
        <f>SUMIF('03_AP_Data'!X:X,TRUE(),'03_AP_Data'!H:H)+SUMIF('03_AP_Data'!Y:Y,TRUE(),'03_AP_Data'!H:H)</f>
        <v>393208.99</v>
      </c>
      <c r="K12" s="8" t="s">
        <v>3456</v>
      </c>
      <c r="L12" s="8" t="s">
        <v>3457</v>
      </c>
      <c r="M12" s="8" t="s">
        <v>3395</v>
      </c>
    </row>
    <row r="13" spans="1:13" ht="72" customHeight="1">
      <c r="A13" s="8" t="s">
        <v>3458</v>
      </c>
      <c r="B13" s="8" t="s">
        <v>3459</v>
      </c>
      <c r="C13" s="8" t="s">
        <v>3460</v>
      </c>
      <c r="D13" s="8" t="s">
        <v>3461</v>
      </c>
      <c r="E13" s="8" t="s">
        <v>3389</v>
      </c>
      <c r="F13" s="8" t="s">
        <v>3462</v>
      </c>
      <c r="G13" s="8" t="s">
        <v>3463</v>
      </c>
      <c r="H13" s="8" t="s">
        <v>3464</v>
      </c>
      <c r="I13" s="17">
        <f>COUNTIF('03_AP_Data'!U:U,"&gt;"&amp;Invoice_Posting_Review_Limit)</f>
        <v>1</v>
      </c>
      <c r="J13" s="17">
        <f>SUMIF('03_AP_Data'!U:U,"&gt;"&amp;Invoice_Posting_Review_Limit,'03_AP_Data'!H:H)</f>
        <v>61400.11</v>
      </c>
      <c r="K13" s="8" t="s">
        <v>3465</v>
      </c>
      <c r="L13" s="8" t="s">
        <v>3466</v>
      </c>
      <c r="M13" s="8" t="s">
        <v>3395</v>
      </c>
    </row>
    <row r="14" spans="1:13" ht="72" customHeight="1">
      <c r="A14" s="8" t="s">
        <v>3467</v>
      </c>
      <c r="B14" s="8" t="s">
        <v>3468</v>
      </c>
      <c r="C14" s="8" t="s">
        <v>3469</v>
      </c>
      <c r="D14" s="8" t="s">
        <v>3470</v>
      </c>
      <c r="E14" s="8" t="s">
        <v>3389</v>
      </c>
      <c r="F14" s="8" t="s">
        <v>3471</v>
      </c>
      <c r="G14" s="8" t="s">
        <v>3472</v>
      </c>
      <c r="H14" s="8" t="s">
        <v>2202</v>
      </c>
      <c r="I14" s="17">
        <f>COUNTIF('03_AP_Data'!Z:Z,TRUE())</f>
        <v>17</v>
      </c>
      <c r="J14" s="17">
        <f>SUMIF('03_AP_Data'!Z:Z,TRUE(),'03_AP_Data'!H:H)</f>
        <v>541309.11999999988</v>
      </c>
      <c r="K14" s="8" t="s">
        <v>3473</v>
      </c>
      <c r="L14" s="8" t="s">
        <v>3474</v>
      </c>
      <c r="M14" s="8" t="s">
        <v>3395</v>
      </c>
    </row>
    <row r="15" spans="1:13" ht="72" customHeight="1">
      <c r="A15" s="8" t="s">
        <v>3475</v>
      </c>
      <c r="B15" s="8" t="s">
        <v>3476</v>
      </c>
      <c r="C15" s="8" t="s">
        <v>3477</v>
      </c>
      <c r="D15" s="8" t="s">
        <v>3478</v>
      </c>
      <c r="E15" s="8" t="s">
        <v>3418</v>
      </c>
      <c r="F15" s="8" t="s">
        <v>3479</v>
      </c>
      <c r="G15" s="8" t="s">
        <v>3480</v>
      </c>
      <c r="H15" s="8" t="s">
        <v>3481</v>
      </c>
      <c r="I15" s="17">
        <f>COUNTIFS('02_GL_Data'!O:O,"MANUAL_JE",'02_GL_Data'!M:M,"*revenue*")</f>
        <v>4</v>
      </c>
      <c r="J15" s="17">
        <f>SUMIFS('02_GL_Data'!L:L,'02_GL_Data'!O:O,"MANUAL_JE",'02_GL_Data'!M:M,"*revenue*")</f>
        <v>0</v>
      </c>
      <c r="K15" s="8" t="s">
        <v>3482</v>
      </c>
      <c r="L15" s="8" t="s">
        <v>3483</v>
      </c>
      <c r="M15" s="8" t="s">
        <v>3395</v>
      </c>
    </row>
    <row r="16" spans="1:13" ht="72" customHeight="1">
      <c r="A16" s="8" t="s">
        <v>3484</v>
      </c>
      <c r="B16" s="8" t="s">
        <v>3485</v>
      </c>
      <c r="C16" s="8" t="s">
        <v>3486</v>
      </c>
      <c r="D16" s="8" t="s">
        <v>3487</v>
      </c>
      <c r="E16" s="8" t="s">
        <v>3418</v>
      </c>
      <c r="F16" s="8" t="s">
        <v>3488</v>
      </c>
      <c r="G16" s="8" t="s">
        <v>3489</v>
      </c>
      <c r="H16" s="8" t="s">
        <v>3490</v>
      </c>
      <c r="I16" s="17">
        <f>COUNTIF('99_Internal_QA'!B:B,"Unbalanced")</f>
        <v>0</v>
      </c>
      <c r="J16" s="17">
        <f>SUM('99_Internal_QA'!C:C)</f>
        <v>1316</v>
      </c>
      <c r="K16" s="8" t="s">
        <v>3491</v>
      </c>
      <c r="L16" s="8" t="s">
        <v>3492</v>
      </c>
      <c r="M16" s="8" t="s">
        <v>3395</v>
      </c>
    </row>
    <row r="17" spans="1:13" ht="72" customHeight="1">
      <c r="A17" s="8" t="s">
        <v>3493</v>
      </c>
      <c r="B17" s="8" t="s">
        <v>3494</v>
      </c>
      <c r="C17" s="8" t="s">
        <v>3495</v>
      </c>
      <c r="D17" s="8" t="s">
        <v>3496</v>
      </c>
      <c r="E17" s="8" t="s">
        <v>3418</v>
      </c>
      <c r="F17" s="8" t="s">
        <v>3497</v>
      </c>
      <c r="G17" s="8" t="s">
        <v>3498</v>
      </c>
      <c r="H17" s="8" t="s">
        <v>3499</v>
      </c>
      <c r="I17" s="17">
        <f>COUNTIF('99_Internal_QA'!B:B,"Creator=Approver")</f>
        <v>0</v>
      </c>
      <c r="J17" s="17">
        <f>SUMIF('99_Internal_QA'!B:B,"Creator=Approver",'99_Internal_QA'!C:C)</f>
        <v>0</v>
      </c>
      <c r="K17" s="8" t="s">
        <v>3500</v>
      </c>
      <c r="L17" s="8" t="s">
        <v>3501</v>
      </c>
      <c r="M17" s="8" t="s">
        <v>3395</v>
      </c>
    </row>
    <row r="18" spans="1:13" ht="72" customHeight="1">
      <c r="A18" s="8" t="s">
        <v>3502</v>
      </c>
      <c r="B18" s="8" t="s">
        <v>3503</v>
      </c>
      <c r="C18" s="8" t="s">
        <v>3504</v>
      </c>
      <c r="D18" s="8" t="s">
        <v>3427</v>
      </c>
      <c r="E18" s="8" t="s">
        <v>3418</v>
      </c>
      <c r="F18" s="8" t="s">
        <v>3505</v>
      </c>
      <c r="G18" s="8" t="s">
        <v>3506</v>
      </c>
      <c r="H18" s="8" t="s">
        <v>3507</v>
      </c>
      <c r="I18" s="17">
        <f>COUNTIFS('02_GL_Data'!O:O,"MANUAL_JE",'02_GL_Data'!Y:Y,TRUE())+COUNTIFS('02_GL_Data'!O:O,"MANUAL_JE",'02_GL_Data'!V:V,TRUE())</f>
        <v>66</v>
      </c>
      <c r="J18" s="17">
        <f>SUMIFS('02_GL_Data'!L:L,'02_GL_Data'!O:O,"MANUAL_JE")</f>
        <v>0</v>
      </c>
      <c r="K18" s="8" t="s">
        <v>3508</v>
      </c>
      <c r="L18" s="8" t="s">
        <v>3509</v>
      </c>
      <c r="M18" s="8" t="s">
        <v>3395</v>
      </c>
    </row>
    <row r="19" spans="1:13" ht="72" customHeight="1">
      <c r="A19" s="8" t="s">
        <v>3510</v>
      </c>
      <c r="B19" s="8" t="s">
        <v>3511</v>
      </c>
      <c r="C19" s="8" t="s">
        <v>3512</v>
      </c>
      <c r="D19" s="8" t="s">
        <v>3513</v>
      </c>
      <c r="E19" s="8" t="s">
        <v>3389</v>
      </c>
      <c r="F19" s="8" t="s">
        <v>3514</v>
      </c>
      <c r="G19" s="8" t="s">
        <v>3515</v>
      </c>
      <c r="H19" s="8" t="s">
        <v>3516</v>
      </c>
      <c r="I19" s="17" t="str">
        <f>"Not performed"</f>
        <v>Not performed</v>
      </c>
      <c r="J19" s="17" t="str">
        <f>"Not available"</f>
        <v>Not available</v>
      </c>
      <c r="K19" s="8" t="s">
        <v>3517</v>
      </c>
      <c r="L19" s="8" t="s">
        <v>3518</v>
      </c>
      <c r="M19" s="8" t="s">
        <v>3519</v>
      </c>
    </row>
  </sheetData>
  <mergeCells count="2">
    <mergeCell ref="A1:M1"/>
    <mergeCell ref="A2:M2"/>
  </mergeCells>
  <pageMargins left="0.75" right="0.75" top="1" bottom="1" header="0.511811023622047" footer="0.511811023622047"/>
  <pageSetup fitToHeight="0" orientation="landscape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W45"/>
  <sheetViews>
    <sheetView showGridLines="0" tabSelected="1" topLeftCell="B1" zoomScale="64" zoomScaleNormal="100" workbookViewId="0">
      <pane ySplit="4" topLeftCell="A33" activePane="bottomLeft" state="frozen"/>
      <selection pane="bottomLeft" activeCell="G45" sqref="G45"/>
    </sheetView>
  </sheetViews>
  <sheetFormatPr defaultColWidth="8.5546875" defaultRowHeight="14.4"/>
  <cols>
    <col min="1" max="1" width="14" customWidth="1"/>
    <col min="2" max="2" width="10" customWidth="1"/>
    <col min="3" max="3" width="16" customWidth="1"/>
    <col min="4" max="4" width="14" customWidth="1"/>
    <col min="5" max="5" width="18" customWidth="1"/>
    <col min="6" max="6" width="14" customWidth="1"/>
    <col min="7" max="7" width="11" customWidth="1"/>
    <col min="8" max="8" width="15" customWidth="1"/>
    <col min="9" max="9" width="12" customWidth="1"/>
    <col min="10" max="10" width="28" customWidth="1"/>
    <col min="11" max="11" width="15" customWidth="1"/>
    <col min="12" max="12" width="30" customWidth="1"/>
    <col min="13" max="13" width="36" customWidth="1"/>
    <col min="14" max="14" width="24" customWidth="1"/>
    <col min="15" max="15" width="25" customWidth="1"/>
    <col min="16" max="16" width="12" customWidth="1"/>
    <col min="17" max="17" width="38" customWidth="1"/>
    <col min="18" max="18" width="42" customWidth="1"/>
    <col min="19" max="19" width="20" customWidth="1"/>
    <col min="20" max="20" width="26" customWidth="1"/>
    <col min="21" max="21" width="22" customWidth="1"/>
    <col min="22" max="22" width="18" customWidth="1"/>
    <col min="23" max="23" width="28" customWidth="1"/>
  </cols>
  <sheetData>
    <row r="1" spans="1:23" ht="21.75" customHeight="1">
      <c r="A1" s="6" t="s">
        <v>3520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</row>
    <row r="2" spans="1:23" ht="15" customHeight="1">
      <c r="A2" s="5" t="s">
        <v>3521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</row>
    <row r="4" spans="1:23" ht="42" customHeight="1">
      <c r="A4" s="9" t="s">
        <v>3522</v>
      </c>
      <c r="B4" s="9" t="s">
        <v>3372</v>
      </c>
      <c r="C4" s="9" t="s">
        <v>3523</v>
      </c>
      <c r="D4" s="9" t="s">
        <v>94</v>
      </c>
      <c r="E4" s="9" t="s">
        <v>95</v>
      </c>
      <c r="F4" s="9" t="s">
        <v>114</v>
      </c>
      <c r="G4" s="9" t="s">
        <v>113</v>
      </c>
      <c r="H4" s="9" t="s">
        <v>3524</v>
      </c>
      <c r="I4" s="9" t="s">
        <v>100</v>
      </c>
      <c r="J4" s="9" t="s">
        <v>101</v>
      </c>
      <c r="K4" s="9" t="s">
        <v>3525</v>
      </c>
      <c r="L4" s="9" t="s">
        <v>3526</v>
      </c>
      <c r="M4" s="9" t="s">
        <v>3527</v>
      </c>
      <c r="N4" s="9" t="s">
        <v>3528</v>
      </c>
      <c r="O4" s="9" t="s">
        <v>3375</v>
      </c>
      <c r="P4" s="9" t="s">
        <v>3529</v>
      </c>
      <c r="Q4" s="9" t="s">
        <v>3530</v>
      </c>
      <c r="R4" s="9" t="s">
        <v>3531</v>
      </c>
      <c r="S4" s="9" t="s">
        <v>3532</v>
      </c>
      <c r="T4" s="9" t="s">
        <v>3533</v>
      </c>
      <c r="U4" s="9" t="s">
        <v>3534</v>
      </c>
      <c r="V4" s="9" t="s">
        <v>3535</v>
      </c>
      <c r="W4" s="9" t="s">
        <v>3536</v>
      </c>
    </row>
    <row r="5" spans="1:23" ht="48" customHeight="1">
      <c r="A5" s="8" t="s">
        <v>3537</v>
      </c>
      <c r="B5" s="8" t="s">
        <v>3449</v>
      </c>
      <c r="C5" s="8" t="s">
        <v>3538</v>
      </c>
      <c r="D5" s="8"/>
      <c r="E5" s="8"/>
      <c r="F5" s="8" t="s">
        <v>2249</v>
      </c>
      <c r="G5" s="8" t="s">
        <v>212</v>
      </c>
      <c r="H5" s="18">
        <v>45964</v>
      </c>
      <c r="I5" s="8"/>
      <c r="J5" s="8"/>
      <c r="K5" s="17">
        <v>43093.15</v>
      </c>
      <c r="L5" s="8" t="s">
        <v>3539</v>
      </c>
      <c r="M5" s="8" t="s">
        <v>3540</v>
      </c>
      <c r="N5" s="8" t="s">
        <v>3541</v>
      </c>
      <c r="O5" s="8" t="s">
        <v>3452</v>
      </c>
      <c r="P5" s="8" t="s">
        <v>3542</v>
      </c>
      <c r="Q5" s="8" t="s">
        <v>3543</v>
      </c>
      <c r="R5" s="8" t="s">
        <v>3544</v>
      </c>
      <c r="S5" s="8" t="s">
        <v>3545</v>
      </c>
      <c r="T5" s="8" t="s">
        <v>3545</v>
      </c>
      <c r="U5" s="17">
        <v>0</v>
      </c>
      <c r="V5" s="8" t="s">
        <v>3546</v>
      </c>
      <c r="W5" s="8"/>
    </row>
    <row r="6" spans="1:23" ht="48" customHeight="1">
      <c r="A6" s="8" t="s">
        <v>3547</v>
      </c>
      <c r="B6" s="8" t="s">
        <v>3385</v>
      </c>
      <c r="C6" s="8" t="s">
        <v>3538</v>
      </c>
      <c r="D6" s="8"/>
      <c r="E6" s="8"/>
      <c r="F6" s="8" t="s">
        <v>2266</v>
      </c>
      <c r="G6" s="8" t="s">
        <v>251</v>
      </c>
      <c r="H6" s="18">
        <v>45982</v>
      </c>
      <c r="I6" s="8"/>
      <c r="J6" s="8"/>
      <c r="K6" s="17">
        <v>59402.32</v>
      </c>
      <c r="L6" s="8" t="s">
        <v>3390</v>
      </c>
      <c r="M6" s="8" t="s">
        <v>3548</v>
      </c>
      <c r="N6" s="8" t="s">
        <v>3549</v>
      </c>
      <c r="O6" s="8" t="s">
        <v>3388</v>
      </c>
      <c r="P6" s="8" t="s">
        <v>3542</v>
      </c>
      <c r="Q6" s="8" t="s">
        <v>3550</v>
      </c>
      <c r="R6" s="8" t="s">
        <v>3551</v>
      </c>
      <c r="S6" s="8" t="s">
        <v>3545</v>
      </c>
      <c r="T6" s="8" t="s">
        <v>3545</v>
      </c>
      <c r="U6" s="17">
        <v>0</v>
      </c>
      <c r="V6" s="8" t="s">
        <v>3546</v>
      </c>
      <c r="W6" s="8"/>
    </row>
    <row r="7" spans="1:23" ht="48" customHeight="1">
      <c r="A7" s="8" t="s">
        <v>3552</v>
      </c>
      <c r="B7" s="8" t="s">
        <v>3449</v>
      </c>
      <c r="C7" s="8" t="s">
        <v>3538</v>
      </c>
      <c r="D7" s="8"/>
      <c r="E7" s="8"/>
      <c r="F7" s="8" t="s">
        <v>2373</v>
      </c>
      <c r="G7" s="8" t="s">
        <v>322</v>
      </c>
      <c r="H7" s="18">
        <v>45735</v>
      </c>
      <c r="I7" s="8"/>
      <c r="J7" s="8"/>
      <c r="K7" s="17">
        <v>53258.95</v>
      </c>
      <c r="L7" s="8" t="s">
        <v>3539</v>
      </c>
      <c r="M7" s="8" t="s">
        <v>3540</v>
      </c>
      <c r="N7" s="8" t="s">
        <v>3541</v>
      </c>
      <c r="O7" s="8" t="s">
        <v>3452</v>
      </c>
      <c r="P7" s="8" t="s">
        <v>3542</v>
      </c>
      <c r="Q7" s="8" t="s">
        <v>3543</v>
      </c>
      <c r="R7" s="8" t="s">
        <v>3544</v>
      </c>
      <c r="S7" s="8" t="s">
        <v>3545</v>
      </c>
      <c r="T7" s="8" t="s">
        <v>3545</v>
      </c>
      <c r="U7" s="17">
        <v>0</v>
      </c>
      <c r="V7" s="8" t="s">
        <v>3546</v>
      </c>
      <c r="W7" s="8"/>
    </row>
    <row r="8" spans="1:23" ht="48" customHeight="1">
      <c r="A8" s="8" t="s">
        <v>3553</v>
      </c>
      <c r="B8" s="8" t="s">
        <v>3449</v>
      </c>
      <c r="C8" s="8" t="s">
        <v>3538</v>
      </c>
      <c r="D8" s="8"/>
      <c r="E8" s="8"/>
      <c r="F8" s="8" t="s">
        <v>340</v>
      </c>
      <c r="G8" s="8" t="s">
        <v>251</v>
      </c>
      <c r="H8" s="18">
        <v>45823</v>
      </c>
      <c r="I8" s="8"/>
      <c r="J8" s="8"/>
      <c r="K8" s="17">
        <v>56210.46</v>
      </c>
      <c r="L8" s="8" t="s">
        <v>3539</v>
      </c>
      <c r="M8" s="8" t="s">
        <v>3540</v>
      </c>
      <c r="N8" s="8" t="s">
        <v>3541</v>
      </c>
      <c r="O8" s="8" t="s">
        <v>3452</v>
      </c>
      <c r="P8" s="8" t="s">
        <v>3542</v>
      </c>
      <c r="Q8" s="8" t="s">
        <v>3543</v>
      </c>
      <c r="R8" s="8" t="s">
        <v>3544</v>
      </c>
      <c r="S8" s="8" t="s">
        <v>3545</v>
      </c>
      <c r="T8" s="8" t="s">
        <v>3545</v>
      </c>
      <c r="U8" s="17">
        <v>0</v>
      </c>
      <c r="V8" s="8" t="s">
        <v>3546</v>
      </c>
      <c r="W8" s="8"/>
    </row>
    <row r="9" spans="1:23" ht="48" customHeight="1">
      <c r="A9" s="8" t="s">
        <v>3554</v>
      </c>
      <c r="B9" s="8" t="s">
        <v>3449</v>
      </c>
      <c r="C9" s="8" t="s">
        <v>3538</v>
      </c>
      <c r="D9" s="8"/>
      <c r="E9" s="8"/>
      <c r="F9" s="8" t="s">
        <v>2416</v>
      </c>
      <c r="G9" s="8" t="s">
        <v>349</v>
      </c>
      <c r="H9" s="18">
        <v>45869</v>
      </c>
      <c r="I9" s="8"/>
      <c r="J9" s="8"/>
      <c r="K9" s="17">
        <v>69149.14</v>
      </c>
      <c r="L9" s="8" t="s">
        <v>3539</v>
      </c>
      <c r="M9" s="8" t="s">
        <v>3540</v>
      </c>
      <c r="N9" s="8" t="s">
        <v>3541</v>
      </c>
      <c r="O9" s="8" t="s">
        <v>3452</v>
      </c>
      <c r="P9" s="8" t="s">
        <v>3542</v>
      </c>
      <c r="Q9" s="8" t="s">
        <v>3543</v>
      </c>
      <c r="R9" s="8" t="s">
        <v>3544</v>
      </c>
      <c r="S9" s="8" t="s">
        <v>3545</v>
      </c>
      <c r="T9" s="8" t="s">
        <v>3545</v>
      </c>
      <c r="U9" s="17">
        <v>0</v>
      </c>
      <c r="V9" s="8" t="s">
        <v>3546</v>
      </c>
      <c r="W9" s="8"/>
    </row>
    <row r="10" spans="1:23" ht="48" customHeight="1">
      <c r="A10" s="8" t="s">
        <v>3555</v>
      </c>
      <c r="B10" s="8" t="s">
        <v>3449</v>
      </c>
      <c r="C10" s="8" t="s">
        <v>3538</v>
      </c>
      <c r="D10" s="8"/>
      <c r="E10" s="8"/>
      <c r="F10" s="8" t="s">
        <v>1599</v>
      </c>
      <c r="G10" s="8" t="s">
        <v>440</v>
      </c>
      <c r="H10" s="18">
        <v>45969</v>
      </c>
      <c r="I10" s="8"/>
      <c r="J10" s="8"/>
      <c r="K10" s="17">
        <v>31912.36</v>
      </c>
      <c r="L10" s="8" t="s">
        <v>3539</v>
      </c>
      <c r="M10" s="8" t="s">
        <v>3540</v>
      </c>
      <c r="N10" s="8" t="s">
        <v>3541</v>
      </c>
      <c r="O10" s="8" t="s">
        <v>3452</v>
      </c>
      <c r="P10" s="8" t="s">
        <v>3542</v>
      </c>
      <c r="Q10" s="8" t="s">
        <v>3543</v>
      </c>
      <c r="R10" s="8" t="s">
        <v>3544</v>
      </c>
      <c r="S10" s="8" t="s">
        <v>3545</v>
      </c>
      <c r="T10" s="8" t="s">
        <v>3545</v>
      </c>
      <c r="U10" s="17">
        <v>0</v>
      </c>
      <c r="V10" s="8" t="s">
        <v>3546</v>
      </c>
      <c r="W10" s="8"/>
    </row>
    <row r="11" spans="1:23" ht="48" customHeight="1">
      <c r="A11" s="8" t="s">
        <v>3556</v>
      </c>
      <c r="B11" s="8" t="s">
        <v>3385</v>
      </c>
      <c r="C11" s="8" t="s">
        <v>3538</v>
      </c>
      <c r="D11" s="8"/>
      <c r="E11" s="8"/>
      <c r="F11" s="8" t="s">
        <v>2434</v>
      </c>
      <c r="G11" s="8" t="s">
        <v>251</v>
      </c>
      <c r="H11" s="18">
        <v>45950</v>
      </c>
      <c r="I11" s="8"/>
      <c r="J11" s="8"/>
      <c r="K11" s="17">
        <v>28727.46</v>
      </c>
      <c r="L11" s="8" t="s">
        <v>3390</v>
      </c>
      <c r="M11" s="8" t="s">
        <v>3548</v>
      </c>
      <c r="N11" s="8" t="s">
        <v>3549</v>
      </c>
      <c r="O11" s="8" t="s">
        <v>3388</v>
      </c>
      <c r="P11" s="8" t="s">
        <v>3542</v>
      </c>
      <c r="Q11" s="8" t="s">
        <v>3550</v>
      </c>
      <c r="R11" s="8" t="s">
        <v>3551</v>
      </c>
      <c r="S11" s="8" t="s">
        <v>3545</v>
      </c>
      <c r="T11" s="8" t="s">
        <v>3545</v>
      </c>
      <c r="U11" s="17">
        <v>0</v>
      </c>
      <c r="V11" s="8" t="s">
        <v>3546</v>
      </c>
      <c r="W11" s="8"/>
    </row>
    <row r="12" spans="1:23" ht="48" customHeight="1">
      <c r="A12" s="8" t="s">
        <v>3557</v>
      </c>
      <c r="B12" s="8" t="s">
        <v>3449</v>
      </c>
      <c r="C12" s="8" t="s">
        <v>3538</v>
      </c>
      <c r="D12" s="8"/>
      <c r="E12" s="8"/>
      <c r="F12" s="8" t="s">
        <v>2491</v>
      </c>
      <c r="G12" s="8" t="s">
        <v>313</v>
      </c>
      <c r="H12" s="18">
        <v>45790</v>
      </c>
      <c r="I12" s="8"/>
      <c r="J12" s="8"/>
      <c r="K12" s="17">
        <v>32896.879999999997</v>
      </c>
      <c r="L12" s="8" t="s">
        <v>3539</v>
      </c>
      <c r="M12" s="8" t="s">
        <v>3540</v>
      </c>
      <c r="N12" s="8" t="s">
        <v>3541</v>
      </c>
      <c r="O12" s="8" t="s">
        <v>3452</v>
      </c>
      <c r="P12" s="8" t="s">
        <v>3542</v>
      </c>
      <c r="Q12" s="8" t="s">
        <v>3543</v>
      </c>
      <c r="R12" s="8" t="s">
        <v>3544</v>
      </c>
      <c r="S12" s="8" t="s">
        <v>3545</v>
      </c>
      <c r="T12" s="8" t="s">
        <v>3545</v>
      </c>
      <c r="U12" s="17">
        <v>0</v>
      </c>
      <c r="V12" s="8" t="s">
        <v>3546</v>
      </c>
      <c r="W12" s="8"/>
    </row>
    <row r="13" spans="1:23" ht="48" customHeight="1">
      <c r="A13" s="8" t="s">
        <v>3558</v>
      </c>
      <c r="B13" s="8" t="s">
        <v>3449</v>
      </c>
      <c r="C13" s="8" t="s">
        <v>3538</v>
      </c>
      <c r="D13" s="8"/>
      <c r="E13" s="8"/>
      <c r="F13" s="8" t="s">
        <v>2509</v>
      </c>
      <c r="G13" s="8" t="s">
        <v>229</v>
      </c>
      <c r="H13" s="18">
        <v>45704</v>
      </c>
      <c r="I13" s="8"/>
      <c r="J13" s="8"/>
      <c r="K13" s="17">
        <v>8546.16</v>
      </c>
      <c r="L13" s="8" t="s">
        <v>3539</v>
      </c>
      <c r="M13" s="8" t="s">
        <v>3540</v>
      </c>
      <c r="N13" s="8" t="s">
        <v>3541</v>
      </c>
      <c r="O13" s="8" t="s">
        <v>3452</v>
      </c>
      <c r="P13" s="8" t="s">
        <v>3542</v>
      </c>
      <c r="Q13" s="8" t="s">
        <v>3543</v>
      </c>
      <c r="R13" s="8" t="s">
        <v>3544</v>
      </c>
      <c r="S13" s="8" t="s">
        <v>3545</v>
      </c>
      <c r="T13" s="8" t="s">
        <v>3545</v>
      </c>
      <c r="U13" s="17">
        <v>0</v>
      </c>
      <c r="V13" s="8" t="s">
        <v>3546</v>
      </c>
      <c r="W13" s="8"/>
    </row>
    <row r="14" spans="1:23" ht="48" customHeight="1">
      <c r="A14" s="8" t="s">
        <v>3559</v>
      </c>
      <c r="B14" s="8" t="s">
        <v>3385</v>
      </c>
      <c r="C14" s="8" t="s">
        <v>3538</v>
      </c>
      <c r="D14" s="8"/>
      <c r="E14" s="8"/>
      <c r="F14" s="8" t="s">
        <v>2599</v>
      </c>
      <c r="G14" s="8" t="s">
        <v>705</v>
      </c>
      <c r="H14" s="18">
        <v>46010</v>
      </c>
      <c r="I14" s="8"/>
      <c r="J14" s="8"/>
      <c r="K14" s="17">
        <v>22248.6</v>
      </c>
      <c r="L14" s="8" t="s">
        <v>3390</v>
      </c>
      <c r="M14" s="8" t="s">
        <v>3548</v>
      </c>
      <c r="N14" s="8" t="s">
        <v>3549</v>
      </c>
      <c r="O14" s="8" t="s">
        <v>3388</v>
      </c>
      <c r="P14" s="8" t="s">
        <v>3542</v>
      </c>
      <c r="Q14" s="8" t="s">
        <v>3550</v>
      </c>
      <c r="R14" s="8" t="s">
        <v>3551</v>
      </c>
      <c r="S14" s="8" t="s">
        <v>3545</v>
      </c>
      <c r="T14" s="8" t="s">
        <v>3545</v>
      </c>
      <c r="U14" s="17">
        <v>0</v>
      </c>
      <c r="V14" s="8" t="s">
        <v>3546</v>
      </c>
      <c r="W14" s="8"/>
    </row>
    <row r="15" spans="1:23" ht="48" customHeight="1">
      <c r="A15" s="8" t="s">
        <v>3560</v>
      </c>
      <c r="B15" s="8" t="s">
        <v>3385</v>
      </c>
      <c r="C15" s="8" t="s">
        <v>3538</v>
      </c>
      <c r="D15" s="8"/>
      <c r="E15" s="8"/>
      <c r="F15" s="8" t="s">
        <v>2603</v>
      </c>
      <c r="G15" s="8" t="s">
        <v>705</v>
      </c>
      <c r="H15" s="18">
        <v>45946</v>
      </c>
      <c r="I15" s="8"/>
      <c r="J15" s="8"/>
      <c r="K15" s="17">
        <v>22248.6</v>
      </c>
      <c r="L15" s="8" t="s">
        <v>3390</v>
      </c>
      <c r="M15" s="8" t="s">
        <v>3548</v>
      </c>
      <c r="N15" s="8" t="s">
        <v>3549</v>
      </c>
      <c r="O15" s="8" t="s">
        <v>3388</v>
      </c>
      <c r="P15" s="8" t="s">
        <v>3542</v>
      </c>
      <c r="Q15" s="8" t="s">
        <v>3550</v>
      </c>
      <c r="R15" s="8" t="s">
        <v>3551</v>
      </c>
      <c r="S15" s="8" t="s">
        <v>3545</v>
      </c>
      <c r="T15" s="8" t="s">
        <v>3545</v>
      </c>
      <c r="U15" s="17">
        <v>0</v>
      </c>
      <c r="V15" s="8" t="s">
        <v>3546</v>
      </c>
      <c r="W15" s="8"/>
    </row>
    <row r="16" spans="1:23" ht="48" customHeight="1">
      <c r="A16" s="8" t="s">
        <v>3561</v>
      </c>
      <c r="B16" s="8" t="s">
        <v>3449</v>
      </c>
      <c r="C16" s="8" t="s">
        <v>3538</v>
      </c>
      <c r="D16" s="8"/>
      <c r="E16" s="8"/>
      <c r="F16" s="8" t="s">
        <v>2603</v>
      </c>
      <c r="G16" s="8" t="s">
        <v>705</v>
      </c>
      <c r="H16" s="18">
        <v>45946</v>
      </c>
      <c r="I16" s="8"/>
      <c r="J16" s="8"/>
      <c r="K16" s="17">
        <v>22248.6</v>
      </c>
      <c r="L16" s="8" t="s">
        <v>3539</v>
      </c>
      <c r="M16" s="8" t="s">
        <v>3540</v>
      </c>
      <c r="N16" s="8" t="s">
        <v>3541</v>
      </c>
      <c r="O16" s="8" t="s">
        <v>3452</v>
      </c>
      <c r="P16" s="8" t="s">
        <v>3542</v>
      </c>
      <c r="Q16" s="8" t="s">
        <v>3543</v>
      </c>
      <c r="R16" s="8" t="s">
        <v>3544</v>
      </c>
      <c r="S16" s="8" t="s">
        <v>3545</v>
      </c>
      <c r="T16" s="8" t="s">
        <v>3545</v>
      </c>
      <c r="U16" s="17">
        <v>0</v>
      </c>
      <c r="V16" s="8" t="s">
        <v>3546</v>
      </c>
      <c r="W16" s="8"/>
    </row>
    <row r="17" spans="1:23" ht="48" customHeight="1">
      <c r="A17" s="8" t="s">
        <v>3562</v>
      </c>
      <c r="B17" s="8" t="s">
        <v>3449</v>
      </c>
      <c r="C17" s="8" t="s">
        <v>3538</v>
      </c>
      <c r="D17" s="8"/>
      <c r="E17" s="8"/>
      <c r="F17" s="8" t="s">
        <v>704</v>
      </c>
      <c r="G17" s="8" t="s">
        <v>705</v>
      </c>
      <c r="H17" s="18">
        <v>45800</v>
      </c>
      <c r="I17" s="8"/>
      <c r="J17" s="8"/>
      <c r="K17" s="17">
        <v>36835.5</v>
      </c>
      <c r="L17" s="8" t="s">
        <v>3539</v>
      </c>
      <c r="M17" s="8" t="s">
        <v>3540</v>
      </c>
      <c r="N17" s="8" t="s">
        <v>3541</v>
      </c>
      <c r="O17" s="8" t="s">
        <v>3452</v>
      </c>
      <c r="P17" s="8" t="s">
        <v>3542</v>
      </c>
      <c r="Q17" s="8" t="s">
        <v>3543</v>
      </c>
      <c r="R17" s="8" t="s">
        <v>3544</v>
      </c>
      <c r="S17" s="8" t="s">
        <v>3545</v>
      </c>
      <c r="T17" s="8" t="s">
        <v>3545</v>
      </c>
      <c r="U17" s="17">
        <v>0</v>
      </c>
      <c r="V17" s="8" t="s">
        <v>3546</v>
      </c>
      <c r="W17" s="8"/>
    </row>
    <row r="18" spans="1:23" ht="48" customHeight="1">
      <c r="A18" s="8" t="s">
        <v>3563</v>
      </c>
      <c r="B18" s="8" t="s">
        <v>3404</v>
      </c>
      <c r="C18" s="8" t="s">
        <v>3538</v>
      </c>
      <c r="D18" s="8"/>
      <c r="E18" s="8"/>
      <c r="F18" s="8" t="s">
        <v>781</v>
      </c>
      <c r="G18" s="8" t="s">
        <v>782</v>
      </c>
      <c r="H18" s="18">
        <v>45935</v>
      </c>
      <c r="I18" s="8"/>
      <c r="J18" s="8"/>
      <c r="K18" s="17">
        <v>103500</v>
      </c>
      <c r="L18" s="8" t="s">
        <v>3564</v>
      </c>
      <c r="M18" s="8" t="s">
        <v>3565</v>
      </c>
      <c r="N18" s="8" t="s">
        <v>3566</v>
      </c>
      <c r="O18" s="8" t="s">
        <v>3388</v>
      </c>
      <c r="P18" s="8" t="s">
        <v>3567</v>
      </c>
      <c r="Q18" s="8" t="s">
        <v>3568</v>
      </c>
      <c r="R18" s="8" t="s">
        <v>3569</v>
      </c>
      <c r="S18" s="8" t="s">
        <v>3545</v>
      </c>
      <c r="T18" s="8" t="s">
        <v>3545</v>
      </c>
      <c r="U18" s="17">
        <v>0</v>
      </c>
      <c r="V18" s="8" t="s">
        <v>3546</v>
      </c>
      <c r="W18" s="8"/>
    </row>
    <row r="19" spans="1:23" ht="48" customHeight="1">
      <c r="A19" s="8" t="s">
        <v>3570</v>
      </c>
      <c r="B19" s="8" t="s">
        <v>3449</v>
      </c>
      <c r="C19" s="8" t="s">
        <v>3538</v>
      </c>
      <c r="D19" s="8"/>
      <c r="E19" s="8"/>
      <c r="F19" s="8" t="s">
        <v>2883</v>
      </c>
      <c r="G19" s="8" t="s">
        <v>251</v>
      </c>
      <c r="H19" s="18">
        <v>46013</v>
      </c>
      <c r="I19" s="8"/>
      <c r="J19" s="8"/>
      <c r="K19" s="17">
        <v>65880.36</v>
      </c>
      <c r="L19" s="8" t="s">
        <v>3539</v>
      </c>
      <c r="M19" s="8" t="s">
        <v>3571</v>
      </c>
      <c r="N19" s="8" t="s">
        <v>3541</v>
      </c>
      <c r="O19" s="8" t="s">
        <v>3452</v>
      </c>
      <c r="P19" s="8" t="s">
        <v>3542</v>
      </c>
      <c r="Q19" s="8" t="s">
        <v>3543</v>
      </c>
      <c r="R19" s="8" t="s">
        <v>3544</v>
      </c>
      <c r="S19" s="8" t="s">
        <v>3545</v>
      </c>
      <c r="T19" s="8" t="s">
        <v>3545</v>
      </c>
      <c r="U19" s="17">
        <v>0</v>
      </c>
      <c r="V19" s="8" t="s">
        <v>3546</v>
      </c>
      <c r="W19" s="8"/>
    </row>
    <row r="20" spans="1:23" ht="48" customHeight="1">
      <c r="A20" s="8" t="s">
        <v>3572</v>
      </c>
      <c r="B20" s="8" t="s">
        <v>3449</v>
      </c>
      <c r="C20" s="8" t="s">
        <v>3538</v>
      </c>
      <c r="D20" s="8"/>
      <c r="E20" s="8"/>
      <c r="F20" s="8" t="s">
        <v>899</v>
      </c>
      <c r="G20" s="8" t="s">
        <v>212</v>
      </c>
      <c r="H20" s="18">
        <v>45848</v>
      </c>
      <c r="I20" s="8"/>
      <c r="J20" s="8"/>
      <c r="K20" s="17">
        <v>1231.01</v>
      </c>
      <c r="L20" s="8" t="s">
        <v>3539</v>
      </c>
      <c r="M20" s="8" t="s">
        <v>3573</v>
      </c>
      <c r="N20" s="8" t="s">
        <v>3541</v>
      </c>
      <c r="O20" s="8" t="s">
        <v>3452</v>
      </c>
      <c r="P20" s="8" t="s">
        <v>3542</v>
      </c>
      <c r="Q20" s="8" t="s">
        <v>3543</v>
      </c>
      <c r="R20" s="8" t="s">
        <v>3544</v>
      </c>
      <c r="S20" s="8" t="s">
        <v>3545</v>
      </c>
      <c r="T20" s="8" t="s">
        <v>3545</v>
      </c>
      <c r="U20" s="17">
        <v>0</v>
      </c>
      <c r="V20" s="8" t="s">
        <v>3546</v>
      </c>
      <c r="W20" s="8"/>
    </row>
    <row r="21" spans="1:23" ht="48" customHeight="1">
      <c r="A21" s="8" t="s">
        <v>3574</v>
      </c>
      <c r="B21" s="8" t="s">
        <v>3449</v>
      </c>
      <c r="C21" s="8" t="s">
        <v>3538</v>
      </c>
      <c r="D21" s="8"/>
      <c r="E21" s="8"/>
      <c r="F21" s="8" t="s">
        <v>2948</v>
      </c>
      <c r="G21" s="8" t="s">
        <v>313</v>
      </c>
      <c r="H21" s="18">
        <v>45913</v>
      </c>
      <c r="I21" s="8"/>
      <c r="J21" s="8"/>
      <c r="K21" s="17">
        <v>48281.61</v>
      </c>
      <c r="L21" s="8" t="s">
        <v>3539</v>
      </c>
      <c r="M21" s="8" t="s">
        <v>3571</v>
      </c>
      <c r="N21" s="8" t="s">
        <v>3541</v>
      </c>
      <c r="O21" s="8" t="s">
        <v>3452</v>
      </c>
      <c r="P21" s="8" t="s">
        <v>3542</v>
      </c>
      <c r="Q21" s="8" t="s">
        <v>3543</v>
      </c>
      <c r="R21" s="8" t="s">
        <v>3544</v>
      </c>
      <c r="S21" s="8" t="s">
        <v>3545</v>
      </c>
      <c r="T21" s="8" t="s">
        <v>3545</v>
      </c>
      <c r="U21" s="17">
        <v>0</v>
      </c>
      <c r="V21" s="8" t="s">
        <v>3546</v>
      </c>
      <c r="W21" s="8"/>
    </row>
    <row r="22" spans="1:23" ht="48" customHeight="1">
      <c r="A22" s="8" t="s">
        <v>3575</v>
      </c>
      <c r="B22" s="8" t="s">
        <v>3449</v>
      </c>
      <c r="C22" s="8" t="s">
        <v>3538</v>
      </c>
      <c r="D22" s="8"/>
      <c r="E22" s="8"/>
      <c r="F22" s="8" t="s">
        <v>2985</v>
      </c>
      <c r="G22" s="8" t="s">
        <v>251</v>
      </c>
      <c r="H22" s="18">
        <v>45799</v>
      </c>
      <c r="I22" s="8"/>
      <c r="J22" s="8"/>
      <c r="K22" s="17">
        <v>55283.43</v>
      </c>
      <c r="L22" s="8" t="s">
        <v>3539</v>
      </c>
      <c r="M22" s="8" t="s">
        <v>3576</v>
      </c>
      <c r="N22" s="8" t="s">
        <v>3541</v>
      </c>
      <c r="O22" s="8" t="s">
        <v>3452</v>
      </c>
      <c r="P22" s="8" t="s">
        <v>3542</v>
      </c>
      <c r="Q22" s="8" t="s">
        <v>3543</v>
      </c>
      <c r="R22" s="8" t="s">
        <v>3544</v>
      </c>
      <c r="S22" s="8" t="s">
        <v>3545</v>
      </c>
      <c r="T22" s="8" t="s">
        <v>3545</v>
      </c>
      <c r="U22" s="17">
        <v>0</v>
      </c>
      <c r="V22" s="8" t="s">
        <v>3546</v>
      </c>
      <c r="W22" s="8"/>
    </row>
    <row r="23" spans="1:23" ht="48" customHeight="1">
      <c r="A23" s="8" t="s">
        <v>3577</v>
      </c>
      <c r="B23" s="8" t="s">
        <v>3449</v>
      </c>
      <c r="C23" s="8" t="s">
        <v>3538</v>
      </c>
      <c r="D23" s="8"/>
      <c r="E23" s="8"/>
      <c r="F23" s="8" t="s">
        <v>3009</v>
      </c>
      <c r="G23" s="8" t="s">
        <v>313</v>
      </c>
      <c r="H23" s="18">
        <v>45746</v>
      </c>
      <c r="I23" s="8"/>
      <c r="J23" s="8"/>
      <c r="K23" s="17">
        <v>5192.6400000000003</v>
      </c>
      <c r="L23" s="8" t="s">
        <v>3539</v>
      </c>
      <c r="M23" s="8" t="s">
        <v>3540</v>
      </c>
      <c r="N23" s="8" t="s">
        <v>3541</v>
      </c>
      <c r="O23" s="8" t="s">
        <v>3452</v>
      </c>
      <c r="P23" s="8" t="s">
        <v>3542</v>
      </c>
      <c r="Q23" s="8" t="s">
        <v>3543</v>
      </c>
      <c r="R23" s="8" t="s">
        <v>3544</v>
      </c>
      <c r="S23" s="8" t="s">
        <v>3545</v>
      </c>
      <c r="T23" s="8" t="s">
        <v>3545</v>
      </c>
      <c r="U23" s="17">
        <v>0</v>
      </c>
      <c r="V23" s="8" t="s">
        <v>3546</v>
      </c>
      <c r="W23" s="8"/>
    </row>
    <row r="24" spans="1:23" ht="48" customHeight="1">
      <c r="A24" s="8" t="s">
        <v>3578</v>
      </c>
      <c r="B24" s="8" t="s">
        <v>3449</v>
      </c>
      <c r="C24" s="8" t="s">
        <v>3538</v>
      </c>
      <c r="D24" s="8"/>
      <c r="E24" s="8"/>
      <c r="F24" s="8" t="s">
        <v>1015</v>
      </c>
      <c r="G24" s="8" t="s">
        <v>229</v>
      </c>
      <c r="H24" s="18">
        <v>45782</v>
      </c>
      <c r="I24" s="8"/>
      <c r="J24" s="8"/>
      <c r="K24" s="17">
        <v>12725.52</v>
      </c>
      <c r="L24" s="8" t="s">
        <v>3539</v>
      </c>
      <c r="M24" s="8" t="s">
        <v>3540</v>
      </c>
      <c r="N24" s="8" t="s">
        <v>3541</v>
      </c>
      <c r="O24" s="8" t="s">
        <v>3452</v>
      </c>
      <c r="P24" s="8" t="s">
        <v>3542</v>
      </c>
      <c r="Q24" s="8" t="s">
        <v>3543</v>
      </c>
      <c r="R24" s="8" t="s">
        <v>3544</v>
      </c>
      <c r="S24" s="8" t="s">
        <v>3545</v>
      </c>
      <c r="T24" s="8" t="s">
        <v>3545</v>
      </c>
      <c r="U24" s="17">
        <v>0</v>
      </c>
      <c r="V24" s="8" t="s">
        <v>3546</v>
      </c>
      <c r="W24" s="8"/>
    </row>
    <row r="25" spans="1:23" ht="48" customHeight="1">
      <c r="A25" s="8" t="s">
        <v>3579</v>
      </c>
      <c r="B25" s="8" t="s">
        <v>3458</v>
      </c>
      <c r="C25" s="8" t="s">
        <v>3538</v>
      </c>
      <c r="D25" s="8"/>
      <c r="E25" s="8"/>
      <c r="F25" s="8" t="s">
        <v>3065</v>
      </c>
      <c r="G25" s="8" t="s">
        <v>349</v>
      </c>
      <c r="H25" s="18">
        <v>45776</v>
      </c>
      <c r="I25" s="8"/>
      <c r="J25" s="8"/>
      <c r="K25" s="17">
        <v>61400.11</v>
      </c>
      <c r="L25" s="8" t="s">
        <v>3580</v>
      </c>
      <c r="M25" s="8" t="s">
        <v>3581</v>
      </c>
      <c r="N25" s="8" t="s">
        <v>3582</v>
      </c>
      <c r="O25" s="8" t="s">
        <v>3461</v>
      </c>
      <c r="P25" s="8" t="s">
        <v>3542</v>
      </c>
      <c r="Q25" s="8" t="s">
        <v>3583</v>
      </c>
      <c r="R25" s="8" t="s">
        <v>3584</v>
      </c>
      <c r="S25" s="8" t="s">
        <v>3545</v>
      </c>
      <c r="T25" s="8" t="s">
        <v>3545</v>
      </c>
      <c r="U25" s="17">
        <v>0</v>
      </c>
      <c r="V25" s="8" t="s">
        <v>3546</v>
      </c>
      <c r="W25" s="8"/>
    </row>
    <row r="26" spans="1:23" ht="48" customHeight="1">
      <c r="A26" s="8" t="s">
        <v>3585</v>
      </c>
      <c r="B26" s="8" t="s">
        <v>3449</v>
      </c>
      <c r="C26" s="8" t="s">
        <v>3538</v>
      </c>
      <c r="D26" s="8"/>
      <c r="E26" s="8"/>
      <c r="F26" s="8" t="s">
        <v>3186</v>
      </c>
      <c r="G26" s="8" t="s">
        <v>349</v>
      </c>
      <c r="H26" s="18">
        <v>45671</v>
      </c>
      <c r="I26" s="8"/>
      <c r="J26" s="8"/>
      <c r="K26" s="17">
        <v>9366.61</v>
      </c>
      <c r="L26" s="8" t="s">
        <v>3539</v>
      </c>
      <c r="M26" s="8" t="s">
        <v>3571</v>
      </c>
      <c r="N26" s="8" t="s">
        <v>3541</v>
      </c>
      <c r="O26" s="8" t="s">
        <v>3452</v>
      </c>
      <c r="P26" s="8" t="s">
        <v>3542</v>
      </c>
      <c r="Q26" s="8" t="s">
        <v>3543</v>
      </c>
      <c r="R26" s="8" t="s">
        <v>3544</v>
      </c>
      <c r="S26" s="8" t="s">
        <v>3545</v>
      </c>
      <c r="T26" s="8" t="s">
        <v>3545</v>
      </c>
      <c r="U26" s="17">
        <v>0</v>
      </c>
      <c r="V26" s="8" t="s">
        <v>3546</v>
      </c>
      <c r="W26" s="8"/>
    </row>
    <row r="27" spans="1:23" ht="48" customHeight="1">
      <c r="A27" s="8" t="s">
        <v>3586</v>
      </c>
      <c r="B27" s="8" t="s">
        <v>3449</v>
      </c>
      <c r="C27" s="8" t="s">
        <v>3538</v>
      </c>
      <c r="D27" s="8"/>
      <c r="E27" s="8"/>
      <c r="F27" s="8" t="s">
        <v>3241</v>
      </c>
      <c r="G27" s="8" t="s">
        <v>322</v>
      </c>
      <c r="H27" s="18">
        <v>45908</v>
      </c>
      <c r="I27" s="8"/>
      <c r="J27" s="8"/>
      <c r="K27" s="17">
        <v>2610.52</v>
      </c>
      <c r="L27" s="8" t="s">
        <v>3539</v>
      </c>
      <c r="M27" s="8" t="s">
        <v>3540</v>
      </c>
      <c r="N27" s="8" t="s">
        <v>3541</v>
      </c>
      <c r="O27" s="8" t="s">
        <v>3452</v>
      </c>
      <c r="P27" s="8" t="s">
        <v>3542</v>
      </c>
      <c r="Q27" s="8" t="s">
        <v>3543</v>
      </c>
      <c r="R27" s="8" t="s">
        <v>3544</v>
      </c>
      <c r="S27" s="8" t="s">
        <v>3545</v>
      </c>
      <c r="T27" s="8" t="s">
        <v>3545</v>
      </c>
      <c r="U27" s="17">
        <v>0</v>
      </c>
      <c r="V27" s="8" t="s">
        <v>3546</v>
      </c>
      <c r="W27" s="8"/>
    </row>
    <row r="28" spans="1:23" ht="48" customHeight="1">
      <c r="A28" s="8" t="s">
        <v>3587</v>
      </c>
      <c r="B28" s="8" t="s">
        <v>3449</v>
      </c>
      <c r="C28" s="8" t="s">
        <v>3538</v>
      </c>
      <c r="D28" s="8"/>
      <c r="E28" s="8"/>
      <c r="F28" s="8" t="s">
        <v>1263</v>
      </c>
      <c r="G28" s="8" t="s">
        <v>322</v>
      </c>
      <c r="H28" s="18">
        <v>46011</v>
      </c>
      <c r="I28" s="8"/>
      <c r="J28" s="8"/>
      <c r="K28" s="17">
        <v>33379.85</v>
      </c>
      <c r="L28" s="8" t="s">
        <v>3539</v>
      </c>
      <c r="M28" s="8" t="s">
        <v>3571</v>
      </c>
      <c r="N28" s="8" t="s">
        <v>3541</v>
      </c>
      <c r="O28" s="8" t="s">
        <v>3452</v>
      </c>
      <c r="P28" s="8" t="s">
        <v>3542</v>
      </c>
      <c r="Q28" s="8" t="s">
        <v>3543</v>
      </c>
      <c r="R28" s="8" t="s">
        <v>3544</v>
      </c>
      <c r="S28" s="8" t="s">
        <v>3545</v>
      </c>
      <c r="T28" s="8" t="s">
        <v>3545</v>
      </c>
      <c r="U28" s="17">
        <v>0</v>
      </c>
      <c r="V28" s="8" t="s">
        <v>3546</v>
      </c>
      <c r="W28" s="8"/>
    </row>
    <row r="29" spans="1:23" ht="48" customHeight="1">
      <c r="A29" s="8" t="s">
        <v>3588</v>
      </c>
      <c r="B29" s="8" t="s">
        <v>3449</v>
      </c>
      <c r="C29" s="8" t="s">
        <v>3538</v>
      </c>
      <c r="D29" s="8"/>
      <c r="E29" s="8"/>
      <c r="F29" s="8" t="s">
        <v>3275</v>
      </c>
      <c r="G29" s="8" t="s">
        <v>782</v>
      </c>
      <c r="H29" s="18">
        <v>45694</v>
      </c>
      <c r="I29" s="8"/>
      <c r="J29" s="8"/>
      <c r="K29" s="17">
        <v>33707.629999999997</v>
      </c>
      <c r="L29" s="8" t="s">
        <v>3539</v>
      </c>
      <c r="M29" s="8" t="s">
        <v>3540</v>
      </c>
      <c r="N29" s="8" t="s">
        <v>3541</v>
      </c>
      <c r="O29" s="8" t="s">
        <v>3452</v>
      </c>
      <c r="P29" s="8" t="s">
        <v>3542</v>
      </c>
      <c r="Q29" s="8" t="s">
        <v>3543</v>
      </c>
      <c r="R29" s="8" t="s">
        <v>3544</v>
      </c>
      <c r="S29" s="8" t="s">
        <v>3545</v>
      </c>
      <c r="T29" s="8" t="s">
        <v>3545</v>
      </c>
      <c r="U29" s="17">
        <v>0</v>
      </c>
      <c r="V29" s="8" t="s">
        <v>3546</v>
      </c>
      <c r="W29" s="8"/>
    </row>
    <row r="30" spans="1:23" ht="48" customHeight="1">
      <c r="A30" s="8" t="s">
        <v>3589</v>
      </c>
      <c r="B30" s="8" t="s">
        <v>3449</v>
      </c>
      <c r="C30" s="8" t="s">
        <v>3538</v>
      </c>
      <c r="D30" s="8"/>
      <c r="E30" s="8"/>
      <c r="F30" s="8" t="s">
        <v>1291</v>
      </c>
      <c r="G30" s="8" t="s">
        <v>887</v>
      </c>
      <c r="H30" s="18">
        <v>45945</v>
      </c>
      <c r="I30" s="8"/>
      <c r="J30" s="8"/>
      <c r="K30" s="17">
        <v>25626.44</v>
      </c>
      <c r="L30" s="8" t="s">
        <v>3539</v>
      </c>
      <c r="M30" s="8" t="s">
        <v>3540</v>
      </c>
      <c r="N30" s="8" t="s">
        <v>3541</v>
      </c>
      <c r="O30" s="8" t="s">
        <v>3452</v>
      </c>
      <c r="P30" s="8" t="s">
        <v>3542</v>
      </c>
      <c r="Q30" s="8" t="s">
        <v>3543</v>
      </c>
      <c r="R30" s="8" t="s">
        <v>3544</v>
      </c>
      <c r="S30" s="8" t="s">
        <v>3545</v>
      </c>
      <c r="T30" s="8" t="s">
        <v>3545</v>
      </c>
      <c r="U30" s="17">
        <v>0</v>
      </c>
      <c r="V30" s="8" t="s">
        <v>3546</v>
      </c>
      <c r="W30" s="8"/>
    </row>
    <row r="31" spans="1:23" ht="48" customHeight="1">
      <c r="A31" s="8" t="s">
        <v>3590</v>
      </c>
      <c r="B31" s="8" t="s">
        <v>3449</v>
      </c>
      <c r="C31" s="8" t="s">
        <v>3538</v>
      </c>
      <c r="D31" s="8"/>
      <c r="E31" s="8"/>
      <c r="F31" s="8" t="s">
        <v>3292</v>
      </c>
      <c r="G31" s="8" t="s">
        <v>212</v>
      </c>
      <c r="H31" s="18">
        <v>45811</v>
      </c>
      <c r="I31" s="8"/>
      <c r="J31" s="8"/>
      <c r="K31" s="17">
        <v>43057.32</v>
      </c>
      <c r="L31" s="8" t="s">
        <v>3539</v>
      </c>
      <c r="M31" s="8" t="s">
        <v>3540</v>
      </c>
      <c r="N31" s="8" t="s">
        <v>3541</v>
      </c>
      <c r="O31" s="8" t="s">
        <v>3452</v>
      </c>
      <c r="P31" s="8" t="s">
        <v>3542</v>
      </c>
      <c r="Q31" s="8" t="s">
        <v>3543</v>
      </c>
      <c r="R31" s="8" t="s">
        <v>3544</v>
      </c>
      <c r="S31" s="8" t="s">
        <v>3545</v>
      </c>
      <c r="T31" s="8" t="s">
        <v>3545</v>
      </c>
      <c r="U31" s="17">
        <v>0</v>
      </c>
      <c r="V31" s="8" t="s">
        <v>3546</v>
      </c>
      <c r="W31" s="8"/>
    </row>
    <row r="32" spans="1:23" ht="48" customHeight="1">
      <c r="A32" s="8" t="s">
        <v>3591</v>
      </c>
      <c r="B32" s="8" t="s">
        <v>3449</v>
      </c>
      <c r="C32" s="8" t="s">
        <v>3538</v>
      </c>
      <c r="D32" s="8"/>
      <c r="E32" s="8"/>
      <c r="F32" s="8" t="s">
        <v>3318</v>
      </c>
      <c r="G32" s="8" t="s">
        <v>313</v>
      </c>
      <c r="H32" s="18">
        <v>45737</v>
      </c>
      <c r="I32" s="8"/>
      <c r="J32" s="8"/>
      <c r="K32" s="17">
        <v>60963.63</v>
      </c>
      <c r="L32" s="8" t="s">
        <v>3539</v>
      </c>
      <c r="M32" s="8" t="s">
        <v>3571</v>
      </c>
      <c r="N32" s="8" t="s">
        <v>3541</v>
      </c>
      <c r="O32" s="8" t="s">
        <v>3452</v>
      </c>
      <c r="P32" s="8" t="s">
        <v>3542</v>
      </c>
      <c r="Q32" s="8" t="s">
        <v>3543</v>
      </c>
      <c r="R32" s="8" t="s">
        <v>3544</v>
      </c>
      <c r="S32" s="8" t="s">
        <v>3545</v>
      </c>
      <c r="T32" s="8" t="s">
        <v>3545</v>
      </c>
      <c r="U32" s="17">
        <v>0</v>
      </c>
      <c r="V32" s="8" t="s">
        <v>3546</v>
      </c>
      <c r="W32" s="8"/>
    </row>
    <row r="33" spans="1:23" ht="48" customHeight="1">
      <c r="A33" s="8" t="s">
        <v>3592</v>
      </c>
      <c r="B33" s="8" t="s">
        <v>3467</v>
      </c>
      <c r="C33" s="8" t="s">
        <v>3538</v>
      </c>
      <c r="D33" s="8"/>
      <c r="E33" s="8"/>
      <c r="F33" s="8" t="s">
        <v>3328</v>
      </c>
      <c r="G33" s="8" t="s">
        <v>251</v>
      </c>
      <c r="H33" s="18">
        <v>46026</v>
      </c>
      <c r="I33" s="8"/>
      <c r="J33" s="8"/>
      <c r="K33" s="17">
        <v>15491.19</v>
      </c>
      <c r="L33" s="8" t="s">
        <v>3593</v>
      </c>
      <c r="M33" s="8" t="s">
        <v>3594</v>
      </c>
      <c r="N33" s="8" t="s">
        <v>3595</v>
      </c>
      <c r="O33" s="8" t="s">
        <v>3470</v>
      </c>
      <c r="P33" s="8" t="s">
        <v>3567</v>
      </c>
      <c r="Q33" s="8" t="s">
        <v>3596</v>
      </c>
      <c r="R33" s="8" t="s">
        <v>3597</v>
      </c>
      <c r="S33" s="8" t="s">
        <v>3545</v>
      </c>
      <c r="T33" s="8" t="s">
        <v>3545</v>
      </c>
      <c r="U33" s="17">
        <v>0</v>
      </c>
      <c r="V33" s="8" t="s">
        <v>3546</v>
      </c>
      <c r="W33" s="8"/>
    </row>
    <row r="34" spans="1:23" ht="48" customHeight="1">
      <c r="A34" s="8" t="s">
        <v>3598</v>
      </c>
      <c r="B34" s="8" t="s">
        <v>3449</v>
      </c>
      <c r="C34" s="8" t="s">
        <v>3538</v>
      </c>
      <c r="D34" s="8"/>
      <c r="E34" s="8"/>
      <c r="F34" s="8" t="s">
        <v>3332</v>
      </c>
      <c r="G34" s="8" t="s">
        <v>782</v>
      </c>
      <c r="H34" s="18">
        <v>46022</v>
      </c>
      <c r="I34" s="8"/>
      <c r="J34" s="8"/>
      <c r="K34" s="17">
        <v>18907.53</v>
      </c>
      <c r="L34" s="8" t="s">
        <v>3539</v>
      </c>
      <c r="M34" s="8" t="s">
        <v>3540</v>
      </c>
      <c r="N34" s="8" t="s">
        <v>3541</v>
      </c>
      <c r="O34" s="8" t="s">
        <v>3452</v>
      </c>
      <c r="P34" s="8" t="s">
        <v>3542</v>
      </c>
      <c r="Q34" s="8" t="s">
        <v>3543</v>
      </c>
      <c r="R34" s="8" t="s">
        <v>3544</v>
      </c>
      <c r="S34" s="8" t="s">
        <v>3545</v>
      </c>
      <c r="T34" s="8" t="s">
        <v>3545</v>
      </c>
      <c r="U34" s="17">
        <v>0</v>
      </c>
      <c r="V34" s="8" t="s">
        <v>3546</v>
      </c>
      <c r="W34" s="8"/>
    </row>
    <row r="35" spans="1:23" ht="48" customHeight="1">
      <c r="A35" s="8" t="s">
        <v>3599</v>
      </c>
      <c r="B35" s="8" t="s">
        <v>3467</v>
      </c>
      <c r="C35" s="8" t="s">
        <v>3538</v>
      </c>
      <c r="D35" s="8"/>
      <c r="E35" s="8"/>
      <c r="F35" s="8" t="s">
        <v>3332</v>
      </c>
      <c r="G35" s="8" t="s">
        <v>782</v>
      </c>
      <c r="H35" s="18">
        <v>46022</v>
      </c>
      <c r="I35" s="8"/>
      <c r="J35" s="8"/>
      <c r="K35" s="17">
        <v>18907.53</v>
      </c>
      <c r="L35" s="8" t="s">
        <v>3593</v>
      </c>
      <c r="M35" s="8" t="s">
        <v>3594</v>
      </c>
      <c r="N35" s="8" t="s">
        <v>3595</v>
      </c>
      <c r="O35" s="8" t="s">
        <v>3470</v>
      </c>
      <c r="P35" s="8" t="s">
        <v>3542</v>
      </c>
      <c r="Q35" s="8" t="s">
        <v>3596</v>
      </c>
      <c r="R35" s="8" t="s">
        <v>3597</v>
      </c>
      <c r="S35" s="8" t="s">
        <v>3545</v>
      </c>
      <c r="T35" s="8" t="s">
        <v>3545</v>
      </c>
      <c r="U35" s="17">
        <v>0</v>
      </c>
      <c r="V35" s="8" t="s">
        <v>3546</v>
      </c>
      <c r="W35" s="8"/>
    </row>
    <row r="36" spans="1:23" ht="48" customHeight="1">
      <c r="A36" s="8" t="s">
        <v>3600</v>
      </c>
      <c r="B36" s="8" t="s">
        <v>3449</v>
      </c>
      <c r="C36" s="8" t="s">
        <v>3538</v>
      </c>
      <c r="D36" s="8"/>
      <c r="E36" s="8"/>
      <c r="F36" s="8" t="s">
        <v>1347</v>
      </c>
      <c r="G36" s="8" t="s">
        <v>705</v>
      </c>
      <c r="H36" s="18">
        <v>46027</v>
      </c>
      <c r="I36" s="8"/>
      <c r="J36" s="8"/>
      <c r="K36" s="17">
        <v>63539.06</v>
      </c>
      <c r="L36" s="8" t="s">
        <v>3539</v>
      </c>
      <c r="M36" s="8" t="s">
        <v>3571</v>
      </c>
      <c r="N36" s="8" t="s">
        <v>3541</v>
      </c>
      <c r="O36" s="8" t="s">
        <v>3452</v>
      </c>
      <c r="P36" s="8" t="s">
        <v>3542</v>
      </c>
      <c r="Q36" s="8" t="s">
        <v>3543</v>
      </c>
      <c r="R36" s="8" t="s">
        <v>3544</v>
      </c>
      <c r="S36" s="8" t="s">
        <v>3545</v>
      </c>
      <c r="T36" s="8" t="s">
        <v>3545</v>
      </c>
      <c r="U36" s="17">
        <v>0</v>
      </c>
      <c r="V36" s="8" t="s">
        <v>3546</v>
      </c>
      <c r="W36" s="8"/>
    </row>
    <row r="37" spans="1:23" ht="48" customHeight="1">
      <c r="A37" s="8" t="s">
        <v>3601</v>
      </c>
      <c r="B37" s="8" t="s">
        <v>3467</v>
      </c>
      <c r="C37" s="8" t="s">
        <v>3538</v>
      </c>
      <c r="D37" s="8"/>
      <c r="E37" s="8"/>
      <c r="F37" s="8" t="s">
        <v>1347</v>
      </c>
      <c r="G37" s="8" t="s">
        <v>705</v>
      </c>
      <c r="H37" s="18">
        <v>46027</v>
      </c>
      <c r="I37" s="8"/>
      <c r="J37" s="8"/>
      <c r="K37" s="17">
        <v>63539.06</v>
      </c>
      <c r="L37" s="8" t="s">
        <v>3593</v>
      </c>
      <c r="M37" s="8" t="s">
        <v>3594</v>
      </c>
      <c r="N37" s="8" t="s">
        <v>3595</v>
      </c>
      <c r="O37" s="8" t="s">
        <v>3470</v>
      </c>
      <c r="P37" s="8" t="s">
        <v>3567</v>
      </c>
      <c r="Q37" s="8" t="s">
        <v>3596</v>
      </c>
      <c r="R37" s="8" t="s">
        <v>3597</v>
      </c>
      <c r="S37" s="8" t="s">
        <v>3545</v>
      </c>
      <c r="T37" s="8" t="s">
        <v>3545</v>
      </c>
      <c r="U37" s="17">
        <v>0</v>
      </c>
      <c r="V37" s="8" t="s">
        <v>3546</v>
      </c>
      <c r="W37" s="8"/>
    </row>
    <row r="38" spans="1:23" ht="48" customHeight="1">
      <c r="A38" s="8" t="s">
        <v>3602</v>
      </c>
      <c r="B38" s="8" t="s">
        <v>3449</v>
      </c>
      <c r="C38" s="8" t="s">
        <v>3538</v>
      </c>
      <c r="D38" s="8"/>
      <c r="E38" s="8"/>
      <c r="F38" s="8" t="s">
        <v>3337</v>
      </c>
      <c r="G38" s="8" t="s">
        <v>705</v>
      </c>
      <c r="H38" s="18">
        <v>45917</v>
      </c>
      <c r="I38" s="8"/>
      <c r="J38" s="8"/>
      <c r="K38" s="17">
        <v>33899.26</v>
      </c>
      <c r="L38" s="8" t="s">
        <v>3539</v>
      </c>
      <c r="M38" s="8" t="s">
        <v>3540</v>
      </c>
      <c r="N38" s="8" t="s">
        <v>3541</v>
      </c>
      <c r="O38" s="8" t="s">
        <v>3452</v>
      </c>
      <c r="P38" s="8" t="s">
        <v>3542</v>
      </c>
      <c r="Q38" s="8" t="s">
        <v>3543</v>
      </c>
      <c r="R38" s="8" t="s">
        <v>3544</v>
      </c>
      <c r="S38" s="8" t="s">
        <v>3545</v>
      </c>
      <c r="T38" s="8" t="s">
        <v>3545</v>
      </c>
      <c r="U38" s="17">
        <v>0</v>
      </c>
      <c r="V38" s="8" t="s">
        <v>3546</v>
      </c>
      <c r="W38" s="8"/>
    </row>
    <row r="39" spans="1:23" ht="48" customHeight="1">
      <c r="A39" s="8" t="s">
        <v>3603</v>
      </c>
      <c r="B39" s="8" t="s">
        <v>3424</v>
      </c>
      <c r="C39" s="8" t="s">
        <v>3604</v>
      </c>
      <c r="D39" s="8" t="s">
        <v>214</v>
      </c>
      <c r="E39" s="8" t="s">
        <v>215</v>
      </c>
      <c r="F39" s="8"/>
      <c r="G39" s="8"/>
      <c r="H39" s="18">
        <v>45737</v>
      </c>
      <c r="I39" s="8" t="s">
        <v>179</v>
      </c>
      <c r="J39" s="8" t="s">
        <v>180</v>
      </c>
      <c r="K39" s="17">
        <v>74307.73</v>
      </c>
      <c r="L39" s="8" t="s">
        <v>3605</v>
      </c>
      <c r="M39" s="8" t="s">
        <v>3606</v>
      </c>
      <c r="N39" s="8" t="s">
        <v>3607</v>
      </c>
      <c r="O39" s="8" t="s">
        <v>3427</v>
      </c>
      <c r="P39" s="8" t="s">
        <v>3542</v>
      </c>
      <c r="Q39" s="8" t="s">
        <v>3608</v>
      </c>
      <c r="R39" s="8" t="s">
        <v>3609</v>
      </c>
      <c r="S39" s="8" t="s">
        <v>3545</v>
      </c>
      <c r="T39" s="8" t="s">
        <v>3545</v>
      </c>
      <c r="U39" s="17">
        <v>0</v>
      </c>
      <c r="V39" s="8" t="s">
        <v>3546</v>
      </c>
      <c r="W39" s="8"/>
    </row>
    <row r="40" spans="1:23" ht="48" customHeight="1">
      <c r="A40" s="8" t="s">
        <v>3610</v>
      </c>
      <c r="B40" s="8" t="s">
        <v>3433</v>
      </c>
      <c r="C40" s="8" t="s">
        <v>3604</v>
      </c>
      <c r="D40" s="8" t="s">
        <v>218</v>
      </c>
      <c r="E40" s="8" t="s">
        <v>219</v>
      </c>
      <c r="F40" s="8"/>
      <c r="G40" s="8"/>
      <c r="H40" s="18">
        <v>46006</v>
      </c>
      <c r="I40" s="8" t="s">
        <v>144</v>
      </c>
      <c r="J40" s="8" t="s">
        <v>145</v>
      </c>
      <c r="K40" s="17">
        <v>33640.639999999999</v>
      </c>
      <c r="L40" s="8" t="s">
        <v>3605</v>
      </c>
      <c r="M40" s="8" t="s">
        <v>3436</v>
      </c>
      <c r="N40" s="8" t="s">
        <v>3607</v>
      </c>
      <c r="O40" s="8" t="s">
        <v>3427</v>
      </c>
      <c r="P40" s="8" t="s">
        <v>3542</v>
      </c>
      <c r="Q40" s="8" t="s">
        <v>3608</v>
      </c>
      <c r="R40" s="8" t="s">
        <v>3609</v>
      </c>
      <c r="S40" s="8" t="s">
        <v>3545</v>
      </c>
      <c r="T40" s="8" t="s">
        <v>3545</v>
      </c>
      <c r="U40" s="17">
        <v>0</v>
      </c>
      <c r="V40" s="8" t="s">
        <v>3546</v>
      </c>
      <c r="W40" s="8"/>
    </row>
    <row r="41" spans="1:23" ht="48" customHeight="1">
      <c r="A41" s="8" t="s">
        <v>3611</v>
      </c>
      <c r="B41" s="8" t="s">
        <v>3441</v>
      </c>
      <c r="C41" s="8" t="s">
        <v>3604</v>
      </c>
      <c r="D41" s="8" t="s">
        <v>222</v>
      </c>
      <c r="E41" s="8" t="s">
        <v>223</v>
      </c>
      <c r="F41" s="8"/>
      <c r="G41" s="8"/>
      <c r="H41" s="18">
        <v>45877</v>
      </c>
      <c r="I41" s="8" t="s">
        <v>179</v>
      </c>
      <c r="J41" s="8" t="s">
        <v>180</v>
      </c>
      <c r="K41" s="17">
        <v>50000</v>
      </c>
      <c r="L41" s="8" t="s">
        <v>3605</v>
      </c>
      <c r="M41" s="8" t="s">
        <v>3612</v>
      </c>
      <c r="N41" s="8" t="s">
        <v>3607</v>
      </c>
      <c r="O41" s="8" t="s">
        <v>3427</v>
      </c>
      <c r="P41" s="8" t="s">
        <v>3542</v>
      </c>
      <c r="Q41" s="8" t="s">
        <v>3608</v>
      </c>
      <c r="R41" s="8" t="s">
        <v>3609</v>
      </c>
      <c r="S41" s="8" t="s">
        <v>3545</v>
      </c>
      <c r="T41" s="8" t="s">
        <v>3545</v>
      </c>
      <c r="U41" s="17">
        <v>0</v>
      </c>
      <c r="V41" s="8" t="s">
        <v>3546</v>
      </c>
      <c r="W41" s="8"/>
    </row>
    <row r="42" spans="1:23" ht="48" customHeight="1">
      <c r="A42" s="8" t="s">
        <v>3613</v>
      </c>
      <c r="B42" s="8" t="s">
        <v>3493</v>
      </c>
      <c r="C42" s="8" t="s">
        <v>3604</v>
      </c>
      <c r="D42" s="8" t="s">
        <v>226</v>
      </c>
      <c r="E42" s="8" t="s">
        <v>227</v>
      </c>
      <c r="F42" s="8"/>
      <c r="G42" s="8"/>
      <c r="H42" s="18">
        <v>45935</v>
      </c>
      <c r="I42" s="8" t="s">
        <v>122</v>
      </c>
      <c r="J42" s="8" t="s">
        <v>123</v>
      </c>
      <c r="K42" s="17">
        <v>51634.78</v>
      </c>
      <c r="L42" s="8" t="s">
        <v>3605</v>
      </c>
      <c r="M42" s="8" t="s">
        <v>3614</v>
      </c>
      <c r="N42" s="8" t="s">
        <v>3607</v>
      </c>
      <c r="O42" s="8" t="s">
        <v>3427</v>
      </c>
      <c r="P42" s="8" t="s">
        <v>3542</v>
      </c>
      <c r="Q42" s="8" t="s">
        <v>3608</v>
      </c>
      <c r="R42" s="8" t="s">
        <v>3609</v>
      </c>
      <c r="S42" s="8" t="s">
        <v>3545</v>
      </c>
      <c r="T42" s="8" t="s">
        <v>3545</v>
      </c>
      <c r="U42" s="17">
        <v>0</v>
      </c>
      <c r="V42" s="8" t="s">
        <v>3546</v>
      </c>
      <c r="W42" s="8"/>
    </row>
    <row r="43" spans="1:23" ht="48" customHeight="1">
      <c r="A43" s="8" t="s">
        <v>3615</v>
      </c>
      <c r="B43" s="8" t="s">
        <v>3475</v>
      </c>
      <c r="C43" s="8" t="s">
        <v>3604</v>
      </c>
      <c r="D43" s="8" t="s">
        <v>231</v>
      </c>
      <c r="E43" s="8" t="s">
        <v>232</v>
      </c>
      <c r="F43" s="8"/>
      <c r="G43" s="8"/>
      <c r="H43" s="18">
        <v>45753</v>
      </c>
      <c r="I43" s="8" t="s">
        <v>153</v>
      </c>
      <c r="J43" s="8" t="s">
        <v>154</v>
      </c>
      <c r="K43" s="17">
        <v>81715.31</v>
      </c>
      <c r="L43" s="8" t="s">
        <v>3605</v>
      </c>
      <c r="M43" s="8" t="s">
        <v>3616</v>
      </c>
      <c r="N43" s="8" t="s">
        <v>3607</v>
      </c>
      <c r="O43" s="8" t="s">
        <v>3427</v>
      </c>
      <c r="P43" s="8" t="s">
        <v>3542</v>
      </c>
      <c r="Q43" s="8" t="s">
        <v>3608</v>
      </c>
      <c r="R43" s="8" t="s">
        <v>3609</v>
      </c>
      <c r="S43" s="8" t="s">
        <v>3545</v>
      </c>
      <c r="T43" s="8" t="s">
        <v>3545</v>
      </c>
      <c r="U43" s="17">
        <v>0</v>
      </c>
      <c r="V43" s="8" t="s">
        <v>3546</v>
      </c>
      <c r="W43" s="8"/>
    </row>
    <row r="44" spans="1:23" ht="48" customHeight="1">
      <c r="A44" s="8" t="s">
        <v>3617</v>
      </c>
      <c r="B44" s="8" t="s">
        <v>3404</v>
      </c>
      <c r="C44" s="8" t="s">
        <v>3604</v>
      </c>
      <c r="D44" s="8" t="s">
        <v>355</v>
      </c>
      <c r="E44" s="8" t="s">
        <v>356</v>
      </c>
      <c r="F44" s="8"/>
      <c r="G44" s="8"/>
      <c r="H44" s="18">
        <v>45876</v>
      </c>
      <c r="I44" s="8" t="s">
        <v>137</v>
      </c>
      <c r="J44" s="8" t="s">
        <v>138</v>
      </c>
      <c r="K44" s="17">
        <v>145000</v>
      </c>
      <c r="L44" s="8" t="s">
        <v>3618</v>
      </c>
      <c r="M44" s="8" t="s">
        <v>3619</v>
      </c>
      <c r="N44" s="8" t="s">
        <v>3566</v>
      </c>
      <c r="O44" s="8" t="s">
        <v>3407</v>
      </c>
      <c r="P44" s="8" t="s">
        <v>3567</v>
      </c>
      <c r="Q44" s="8" t="s">
        <v>3620</v>
      </c>
      <c r="R44" s="8" t="s">
        <v>3621</v>
      </c>
      <c r="S44" s="8" t="s">
        <v>3545</v>
      </c>
      <c r="T44" s="8" t="s">
        <v>3545</v>
      </c>
      <c r="U44" s="17">
        <v>0</v>
      </c>
      <c r="V44" s="8" t="s">
        <v>3546</v>
      </c>
      <c r="W44" s="8"/>
    </row>
    <row r="45" spans="1:23" ht="48" customHeight="1">
      <c r="A45" s="8" t="s">
        <v>3622</v>
      </c>
      <c r="B45" s="8" t="s">
        <v>3414</v>
      </c>
      <c r="C45" s="8" t="s">
        <v>3604</v>
      </c>
      <c r="D45" s="8" t="s">
        <v>2097</v>
      </c>
      <c r="E45" s="8" t="s">
        <v>2098</v>
      </c>
      <c r="F45" s="8"/>
      <c r="G45" s="8"/>
      <c r="H45" s="18">
        <v>46020</v>
      </c>
      <c r="I45" s="8" t="s">
        <v>158</v>
      </c>
      <c r="J45" s="8" t="s">
        <v>159</v>
      </c>
      <c r="K45" s="17">
        <v>62046.1</v>
      </c>
      <c r="L45" s="8" t="s">
        <v>3623</v>
      </c>
      <c r="M45" s="8" t="s">
        <v>3624</v>
      </c>
      <c r="N45" s="8" t="s">
        <v>3625</v>
      </c>
      <c r="O45" s="8" t="s">
        <v>3417</v>
      </c>
      <c r="P45" s="8" t="s">
        <v>3567</v>
      </c>
      <c r="Q45" s="8" t="s">
        <v>3626</v>
      </c>
      <c r="R45" s="8" t="s">
        <v>3627</v>
      </c>
      <c r="S45" s="8" t="s">
        <v>3545</v>
      </c>
      <c r="T45" s="8" t="s">
        <v>3545</v>
      </c>
      <c r="U45" s="17">
        <v>0</v>
      </c>
      <c r="V45" s="8" t="s">
        <v>3546</v>
      </c>
      <c r="W45" s="8"/>
    </row>
  </sheetData>
  <mergeCells count="2">
    <mergeCell ref="A1:W1"/>
    <mergeCell ref="A2:W2"/>
  </mergeCells>
  <conditionalFormatting sqref="P5:P45">
    <cfRule type="expression" dxfId="1" priority="2">
      <formula>P5="High"</formula>
    </cfRule>
    <cfRule type="expression" dxfId="0" priority="3">
      <formula>P5="Medium"</formula>
    </cfRule>
  </conditionalFormatting>
  <pageMargins left="0.75" right="0.75" top="1" bottom="1" header="0.511811023622047" footer="0.511811023622047"/>
  <pageSetup fitToHeight="0" orientation="landscape" horizontalDpi="300" verticalDpi="30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N73"/>
  <sheetViews>
    <sheetView showGridLines="0" zoomScale="62" zoomScaleNormal="100" workbookViewId="0">
      <selection activeCell="K26" sqref="K26"/>
    </sheetView>
  </sheetViews>
  <sheetFormatPr defaultColWidth="8.5546875" defaultRowHeight="14.4"/>
  <cols>
    <col min="1" max="1" width="28" customWidth="1"/>
    <col min="2" max="2" width="18" customWidth="1"/>
    <col min="3" max="3" width="4" customWidth="1"/>
    <col min="4" max="4" width="22" customWidth="1"/>
    <col min="5" max="5" width="16" customWidth="1"/>
    <col min="6" max="6" width="4" customWidth="1"/>
    <col min="7" max="7" width="22" customWidth="1"/>
    <col min="8" max="8" width="16" customWidth="1"/>
    <col min="9" max="9" width="4" customWidth="1"/>
    <col min="10" max="10" width="22" customWidth="1"/>
    <col min="11" max="11" width="16" customWidth="1"/>
    <col min="12" max="12" width="4" customWidth="1"/>
    <col min="13" max="13" width="18" customWidth="1"/>
    <col min="14" max="14" width="16" customWidth="1"/>
  </cols>
  <sheetData>
    <row r="1" spans="1:14" ht="21.75" customHeight="1">
      <c r="A1" s="6" t="s">
        <v>3628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4" ht="15" customHeight="1">
      <c r="A2" s="5" t="s">
        <v>3629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</row>
    <row r="4" spans="1:14" ht="15" customHeight="1">
      <c r="A4" s="4" t="s">
        <v>3630</v>
      </c>
      <c r="B4" s="4"/>
      <c r="D4" s="4" t="s">
        <v>3631</v>
      </c>
      <c r="E4" s="4"/>
      <c r="G4" s="4" t="s">
        <v>3632</v>
      </c>
      <c r="H4" s="4"/>
      <c r="J4" s="4" t="s">
        <v>3633</v>
      </c>
      <c r="K4" s="4"/>
      <c r="M4" s="4" t="s">
        <v>3634</v>
      </c>
      <c r="N4" s="4"/>
    </row>
    <row r="5" spans="1:14" ht="15" customHeight="1">
      <c r="A5" s="3">
        <f>COUNTA('02_GL_Data'!A5:A1004)/2</f>
        <v>500</v>
      </c>
      <c r="B5" s="3"/>
      <c r="D5" s="3">
        <f>COUNTA('02_GL_Data'!B5:B1004)</f>
        <v>1000</v>
      </c>
      <c r="E5" s="3"/>
      <c r="G5" s="3">
        <f>COUNTA('03_AP_Data'!A5:A304)</f>
        <v>300</v>
      </c>
      <c r="H5" s="3"/>
      <c r="J5" s="3">
        <f>COUNTIF('04_Analytics_Tests'!M5:M19,"Completed")</f>
        <v>14</v>
      </c>
      <c r="K5" s="3"/>
      <c r="M5" s="3">
        <f>COUNTA('05_Exception_Register'!A5:A200)</f>
        <v>41</v>
      </c>
      <c r="N5" s="3"/>
    </row>
    <row r="7" spans="1:14" ht="15" customHeight="1">
      <c r="A7" s="4" t="s">
        <v>3635</v>
      </c>
      <c r="B7" s="4"/>
      <c r="D7" s="4" t="s">
        <v>3636</v>
      </c>
      <c r="E7" s="4"/>
      <c r="G7" s="4" t="s">
        <v>3637</v>
      </c>
      <c r="H7" s="4"/>
      <c r="J7" s="4" t="s">
        <v>3638</v>
      </c>
      <c r="K7" s="4"/>
      <c r="M7" s="4" t="s">
        <v>3639</v>
      </c>
      <c r="N7" s="4"/>
    </row>
    <row r="8" spans="1:14" ht="15" customHeight="1">
      <c r="A8" s="3">
        <f>COUNTA('99_Internal_QA'!G5:G200)</f>
        <v>38</v>
      </c>
      <c r="B8" s="3"/>
      <c r="D8" s="3">
        <f>COUNTIF('05_Exception_Register'!P5:P200,"High")</f>
        <v>5</v>
      </c>
      <c r="E8" s="3"/>
      <c r="G8" s="3">
        <f>COUNTIF('05_Exception_Register'!S5:S200,"Not Reviewed")</f>
        <v>41</v>
      </c>
      <c r="H8" s="3"/>
      <c r="J8" s="3">
        <f>COUNTIF('05_Exception_Register'!T5:T200,"Confirmed Error")</f>
        <v>0</v>
      </c>
      <c r="K8" s="3"/>
      <c r="M8" s="2">
        <f>SUM('05_Exception_Register'!U5:U200)</f>
        <v>0</v>
      </c>
      <c r="N8" s="2"/>
    </row>
    <row r="20" spans="1:11" ht="15" customHeight="1">
      <c r="A20" s="7" t="s">
        <v>3640</v>
      </c>
    </row>
    <row r="21" spans="1:11" ht="15" customHeight="1">
      <c r="A21" t="s">
        <v>3372</v>
      </c>
      <c r="B21" t="s">
        <v>3641</v>
      </c>
      <c r="D21" t="s">
        <v>3529</v>
      </c>
      <c r="E21" t="s">
        <v>3642</v>
      </c>
      <c r="G21" t="s">
        <v>3643</v>
      </c>
      <c r="H21" t="s">
        <v>3642</v>
      </c>
      <c r="J21" t="s">
        <v>3644</v>
      </c>
      <c r="K21" t="s">
        <v>3642</v>
      </c>
    </row>
    <row r="22" spans="1:11" ht="15" customHeight="1">
      <c r="A22" t="s">
        <v>3385</v>
      </c>
      <c r="B22">
        <f>COUNTIF('05_Exception_Register'!B:B,A22)</f>
        <v>4</v>
      </c>
      <c r="D22" t="s">
        <v>3567</v>
      </c>
      <c r="E22">
        <f>COUNTIF('05_Exception_Register'!P:P,D22)</f>
        <v>5</v>
      </c>
      <c r="G22" t="s">
        <v>146</v>
      </c>
      <c r="H22">
        <f>COUNTIF('05_Exception_Register'!N:N,"*Asset*")</f>
        <v>0</v>
      </c>
      <c r="J22" s="19">
        <v>45658</v>
      </c>
      <c r="K22">
        <f>COUNTIFS('05_Exception_Register'!H:H,"&gt;="&amp;J22,'05_Exception_Register'!H:H,"&lt;"&amp;EDATE(J22,1))</f>
        <v>1</v>
      </c>
    </row>
    <row r="23" spans="1:11" ht="15" customHeight="1">
      <c r="A23" t="s">
        <v>3396</v>
      </c>
      <c r="B23">
        <f>COUNTIF('05_Exception_Register'!B:B,A23)</f>
        <v>0</v>
      </c>
      <c r="D23" t="s">
        <v>3542</v>
      </c>
      <c r="E23">
        <f>COUNTIF('05_Exception_Register'!P:P,D23)</f>
        <v>36</v>
      </c>
      <c r="G23" t="s">
        <v>134</v>
      </c>
      <c r="H23">
        <f>COUNTIF('05_Exception_Register'!N:N,"*Liability*")</f>
        <v>0</v>
      </c>
      <c r="J23" s="19">
        <v>45689</v>
      </c>
      <c r="K23">
        <f>COUNTIFS('05_Exception_Register'!H:H,"&gt;="&amp;J23,'05_Exception_Register'!H:H,"&lt;"&amp;EDATE(J23,1))</f>
        <v>2</v>
      </c>
    </row>
    <row r="24" spans="1:11" ht="15" customHeight="1">
      <c r="A24" t="s">
        <v>3404</v>
      </c>
      <c r="B24">
        <f>COUNTIF('05_Exception_Register'!B:B,A24)</f>
        <v>2</v>
      </c>
      <c r="D24" t="s">
        <v>3645</v>
      </c>
      <c r="E24">
        <f>COUNTIF('05_Exception_Register'!P:P,D24)</f>
        <v>0</v>
      </c>
      <c r="G24" t="s">
        <v>124</v>
      </c>
      <c r="H24">
        <f>COUNTIF('05_Exception_Register'!N:N,"*Expense*")</f>
        <v>0</v>
      </c>
      <c r="J24" s="19">
        <v>45717</v>
      </c>
      <c r="K24">
        <f>COUNTIFS('05_Exception_Register'!H:H,"&gt;="&amp;J24,'05_Exception_Register'!H:H,"&lt;"&amp;EDATE(J24,1))</f>
        <v>4</v>
      </c>
    </row>
    <row r="25" spans="1:11" ht="15" customHeight="1">
      <c r="A25" t="s">
        <v>3414</v>
      </c>
      <c r="B25">
        <f>COUNTIF('05_Exception_Register'!B:B,A25)</f>
        <v>1</v>
      </c>
      <c r="G25" t="s">
        <v>155</v>
      </c>
      <c r="H25">
        <f>COUNTIF('05_Exception_Register'!N:N,"*Revenue*")</f>
        <v>0</v>
      </c>
      <c r="J25" s="19">
        <v>45748</v>
      </c>
      <c r="K25">
        <f>COUNTIFS('05_Exception_Register'!H:H,"&gt;="&amp;J25,'05_Exception_Register'!H:H,"&lt;"&amp;EDATE(J25,1))</f>
        <v>2</v>
      </c>
    </row>
    <row r="26" spans="1:11" ht="15" customHeight="1">
      <c r="A26" t="s">
        <v>3424</v>
      </c>
      <c r="B26">
        <f>COUNTIF('05_Exception_Register'!B:B,A26)</f>
        <v>1</v>
      </c>
      <c r="G26" t="s">
        <v>3646</v>
      </c>
      <c r="H26">
        <f>COUNTIF('05_Exception_Register'!N:N,"*Other Income*")</f>
        <v>0</v>
      </c>
      <c r="J26" s="19">
        <v>45778</v>
      </c>
      <c r="K26">
        <f>COUNTIFS('05_Exception_Register'!H:H,"&gt;="&amp;J26,'05_Exception_Register'!H:H,"&lt;"&amp;EDATE(J26,1))</f>
        <v>4</v>
      </c>
    </row>
    <row r="27" spans="1:11" ht="15" customHeight="1">
      <c r="A27" t="s">
        <v>3433</v>
      </c>
      <c r="B27">
        <f>COUNTIF('05_Exception_Register'!B:B,A27)</f>
        <v>1</v>
      </c>
      <c r="J27" s="19">
        <v>45809</v>
      </c>
      <c r="K27">
        <f>COUNTIFS('05_Exception_Register'!H:H,"&gt;="&amp;J27,'05_Exception_Register'!H:H,"&lt;"&amp;EDATE(J27,1))</f>
        <v>2</v>
      </c>
    </row>
    <row r="28" spans="1:11" ht="15" customHeight="1">
      <c r="A28" t="s">
        <v>3441</v>
      </c>
      <c r="B28">
        <f>COUNTIF('05_Exception_Register'!B:B,A28)</f>
        <v>1</v>
      </c>
      <c r="J28" s="19">
        <v>45839</v>
      </c>
      <c r="K28">
        <f>COUNTIFS('05_Exception_Register'!H:H,"&gt;="&amp;J28,'05_Exception_Register'!H:H,"&lt;"&amp;EDATE(J28,1))</f>
        <v>2</v>
      </c>
    </row>
    <row r="29" spans="1:11" ht="15" customHeight="1">
      <c r="A29" t="s">
        <v>3449</v>
      </c>
      <c r="B29">
        <f>COUNTIF('05_Exception_Register'!B:B,A29)</f>
        <v>25</v>
      </c>
      <c r="J29" s="19">
        <v>45870</v>
      </c>
      <c r="K29">
        <f>COUNTIFS('05_Exception_Register'!H:H,"&gt;="&amp;J29,'05_Exception_Register'!H:H,"&lt;"&amp;EDATE(J29,1))</f>
        <v>2</v>
      </c>
    </row>
    <row r="30" spans="1:11" ht="15" customHeight="1">
      <c r="A30" t="s">
        <v>3458</v>
      </c>
      <c r="B30">
        <f>COUNTIF('05_Exception_Register'!B:B,A30)</f>
        <v>1</v>
      </c>
      <c r="J30" s="19">
        <v>45901</v>
      </c>
      <c r="K30">
        <f>COUNTIFS('05_Exception_Register'!H:H,"&gt;="&amp;J30,'05_Exception_Register'!H:H,"&lt;"&amp;EDATE(J30,1))</f>
        <v>3</v>
      </c>
    </row>
    <row r="31" spans="1:11" ht="15" customHeight="1">
      <c r="A31" t="s">
        <v>3467</v>
      </c>
      <c r="B31">
        <f>COUNTIF('05_Exception_Register'!B:B,A31)</f>
        <v>3</v>
      </c>
      <c r="J31" s="19">
        <v>45931</v>
      </c>
      <c r="K31">
        <f>COUNTIFS('05_Exception_Register'!H:H,"&gt;="&amp;J31,'05_Exception_Register'!H:H,"&lt;"&amp;EDATE(J31,1))</f>
        <v>6</v>
      </c>
    </row>
    <row r="32" spans="1:11" ht="15" customHeight="1">
      <c r="A32" t="s">
        <v>3475</v>
      </c>
      <c r="B32">
        <f>COUNTIF('05_Exception_Register'!B:B,A32)</f>
        <v>1</v>
      </c>
      <c r="J32" s="19">
        <v>45962</v>
      </c>
      <c r="K32">
        <f>COUNTIFS('05_Exception_Register'!H:H,"&gt;="&amp;J32,'05_Exception_Register'!H:H,"&lt;"&amp;EDATE(J32,1))</f>
        <v>3</v>
      </c>
    </row>
    <row r="33" spans="1:11" ht="15" customHeight="1">
      <c r="A33" t="s">
        <v>3484</v>
      </c>
      <c r="B33">
        <f>COUNTIF('05_Exception_Register'!B:B,A33)</f>
        <v>0</v>
      </c>
      <c r="J33" s="19">
        <v>45992</v>
      </c>
      <c r="K33">
        <f>COUNTIFS('05_Exception_Register'!H:H,"&gt;="&amp;J33,'05_Exception_Register'!H:H,"&lt;"&amp;EDATE(J33,1))</f>
        <v>7</v>
      </c>
    </row>
    <row r="34" spans="1:11" ht="15" customHeight="1">
      <c r="A34" t="s">
        <v>3493</v>
      </c>
      <c r="B34">
        <f>COUNTIF('05_Exception_Register'!B:B,A34)</f>
        <v>1</v>
      </c>
    </row>
    <row r="35" spans="1:11" ht="15" customHeight="1">
      <c r="A35" t="s">
        <v>3502</v>
      </c>
      <c r="B35">
        <f>COUNTIF('05_Exception_Register'!B:B,A35)</f>
        <v>0</v>
      </c>
    </row>
    <row r="36" spans="1:11" ht="15" customHeight="1">
      <c r="A36" t="s">
        <v>3510</v>
      </c>
      <c r="B36">
        <f>COUNTIF('05_Exception_Register'!B:B,A36)</f>
        <v>0</v>
      </c>
    </row>
    <row r="72" spans="1:14" ht="15" customHeight="1">
      <c r="A72" s="1" t="s">
        <v>3647</v>
      </c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</sheetData>
  <mergeCells count="23">
    <mergeCell ref="A72:N73"/>
    <mergeCell ref="A8:B8"/>
    <mergeCell ref="D8:E8"/>
    <mergeCell ref="G8:H8"/>
    <mergeCell ref="J8:K8"/>
    <mergeCell ref="M8:N8"/>
    <mergeCell ref="A7:B7"/>
    <mergeCell ref="D7:E7"/>
    <mergeCell ref="G7:H7"/>
    <mergeCell ref="J7:K7"/>
    <mergeCell ref="M7:N7"/>
    <mergeCell ref="A5:B5"/>
    <mergeCell ref="D5:E5"/>
    <mergeCell ref="G5:H5"/>
    <mergeCell ref="J5:K5"/>
    <mergeCell ref="M5:N5"/>
    <mergeCell ref="A1:N1"/>
    <mergeCell ref="A2:N2"/>
    <mergeCell ref="A4:B4"/>
    <mergeCell ref="D4:E4"/>
    <mergeCell ref="G4:H4"/>
    <mergeCell ref="J4:K4"/>
    <mergeCell ref="M4:N4"/>
  </mergeCells>
  <pageMargins left="0.75" right="0.75" top="1" bottom="1" header="0.511811023622047" footer="0.511811023622047"/>
  <pageSetup fitToHeight="0" orientation="landscape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B12"/>
  <sheetViews>
    <sheetView showGridLines="0" zoomScaleNormal="100" workbookViewId="0">
      <pane ySplit="3" topLeftCell="A4" activePane="bottomLeft" state="frozen"/>
      <selection pane="bottomLeft"/>
    </sheetView>
  </sheetViews>
  <sheetFormatPr defaultColWidth="8.5546875" defaultRowHeight="14.4"/>
  <cols>
    <col min="1" max="1" width="26" customWidth="1"/>
    <col min="2" max="2" width="115" customWidth="1"/>
  </cols>
  <sheetData>
    <row r="1" spans="1:2" ht="21.75" customHeight="1">
      <c r="A1" s="6" t="s">
        <v>3648</v>
      </c>
      <c r="B1" s="6"/>
    </row>
    <row r="2" spans="1:2" ht="15" customHeight="1">
      <c r="A2" s="5" t="s">
        <v>3649</v>
      </c>
      <c r="B2" s="5"/>
    </row>
    <row r="4" spans="1:2" ht="33.75" customHeight="1">
      <c r="A4" s="7" t="s">
        <v>3650</v>
      </c>
      <c r="B4" s="8" t="s">
        <v>3651</v>
      </c>
    </row>
    <row r="5" spans="1:2" ht="33.75" customHeight="1">
      <c r="A5" s="7" t="s">
        <v>3652</v>
      </c>
      <c r="B5" s="8" t="s">
        <v>9</v>
      </c>
    </row>
    <row r="6" spans="1:2" ht="33.75" customHeight="1">
      <c r="A6" s="7" t="s">
        <v>3653</v>
      </c>
      <c r="B6" s="8" t="s">
        <v>3654</v>
      </c>
    </row>
    <row r="7" spans="1:2" ht="57.75" customHeight="1">
      <c r="A7" s="7" t="s">
        <v>3655</v>
      </c>
      <c r="B7" s="8" t="s">
        <v>3656</v>
      </c>
    </row>
    <row r="8" spans="1:2" ht="57.75" customHeight="1">
      <c r="A8" s="7" t="s">
        <v>3657</v>
      </c>
      <c r="B8" s="8" t="s">
        <v>3658</v>
      </c>
    </row>
    <row r="9" spans="1:2" ht="57.75" customHeight="1">
      <c r="A9" s="7" t="s">
        <v>3659</v>
      </c>
      <c r="B9" s="8" t="s">
        <v>3660</v>
      </c>
    </row>
    <row r="10" spans="1:2" ht="57.75" customHeight="1">
      <c r="A10" s="7" t="s">
        <v>3661</v>
      </c>
      <c r="B10" s="8" t="s">
        <v>3662</v>
      </c>
    </row>
    <row r="11" spans="1:2" ht="33.75" customHeight="1">
      <c r="A11" s="7" t="s">
        <v>3663</v>
      </c>
      <c r="B11" s="8" t="s">
        <v>3664</v>
      </c>
    </row>
    <row r="12" spans="1:2" ht="57.75" customHeight="1">
      <c r="A12" s="7" t="s">
        <v>3665</v>
      </c>
      <c r="B12" s="8" t="s">
        <v>3666</v>
      </c>
    </row>
  </sheetData>
  <mergeCells count="2">
    <mergeCell ref="A1:B1"/>
    <mergeCell ref="A2:B2"/>
  </mergeCells>
  <pageMargins left="0.75" right="0.75" top="1" bottom="1" header="0.511811023622047" footer="0.511811023622047"/>
  <pageSetup fitToHeight="0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G42"/>
  <sheetViews>
    <sheetView showGridLines="0" zoomScaleNormal="100" workbookViewId="0"/>
  </sheetViews>
  <sheetFormatPr defaultColWidth="8.5546875" defaultRowHeight="14.4"/>
  <cols>
    <col min="1" max="1" width="18" customWidth="1"/>
    <col min="2" max="2" width="30" customWidth="1"/>
    <col min="3" max="3" width="18" customWidth="1"/>
    <col min="4" max="4" width="60" customWidth="1"/>
    <col min="5" max="5" width="20" customWidth="1"/>
  </cols>
  <sheetData>
    <row r="1" spans="1:7" ht="21.75" customHeight="1">
      <c r="A1" s="6" t="s">
        <v>3667</v>
      </c>
      <c r="B1" s="6"/>
      <c r="C1" s="6"/>
      <c r="D1" s="6"/>
      <c r="E1" s="6"/>
    </row>
    <row r="2" spans="1:7" ht="15" customHeight="1">
      <c r="A2" s="5" t="s">
        <v>3668</v>
      </c>
      <c r="B2" s="5"/>
      <c r="C2" s="5"/>
      <c r="D2" s="5"/>
      <c r="E2" s="5"/>
    </row>
    <row r="4" spans="1:7" ht="15" customHeight="1">
      <c r="A4" s="9" t="s">
        <v>3669</v>
      </c>
      <c r="B4" s="9" t="s">
        <v>3670</v>
      </c>
      <c r="C4" s="9" t="s">
        <v>3671</v>
      </c>
      <c r="D4" s="9" t="s">
        <v>3672</v>
      </c>
      <c r="E4" s="9" t="s">
        <v>3673</v>
      </c>
      <c r="G4" s="20" t="s">
        <v>3674</v>
      </c>
    </row>
    <row r="5" spans="1:7" ht="15" customHeight="1">
      <c r="A5" t="s">
        <v>3675</v>
      </c>
      <c r="B5" t="s">
        <v>3676</v>
      </c>
      <c r="C5" s="15">
        <v>0</v>
      </c>
      <c r="D5" t="s">
        <v>3484</v>
      </c>
      <c r="E5" t="s">
        <v>3677</v>
      </c>
      <c r="G5" t="s">
        <v>3678</v>
      </c>
    </row>
    <row r="6" spans="1:7" ht="15" customHeight="1">
      <c r="A6" t="s">
        <v>3679</v>
      </c>
      <c r="B6" t="s">
        <v>3680</v>
      </c>
      <c r="C6" s="15">
        <v>1000</v>
      </c>
      <c r="D6" t="s">
        <v>3681</v>
      </c>
      <c r="E6" t="s">
        <v>3682</v>
      </c>
      <c r="G6" t="s">
        <v>3683</v>
      </c>
    </row>
    <row r="7" spans="1:7" ht="15" customHeight="1">
      <c r="A7" t="s">
        <v>3684</v>
      </c>
      <c r="B7" t="s">
        <v>3680</v>
      </c>
      <c r="C7" s="15">
        <v>300</v>
      </c>
      <c r="D7" t="s">
        <v>3681</v>
      </c>
      <c r="E7" t="s">
        <v>3685</v>
      </c>
      <c r="G7" t="s">
        <v>3686</v>
      </c>
    </row>
    <row r="8" spans="1:7" ht="15" customHeight="1">
      <c r="A8" t="s">
        <v>3687</v>
      </c>
      <c r="B8" t="s">
        <v>3688</v>
      </c>
      <c r="C8" s="15">
        <v>2</v>
      </c>
      <c r="D8" t="s">
        <v>3385</v>
      </c>
      <c r="E8" t="s">
        <v>3689</v>
      </c>
      <c r="G8" t="s">
        <v>3690</v>
      </c>
    </row>
    <row r="9" spans="1:7" ht="15" customHeight="1">
      <c r="A9" t="s">
        <v>3691</v>
      </c>
      <c r="B9" t="s">
        <v>3688</v>
      </c>
      <c r="C9" s="15">
        <v>1</v>
      </c>
      <c r="D9" t="s">
        <v>3404</v>
      </c>
      <c r="E9" t="s">
        <v>3692</v>
      </c>
      <c r="G9" t="s">
        <v>3693</v>
      </c>
    </row>
    <row r="10" spans="1:7" ht="15" customHeight="1">
      <c r="A10" t="s">
        <v>3694</v>
      </c>
      <c r="B10" t="s">
        <v>3688</v>
      </c>
      <c r="C10" s="15">
        <v>1</v>
      </c>
      <c r="D10" t="s">
        <v>3414</v>
      </c>
      <c r="E10" t="s">
        <v>3695</v>
      </c>
      <c r="G10" t="s">
        <v>3696</v>
      </c>
    </row>
    <row r="11" spans="1:7" ht="15" customHeight="1">
      <c r="A11" t="s">
        <v>3697</v>
      </c>
      <c r="B11" t="s">
        <v>3688</v>
      </c>
      <c r="C11" s="15">
        <v>1</v>
      </c>
      <c r="D11" t="s">
        <v>3424</v>
      </c>
      <c r="E11" t="s">
        <v>3698</v>
      </c>
      <c r="G11" t="s">
        <v>3699</v>
      </c>
    </row>
    <row r="12" spans="1:7" ht="15" customHeight="1">
      <c r="A12" t="s">
        <v>3700</v>
      </c>
      <c r="B12" t="s">
        <v>3688</v>
      </c>
      <c r="C12" s="15">
        <v>1</v>
      </c>
      <c r="D12" t="s">
        <v>3433</v>
      </c>
      <c r="E12" t="s">
        <v>3701</v>
      </c>
      <c r="G12" t="s">
        <v>3702</v>
      </c>
    </row>
    <row r="13" spans="1:7" ht="15" customHeight="1">
      <c r="A13" t="s">
        <v>3703</v>
      </c>
      <c r="B13" t="s">
        <v>3688</v>
      </c>
      <c r="C13" s="15">
        <v>1</v>
      </c>
      <c r="D13" t="s">
        <v>3441</v>
      </c>
      <c r="E13" t="s">
        <v>3704</v>
      </c>
      <c r="G13" t="s">
        <v>3705</v>
      </c>
    </row>
    <row r="14" spans="1:7" ht="15" customHeight="1">
      <c r="A14" t="s">
        <v>3706</v>
      </c>
      <c r="B14" t="s">
        <v>3688</v>
      </c>
      <c r="C14" s="15">
        <v>1</v>
      </c>
      <c r="D14" t="s">
        <v>3493</v>
      </c>
      <c r="E14" t="s">
        <v>3707</v>
      </c>
      <c r="G14" t="s">
        <v>3708</v>
      </c>
    </row>
    <row r="15" spans="1:7" ht="15" customHeight="1">
      <c r="A15" t="s">
        <v>3709</v>
      </c>
      <c r="B15" t="s">
        <v>3688</v>
      </c>
      <c r="C15" s="15">
        <v>1</v>
      </c>
      <c r="D15" t="s">
        <v>3475</v>
      </c>
      <c r="E15" t="s">
        <v>3710</v>
      </c>
      <c r="G15" t="s">
        <v>3711</v>
      </c>
    </row>
    <row r="16" spans="1:7" ht="15" customHeight="1">
      <c r="A16" t="s">
        <v>3712</v>
      </c>
      <c r="B16" t="s">
        <v>3688</v>
      </c>
      <c r="C16" s="15">
        <v>3</v>
      </c>
      <c r="D16" t="s">
        <v>3449</v>
      </c>
      <c r="E16" t="s">
        <v>3713</v>
      </c>
      <c r="G16" t="s">
        <v>3714</v>
      </c>
    </row>
    <row r="17" spans="1:7" ht="15" customHeight="1">
      <c r="A17" t="s">
        <v>3715</v>
      </c>
      <c r="B17" t="s">
        <v>3688</v>
      </c>
      <c r="C17" s="15">
        <v>1</v>
      </c>
      <c r="D17" t="s">
        <v>3458</v>
      </c>
      <c r="E17" t="s">
        <v>3716</v>
      </c>
      <c r="G17" t="s">
        <v>3717</v>
      </c>
    </row>
    <row r="18" spans="1:7" ht="15" customHeight="1">
      <c r="A18" t="s">
        <v>3718</v>
      </c>
      <c r="B18" t="s">
        <v>3688</v>
      </c>
      <c r="C18" s="15">
        <v>3</v>
      </c>
      <c r="D18" t="s">
        <v>3467</v>
      </c>
      <c r="E18" t="s">
        <v>3719</v>
      </c>
      <c r="G18" t="s">
        <v>3720</v>
      </c>
    </row>
    <row r="19" spans="1:7">
      <c r="G19" t="s">
        <v>3721</v>
      </c>
    </row>
    <row r="20" spans="1:7">
      <c r="G20" t="s">
        <v>3722</v>
      </c>
    </row>
    <row r="21" spans="1:7">
      <c r="G21" t="s">
        <v>3723</v>
      </c>
    </row>
    <row r="22" spans="1:7">
      <c r="G22" t="s">
        <v>3724</v>
      </c>
    </row>
    <row r="23" spans="1:7">
      <c r="G23" t="s">
        <v>3725</v>
      </c>
    </row>
    <row r="24" spans="1:7">
      <c r="G24" t="s">
        <v>3726</v>
      </c>
    </row>
    <row r="25" spans="1:7">
      <c r="G25" t="s">
        <v>3727</v>
      </c>
    </row>
    <row r="26" spans="1:7">
      <c r="G26" t="s">
        <v>3728</v>
      </c>
    </row>
    <row r="27" spans="1:7">
      <c r="G27" t="s">
        <v>3729</v>
      </c>
    </row>
    <row r="28" spans="1:7">
      <c r="G28" t="s">
        <v>3730</v>
      </c>
    </row>
    <row r="29" spans="1:7">
      <c r="G29" t="s">
        <v>3731</v>
      </c>
    </row>
    <row r="30" spans="1:7">
      <c r="G30" t="s">
        <v>3732</v>
      </c>
    </row>
    <row r="31" spans="1:7">
      <c r="G31" t="s">
        <v>3733</v>
      </c>
    </row>
    <row r="32" spans="1:7">
      <c r="G32" t="s">
        <v>3734</v>
      </c>
    </row>
    <row r="33" spans="7:7">
      <c r="G33" t="s">
        <v>3735</v>
      </c>
    </row>
    <row r="34" spans="7:7">
      <c r="G34" t="s">
        <v>3736</v>
      </c>
    </row>
    <row r="35" spans="7:7">
      <c r="G35" t="s">
        <v>3737</v>
      </c>
    </row>
    <row r="36" spans="7:7">
      <c r="G36" t="s">
        <v>3738</v>
      </c>
    </row>
    <row r="37" spans="7:7">
      <c r="G37" t="s">
        <v>3739</v>
      </c>
    </row>
    <row r="38" spans="7:7">
      <c r="G38" t="s">
        <v>3740</v>
      </c>
    </row>
    <row r="39" spans="7:7">
      <c r="G39" t="s">
        <v>3741</v>
      </c>
    </row>
    <row r="40" spans="7:7">
      <c r="G40" t="s">
        <v>3742</v>
      </c>
    </row>
    <row r="41" spans="7:7">
      <c r="G41" t="s">
        <v>3743</v>
      </c>
    </row>
    <row r="42" spans="7:7">
      <c r="G42" t="s">
        <v>3744</v>
      </c>
    </row>
  </sheetData>
  <mergeCells count="2">
    <mergeCell ref="A1:E1"/>
    <mergeCell ref="A2:E2"/>
  </mergeCells>
  <pageMargins left="0.75" right="0.75" top="1" bottom="1" header="0.511811023622047" footer="0.511811023622047"/>
  <pageSetup fitToHeight="0" orientation="landscape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12</vt:i4>
      </vt:variant>
    </vt:vector>
  </HeadingPairs>
  <TitlesOfParts>
    <vt:vector size="21" baseType="lpstr">
      <vt:lpstr>00_Read_Me</vt:lpstr>
      <vt:lpstr>01_Parameters</vt:lpstr>
      <vt:lpstr>02_GL_Data</vt:lpstr>
      <vt:lpstr>03_AP_Data</vt:lpstr>
      <vt:lpstr>04_Analytics_Tests</vt:lpstr>
      <vt:lpstr>05_Exception_Register</vt:lpstr>
      <vt:lpstr>06_Dashboard</vt:lpstr>
      <vt:lpstr>07_Audit_Memo</vt:lpstr>
      <vt:lpstr>99_Internal_QA</vt:lpstr>
      <vt:lpstr>Business_Day_End</vt:lpstr>
      <vt:lpstr>Business_Day_Start</vt:lpstr>
      <vt:lpstr>Duplicate_Amount_Tolerance</vt:lpstr>
      <vt:lpstr>High_Value_AP_Threshold</vt:lpstr>
      <vt:lpstr>High_Value_GL_Threshold</vt:lpstr>
      <vt:lpstr>Invoice_Posting_Review_Limit</vt:lpstr>
      <vt:lpstr>Near_Duplicate_Window</vt:lpstr>
      <vt:lpstr>Reporting_End_Date</vt:lpstr>
      <vt:lpstr>Reporting_Start_Date</vt:lpstr>
      <vt:lpstr>Round_Number_Threshold</vt:lpstr>
      <vt:lpstr>Year_End_Window_End</vt:lpstr>
      <vt:lpstr>Year_End_Window_Start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huawei</dc:creator>
  <cp:lastModifiedBy>حنان شرار بن ذعار الدلبحي</cp:lastModifiedBy>
  <dcterms:created xsi:type="dcterms:W3CDTF">2026-10-22T02:06:58Z</dcterms:created>
  <dcterms:modified xsi:type="dcterms:W3CDTF">2026-10-22T02:06:58Z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2026-10-21T23:35:42Z</dcterms:created>
  <dc:creator>openpyxl</dc:creator>
  <dc:description/>
  <dc:language>en-US</dc:language>
  <cp:lastModifiedBy/>
  <dcterms:modified xsi:type="dcterms:W3CDTF">2026-10-21T23:36:44Z</dcterms:modified>
  <cp:revision>0</cp:revision>
  <dc:subject/>
  <dc:title/>
</cp:coreProperties>
</file>